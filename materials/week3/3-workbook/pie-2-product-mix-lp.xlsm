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filterPrivacy="1" codeName="ThisWorkbook" defaultThemeVersion="124226"/>
  <xr:revisionPtr revIDLastSave="0" documentId="13_ncr:1_{D5689AB7-B318-4574-B181-60DFFEA5C64E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2-products" sheetId="11" r:id="rId1"/>
    <sheet name="equations" sheetId="14" r:id="rId2"/>
    <sheet name="availability" sheetId="12" r:id="rId3"/>
    <sheet name="margin" sheetId="13" r:id="rId4"/>
    <sheet name="Sensitivity Report 1" sheetId="10" r:id="rId5"/>
    <sheet name="4-products" sheetId="1" r:id="rId6"/>
    <sheet name="SMDA" sheetId="8" state="veryHidden" r:id=""/>
  </sheets>
  <definedNames>
    <definedName name="solver_adj" localSheetId="0" hidden="1">'2-products'!$C$5:$D$5</definedName>
    <definedName name="solver_adj" localSheetId="5" hidden="1">'4-products'!$C$5:$F$5</definedName>
    <definedName name="solver_cvg" localSheetId="0" hidden="1">0.0001</definedName>
    <definedName name="solver_cvg" localSheetId="5" hidden="1">0.0001</definedName>
    <definedName name="solver_drv" localSheetId="0" hidden="1">1</definedName>
    <definedName name="solver_drv" localSheetId="5" hidden="1">1</definedName>
    <definedName name="solver_eng" localSheetId="0" hidden="1">2</definedName>
    <definedName name="solver_eng" localSheetId="5" hidden="1">2</definedName>
    <definedName name="solver_est" localSheetId="0" hidden="1">1</definedName>
    <definedName name="solver_est" localSheetId="5" hidden="1">1</definedName>
    <definedName name="solver_ibd" localSheetId="0" hidden="1">2</definedName>
    <definedName name="solver_ibd" localSheetId="5" hidden="1">2</definedName>
    <definedName name="solver_itr" localSheetId="0" hidden="1">100</definedName>
    <definedName name="solver_itr" localSheetId="5" hidden="1">100</definedName>
    <definedName name="solver_lhs1" localSheetId="0" hidden="1">'2-products'!$C$5:$D$5</definedName>
    <definedName name="solver_lhs1" localSheetId="5" hidden="1">'4-products'!$C$5:$F$5</definedName>
    <definedName name="solver_lhs2" localSheetId="0" hidden="1">'2-products'!$C$5:$D$5</definedName>
    <definedName name="solver_lhs2" localSheetId="5" hidden="1">'4-products'!$C$5:$F$5</definedName>
    <definedName name="solver_lhs3" localSheetId="0" hidden="1">'2-products'!$E$16:$E$19</definedName>
    <definedName name="solver_lhs3" localSheetId="5" hidden="1">'4-products'!$G$16:$G$19</definedName>
    <definedName name="solver_lhs4" localSheetId="0" hidden="1">'2-products'!$E$22:$E$23</definedName>
    <definedName name="solver_lhs4" localSheetId="5" hidden="1">'4-products'!$G$22:$G$23</definedName>
    <definedName name="solver_lin" localSheetId="0" hidden="1">1</definedName>
    <definedName name="solver_lin" localSheetId="5" hidden="1">1</definedName>
    <definedName name="solver_loc" localSheetId="0" hidden="1">1</definedName>
    <definedName name="solver_loc" localSheetId="5" hidden="1">1</definedName>
    <definedName name="solver_lva" localSheetId="0" hidden="1">2</definedName>
    <definedName name="solver_lva" localSheetId="5" hidden="1">2</definedName>
    <definedName name="solver_mip" localSheetId="0" hidden="1">5000</definedName>
    <definedName name="solver_mip" localSheetId="5" hidden="1">5000</definedName>
    <definedName name="solver_mni" localSheetId="0" hidden="1">30</definedName>
    <definedName name="solver_mni" localSheetId="5" hidden="1">30</definedName>
    <definedName name="solver_mrt" localSheetId="0" hidden="1">0.075</definedName>
    <definedName name="solver_mrt" localSheetId="5" hidden="1">0.075</definedName>
    <definedName name="solver_msl" localSheetId="0" hidden="1">2</definedName>
    <definedName name="solver_msl" localSheetId="5" hidden="1">2</definedName>
    <definedName name="solver_neg" localSheetId="0" hidden="1">1</definedName>
    <definedName name="solver_neg" localSheetId="5" hidden="1">1</definedName>
    <definedName name="solver_nod" localSheetId="0" hidden="1">5000</definedName>
    <definedName name="solver_nod" localSheetId="5" hidden="1">5000</definedName>
    <definedName name="solver_num" localSheetId="0" hidden="1">4</definedName>
    <definedName name="solver_num" localSheetId="5" hidden="1">4</definedName>
    <definedName name="solver_nwt" localSheetId="0" hidden="1">1</definedName>
    <definedName name="solver_nwt" localSheetId="5" hidden="1">1</definedName>
    <definedName name="solver_ofx" localSheetId="0" hidden="1">2</definedName>
    <definedName name="solver_ofx" localSheetId="5" hidden="1">2</definedName>
    <definedName name="solver_opt" localSheetId="0" hidden="1">'2-products'!$C$13</definedName>
    <definedName name="solver_opt" localSheetId="5" hidden="1">'4-products'!$C$13</definedName>
    <definedName name="solver_piv" localSheetId="0" hidden="1">0.000001</definedName>
    <definedName name="solver_piv" localSheetId="5" hidden="1">0.000001</definedName>
    <definedName name="solver_pre" localSheetId="0" hidden="1">0.000001</definedName>
    <definedName name="solver_pre" localSheetId="5" hidden="1">0.000001</definedName>
    <definedName name="solver_pro" localSheetId="0" hidden="1">2</definedName>
    <definedName name="solver_pro" localSheetId="5" hidden="1">2</definedName>
    <definedName name="solver_rbv" localSheetId="0" hidden="1">1</definedName>
    <definedName name="solver_rbv" localSheetId="5" hidden="1">1</definedName>
    <definedName name="solver_red" localSheetId="0" hidden="1">0.000001</definedName>
    <definedName name="solver_red" localSheetId="5" hidden="1">0.000001</definedName>
    <definedName name="solver_rel1" localSheetId="0" hidden="1">1</definedName>
    <definedName name="solver_rel1" localSheetId="5" hidden="1">1</definedName>
    <definedName name="solver_rel2" localSheetId="0" hidden="1">3</definedName>
    <definedName name="solver_rel2" localSheetId="5" hidden="1">3</definedName>
    <definedName name="solver_rel3" localSheetId="0" hidden="1">1</definedName>
    <definedName name="solver_rel3" localSheetId="5" hidden="1">1</definedName>
    <definedName name="solver_rel4" localSheetId="0" hidden="1">1</definedName>
    <definedName name="solver_rel4" localSheetId="5" hidden="1">1</definedName>
    <definedName name="solver_reo" localSheetId="0" hidden="1">2</definedName>
    <definedName name="solver_reo" localSheetId="5" hidden="1">2</definedName>
    <definedName name="solver_rep" localSheetId="0" hidden="1">2</definedName>
    <definedName name="solver_rep" localSheetId="5" hidden="1">2</definedName>
    <definedName name="solver_rhs1" localSheetId="0" hidden="1">'2-products'!$C$7:$D$7</definedName>
    <definedName name="solver_rhs1" localSheetId="5" hidden="1">'4-products'!$C$7:$F$7</definedName>
    <definedName name="solver_rhs2" localSheetId="0" hidden="1">'2-products'!$C$6:$D$6</definedName>
    <definedName name="solver_rhs2" localSheetId="5" hidden="1">'4-products'!$C$6:$F$6</definedName>
    <definedName name="solver_rhs3" localSheetId="0" hidden="1">'2-products'!$F$16:$F$19</definedName>
    <definedName name="solver_rhs3" localSheetId="5" hidden="1">'4-products'!$H$16:$H$19</definedName>
    <definedName name="solver_rhs4" localSheetId="0" hidden="1">'2-products'!$F$22:$F$23</definedName>
    <definedName name="solver_rhs4" localSheetId="5" hidden="1">'4-products'!$H$22:$H$23</definedName>
    <definedName name="solver_rlx" localSheetId="0" hidden="1">2</definedName>
    <definedName name="solver_rlx" localSheetId="5" hidden="1">2</definedName>
    <definedName name="solver_rsd" localSheetId="0" hidden="1">0</definedName>
    <definedName name="solver_rsd" localSheetId="5" hidden="1">0</definedName>
    <definedName name="solver_scl" localSheetId="0" hidden="1">2</definedName>
    <definedName name="solver_scl" localSheetId="5" hidden="1">2</definedName>
    <definedName name="solver_sho" localSheetId="0" hidden="1">2</definedName>
    <definedName name="solver_sho" localSheetId="5" hidden="1">2</definedName>
    <definedName name="solver_ssz" localSheetId="0" hidden="1">100</definedName>
    <definedName name="solver_ssz" localSheetId="5" hidden="1">100</definedName>
    <definedName name="solver_std" localSheetId="0" hidden="1">1</definedName>
    <definedName name="solver_std" localSheetId="5" hidden="1">1</definedName>
    <definedName name="solver_tim" localSheetId="0" hidden="1">100</definedName>
    <definedName name="solver_tim" localSheetId="5" hidden="1">100</definedName>
    <definedName name="solver_tol" localSheetId="0" hidden="1">0.0005</definedName>
    <definedName name="solver_tol" localSheetId="5" hidden="1">0.0005</definedName>
    <definedName name="solver_typ" localSheetId="0" hidden="1">1</definedName>
    <definedName name="solver_typ" localSheetId="5" hidden="1">1</definedName>
    <definedName name="solver_val" localSheetId="0" hidden="1">0</definedName>
    <definedName name="solver_val" localSheetId="5" hidden="1">0</definedName>
    <definedName name="solver_ver" localSheetId="0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6" i="14" l="1"/>
  <c r="H53" i="14"/>
  <c r="D56" i="14"/>
  <c r="D57" i="14" s="1"/>
  <c r="C56" i="14"/>
  <c r="C58" i="14" s="1"/>
  <c r="B56" i="14"/>
  <c r="D53" i="14"/>
  <c r="D54" i="14" s="1"/>
  <c r="C53" i="14"/>
  <c r="C55" i="14" s="1"/>
  <c r="D50" i="14"/>
  <c r="C50" i="14"/>
  <c r="H50" i="14" s="1"/>
  <c r="B53" i="14"/>
  <c r="D51" i="14"/>
  <c r="C52" i="14"/>
  <c r="B50" i="14"/>
  <c r="B46" i="14"/>
  <c r="D44" i="14"/>
  <c r="C44" i="14"/>
  <c r="G40" i="14"/>
  <c r="D43" i="14"/>
  <c r="D42" i="14"/>
  <c r="C41" i="14"/>
  <c r="C40" i="14"/>
  <c r="C39" i="14"/>
  <c r="D38" i="14"/>
  <c r="B38" i="14"/>
  <c r="D36" i="14"/>
  <c r="C37" i="14"/>
  <c r="B36" i="14"/>
  <c r="D34" i="14"/>
  <c r="C35" i="14"/>
  <c r="B34" i="14"/>
  <c r="D32" i="14"/>
  <c r="C33" i="14"/>
  <c r="B32" i="14"/>
  <c r="D30" i="14"/>
  <c r="C31" i="14"/>
  <c r="B30" i="14"/>
  <c r="D28" i="14"/>
  <c r="C29" i="14"/>
  <c r="B28" i="14"/>
  <c r="D27" i="14"/>
  <c r="D26" i="14"/>
  <c r="B26" i="14"/>
  <c r="D25" i="14"/>
  <c r="D24" i="14"/>
  <c r="B24" i="14"/>
  <c r="C23" i="14"/>
  <c r="C22" i="14"/>
  <c r="B22" i="14"/>
  <c r="B9" i="14"/>
  <c r="B8" i="14"/>
  <c r="B7" i="14"/>
  <c r="B6" i="14"/>
  <c r="B20" i="14" s="1"/>
  <c r="D2" i="14"/>
  <c r="C2" i="14"/>
  <c r="C19" i="14"/>
  <c r="D18" i="14"/>
  <c r="D17" i="14"/>
  <c r="C17" i="14"/>
  <c r="B18" i="14"/>
  <c r="H15" i="14"/>
  <c r="H14" i="14"/>
  <c r="H13" i="14"/>
  <c r="H12" i="14"/>
  <c r="H11" i="14"/>
  <c r="H10" i="14"/>
  <c r="H9" i="14"/>
  <c r="H8" i="14"/>
  <c r="H7" i="14"/>
  <c r="H6" i="14"/>
  <c r="H4" i="14"/>
  <c r="F15" i="14"/>
  <c r="F14" i="14"/>
  <c r="F13" i="14"/>
  <c r="F12" i="14"/>
  <c r="F11" i="14"/>
  <c r="F10" i="14"/>
  <c r="C14" i="14" a="1"/>
  <c r="C14" i="14" s="1"/>
  <c r="C10" i="14" a="1"/>
  <c r="C10" i="14" s="1"/>
  <c r="F9" i="14"/>
  <c r="F7" i="14"/>
  <c r="F8" i="14"/>
  <c r="F6" i="14"/>
  <c r="B15" i="14"/>
  <c r="B14" i="14"/>
  <c r="B13" i="14"/>
  <c r="B12" i="14"/>
  <c r="B11" i="14"/>
  <c r="B10" i="14"/>
  <c r="F4" i="14"/>
  <c r="D4" i="14"/>
  <c r="C4" i="14"/>
  <c r="B20" i="12"/>
  <c r="G8" i="12"/>
  <c r="D25" i="12"/>
  <c r="D26" i="12" s="1"/>
  <c r="D28" i="12" s="1"/>
  <c r="D7" i="11" s="1"/>
  <c r="C25" i="12"/>
  <c r="C26" i="12" s="1"/>
  <c r="C28" i="12" s="1"/>
  <c r="C7" i="11" s="1"/>
  <c r="D19" i="11"/>
  <c r="C19" i="11"/>
  <c r="D18" i="11"/>
  <c r="C18" i="11"/>
  <c r="D17" i="11"/>
  <c r="C17" i="11"/>
  <c r="D16" i="11"/>
  <c r="C16" i="11"/>
  <c r="D6" i="11"/>
  <c r="C6" i="11"/>
  <c r="D13" i="12"/>
  <c r="H7" i="11"/>
  <c r="H6" i="11"/>
  <c r="H9" i="11"/>
  <c r="H10" i="11"/>
  <c r="I8" i="12"/>
  <c r="I4" i="12"/>
  <c r="J12" i="12"/>
  <c r="H12" i="12"/>
  <c r="F28" i="12"/>
  <c r="F26" i="12"/>
  <c r="F25" i="12"/>
  <c r="L21" i="12"/>
  <c r="J21" i="12"/>
  <c r="I21" i="12"/>
  <c r="G21" i="12"/>
  <c r="C11" i="13" l="1"/>
  <c r="C13" i="12"/>
  <c r="D12" i="12"/>
  <c r="F12" i="12" s="1"/>
  <c r="D11" i="13"/>
  <c r="D22" i="11" l="1"/>
  <c r="H17" i="12"/>
  <c r="F13" i="12"/>
  <c r="D23" i="11" l="1"/>
  <c r="H18" i="12"/>
  <c r="K17" i="12"/>
  <c r="K18" i="12" l="1"/>
  <c r="D22" i="13" l="1"/>
  <c r="D9" i="11" s="1"/>
  <c r="C22" i="13"/>
  <c r="C9" i="11" s="1"/>
  <c r="D16" i="13"/>
  <c r="D18" i="13" s="1"/>
  <c r="D20" i="13" s="1"/>
  <c r="C16" i="13"/>
  <c r="C18" i="13" s="1"/>
  <c r="C20" i="13" s="1"/>
  <c r="D23" i="13"/>
  <c r="D10" i="11" s="1"/>
  <c r="D24" i="13" l="1"/>
  <c r="C23" i="13"/>
  <c r="C24" i="13" l="1"/>
  <c r="C10" i="11"/>
  <c r="G7" i="12" l="1"/>
  <c r="F19" i="11" s="1"/>
  <c r="G6" i="12"/>
  <c r="F18" i="11" s="1"/>
  <c r="G5" i="12"/>
  <c r="F17" i="11" s="1"/>
  <c r="G4" i="12"/>
  <c r="F16" i="11" s="1"/>
  <c r="E19" i="11"/>
  <c r="E18" i="11"/>
  <c r="E17" i="11"/>
  <c r="E16" i="11"/>
  <c r="D11" i="11"/>
  <c r="C11" i="11"/>
  <c r="H23" i="11"/>
  <c r="H17" i="11"/>
  <c r="H22" i="11"/>
  <c r="H16" i="11"/>
  <c r="H11" i="11"/>
  <c r="H19" i="11"/>
  <c r="H13" i="11"/>
  <c r="H18" i="11"/>
  <c r="C13" i="11" l="1"/>
  <c r="G23" i="1"/>
  <c r="G22" i="1"/>
  <c r="G19" i="1"/>
  <c r="G18" i="1"/>
  <c r="G17" i="1"/>
  <c r="G16" i="1"/>
  <c r="F11" i="1"/>
  <c r="E11" i="1"/>
  <c r="D11" i="1"/>
  <c r="C11" i="1"/>
  <c r="C13" i="1" s="1"/>
  <c r="J11" i="1"/>
  <c r="J13" i="1"/>
  <c r="J22" i="1"/>
  <c r="J23" i="1"/>
  <c r="J17" i="1"/>
  <c r="J18" i="1"/>
  <c r="J19" i="1"/>
  <c r="J16" i="1"/>
  <c r="E13" i="12" l="1"/>
  <c r="C23" i="11" s="1"/>
  <c r="E23" i="11" s="1"/>
  <c r="C12" i="12"/>
  <c r="E12" i="12"/>
  <c r="G17" i="12" s="1"/>
  <c r="C22" i="11" l="1"/>
  <c r="E22" i="11" s="1"/>
  <c r="J17" i="12"/>
  <c r="I17" i="12"/>
  <c r="L17" i="12" s="1"/>
  <c r="F22" i="11" s="1"/>
  <c r="G18" i="12"/>
  <c r="I18" i="12" l="1"/>
  <c r="J18" i="12"/>
  <c r="L18" i="12" l="1"/>
  <c r="F2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5" authorId="0" shapeId="0" xr:uid="{C9B82249-3DB2-400A-8841-62FB1EF32D59}">
      <text>
        <r>
          <rPr>
            <sz val="8"/>
            <color indexed="81"/>
            <rFont val="Tahoma"/>
            <family val="2"/>
          </rPr>
          <t>Decision variable cell</t>
        </r>
      </text>
    </comment>
    <comment ref="D5" authorId="0" shapeId="0" xr:uid="{AEFF01A1-13E6-49E9-BE5C-629F0D77AF98}">
      <text>
        <r>
          <rPr>
            <sz val="8"/>
            <color indexed="81"/>
            <rFont val="Tahoma"/>
            <family val="2"/>
          </rPr>
          <t>Decision variable cell</t>
        </r>
      </text>
    </comment>
    <comment ref="C13" authorId="0" shapeId="0" xr:uid="{7BEE6DFC-0BD0-4FC0-BBA6-5A4C2AA70D51}">
      <text>
        <r>
          <rPr>
            <sz val="8"/>
            <color indexed="81"/>
            <rFont val="Tahoma"/>
            <family val="2"/>
          </rPr>
          <t>Objective cell</t>
        </r>
      </text>
    </comment>
    <comment ref="E16" authorId="0" shapeId="0" xr:uid="{8F025157-2DF3-45A2-9787-FB0EEA15530B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 xr:uid="{9668BB2C-F697-4E8E-90B1-CE626D9EEEE7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 xr:uid="{F543CF91-A8E9-4598-97AE-9D0CC2744D86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9" authorId="0" shapeId="0" xr:uid="{0ADE9CC1-F3A9-4867-99B6-A54E9934B179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2" authorId="0" shapeId="0" xr:uid="{D2E4F49B-C67F-4ACE-80CA-71F562CF374E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23" authorId="0" shapeId="0" xr:uid="{0A9B4C83-01CC-42A9-BA5A-F3F4B94C7413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5" authorId="0" shapeId="0" xr:uid="{00000000-0006-0000-00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 xr:uid="{00000000-0006-0000-00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5" authorId="0" shapeId="0" xr:uid="{00000000-0006-0000-0000-000003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F5" authorId="0" shapeId="0" xr:uid="{00000000-0006-0000-0000-000004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C13" authorId="0" shapeId="0" xr:uid="{00000000-0006-0000-0000-000005000000}">
      <text>
        <r>
          <rPr>
            <sz val="8"/>
            <color indexed="81"/>
            <rFont val="Tahoma"/>
            <family val="2"/>
          </rPr>
          <t>Objective cell</t>
        </r>
      </text>
    </comment>
    <comment ref="G16" authorId="0" shapeId="0" xr:uid="{00000000-0006-0000-0000-000006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7" authorId="0" shapeId="0" xr:uid="{00000000-0006-0000-0000-000007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8" authorId="0" shapeId="0" xr:uid="{00000000-0006-0000-0000-000008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19" authorId="0" shapeId="0" xr:uid="{00000000-0006-0000-0000-000009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22" authorId="0" shapeId="0" xr:uid="{00000000-0006-0000-0000-00000A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G23" authorId="0" shapeId="0" xr:uid="{00000000-0006-0000-0000-00000B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<sst xmlns="http://schemas.openxmlformats.org/spreadsheetml/2006/main" count="220" uniqueCount="145">
  <si>
    <t>Min Req'd</t>
  </si>
  <si>
    <t>Max Needed</t>
  </si>
  <si>
    <t>Direct Materials</t>
  </si>
  <si>
    <t>Used</t>
  </si>
  <si>
    <t>Available</t>
  </si>
  <si>
    <t>Total Profit</t>
  </si>
  <si>
    <t>Unit Selling Price</t>
  </si>
  <si>
    <t>Unit Variable Cost</t>
  </si>
  <si>
    <t>Unit Profit Margin</t>
  </si>
  <si>
    <t xml:space="preserve"> </t>
  </si>
  <si>
    <t>Microsoft Excel 16.0 Sensitivity Report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</si>
  <si>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</si>
  <si>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</si>
  <si>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</si>
  <si>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</si>
  <si>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</si>
  <si>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</si>
  <si>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</si>
  <si>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</si>
  <si>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</si>
  <si>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</si>
  <si>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</si>
  <si>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</si>
  <si>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</si>
  <si>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</si>
  <si>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</si>
  <si>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</si>
  <si>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</si>
  <si>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$C$5</t>
  </si>
  <si>
    <t>$D$5</t>
  </si>
  <si>
    <t>$E$5</t>
  </si>
  <si>
    <t>$F$5</t>
  </si>
  <si>
    <t>$G$16</t>
  </si>
  <si>
    <t>$G$17</t>
  </si>
  <si>
    <t>$G$18</t>
  </si>
  <si>
    <t>$G$19</t>
  </si>
  <si>
    <t>$G$22</t>
  </si>
  <si>
    <t>$G$23</t>
  </si>
  <si>
    <t>Processing</t>
  </si>
  <si>
    <t>staging</t>
  </si>
  <si>
    <t>assembling</t>
  </si>
  <si>
    <t>baking</t>
  </si>
  <si>
    <t>packaging</t>
  </si>
  <si>
    <t>dough</t>
  </si>
  <si>
    <t>filling</t>
  </si>
  <si>
    <t>pies produced</t>
  </si>
  <si>
    <t>fruit</t>
  </si>
  <si>
    <t>savory</t>
  </si>
  <si>
    <t>custard</t>
  </si>
  <si>
    <t>minutes required per pie</t>
  </si>
  <si>
    <t>Ingredients required per pie</t>
  </si>
  <si>
    <t>bagnet</t>
  </si>
  <si>
    <t>Make-A-Pie product mix</t>
  </si>
  <si>
    <t>Worksheet: [pie-product-mix-lp.xlsm]Production Plan</t>
  </si>
  <si>
    <t>Report Created: 3/31/2021 3:10:30 PM</t>
  </si>
  <si>
    <t>pies produced fruit</t>
  </si>
  <si>
    <t>pies produced savory</t>
  </si>
  <si>
    <t>pies produced custard</t>
  </si>
  <si>
    <t>pies produced bagnet</t>
  </si>
  <si>
    <t>staging Used</t>
  </si>
  <si>
    <t>assembling Used</t>
  </si>
  <si>
    <t>baking Used</t>
  </si>
  <si>
    <t>packaging Used</t>
  </si>
  <si>
    <t>dough Used</t>
  </si>
  <si>
    <t>filling Used</t>
  </si>
  <si>
    <t>direct materials</t>
  </si>
  <si>
    <t>processing</t>
  </si>
  <si>
    <t>minutes per pie</t>
  </si>
  <si>
    <t>used</t>
  </si>
  <si>
    <t>available</t>
  </si>
  <si>
    <t>unit selling price</t>
  </si>
  <si>
    <t>unit variable cost</t>
  </si>
  <si>
    <t>unit margin</t>
  </si>
  <si>
    <t>total margin</t>
  </si>
  <si>
    <t>fte</t>
  </si>
  <si>
    <t>days</t>
  </si>
  <si>
    <t>shifts / day</t>
  </si>
  <si>
    <t>hours / shift</t>
  </si>
  <si>
    <t>minutes / week</t>
  </si>
  <si>
    <t>Sales</t>
  </si>
  <si>
    <t>Variable Costs</t>
  </si>
  <si>
    <t xml:space="preserve">  Direct materials</t>
  </si>
  <si>
    <t xml:space="preserve">  Direct labor</t>
  </si>
  <si>
    <t xml:space="preserve">  Variable manufacturing overhead</t>
  </si>
  <si>
    <t xml:space="preserve">  Variable selling &amp; administrative</t>
  </si>
  <si>
    <t>Total</t>
  </si>
  <si>
    <t>Allocated Fixed Costs</t>
  </si>
  <si>
    <t xml:space="preserve">  Manufacturing overhead</t>
  </si>
  <si>
    <t xml:space="preserve">  Selling &amp; Administrative</t>
  </si>
  <si>
    <t>Net Profit</t>
  </si>
  <si>
    <t>Units Sold</t>
  </si>
  <si>
    <t>Net Profit Per Unit</t>
  </si>
  <si>
    <t>Marginal Revenue Per Unit</t>
  </si>
  <si>
    <t>Variable Cost Per Unit</t>
  </si>
  <si>
    <t>Marginal Profit Per Unit</t>
  </si>
  <si>
    <t>Direct materials per unit</t>
  </si>
  <si>
    <t>Filling</t>
  </si>
  <si>
    <t>Dough</t>
  </si>
  <si>
    <t>unit cost</t>
  </si>
  <si>
    <t>material proportion</t>
  </si>
  <si>
    <t>usage</t>
  </si>
  <si>
    <t>beginning inventory</t>
  </si>
  <si>
    <t>materials</t>
  </si>
  <si>
    <t>ending inventory</t>
  </si>
  <si>
    <t>addition to inventory</t>
  </si>
  <si>
    <t>`</t>
  </si>
  <si>
    <t>average availability</t>
  </si>
  <si>
    <t>Contract requirements</t>
  </si>
  <si>
    <t>total</t>
  </si>
  <si>
    <t>minutes / pie</t>
  </si>
  <si>
    <t>maximum labor capacity</t>
  </si>
  <si>
    <t>factor</t>
  </si>
  <si>
    <t>proportion per pie</t>
  </si>
  <si>
    <t>gross labor capacity</t>
  </si>
  <si>
    <t>G17:</t>
  </si>
  <si>
    <t>I17:</t>
  </si>
  <si>
    <t>J17:</t>
  </si>
  <si>
    <t>L17:</t>
  </si>
  <si>
    <t>C12:</t>
  </si>
  <si>
    <t>E12:</t>
  </si>
  <si>
    <t>G3:</t>
  </si>
  <si>
    <t>G8:</t>
  </si>
  <si>
    <t>Availability and capacity</t>
  </si>
  <si>
    <t>profit</t>
  </si>
  <si>
    <t>X</t>
  </si>
  <si>
    <t>Y</t>
  </si>
  <si>
    <t>c</t>
  </si>
  <si>
    <t>=</t>
  </si>
  <si>
    <t>&gt;=</t>
  </si>
  <si>
    <t>&lt;=</t>
  </si>
  <si>
    <t>minimum</t>
  </si>
  <si>
    <t>maximum</t>
  </si>
  <si>
    <t>title-1</t>
  </si>
  <si>
    <t>min and max decisions</t>
  </si>
  <si>
    <t>title-2</t>
  </si>
  <si>
    <t>title-3</t>
  </si>
  <si>
    <t>processing - all</t>
  </si>
  <si>
    <t>title-2a</t>
  </si>
  <si>
    <t>processing - no redundancy + materials</t>
  </si>
  <si>
    <t>title-4</t>
  </si>
  <si>
    <t>assembling-baking + profit</t>
  </si>
  <si>
    <t>fruit*</t>
  </si>
  <si>
    <t>savory*</t>
  </si>
  <si>
    <t>solution</t>
  </si>
  <si>
    <t>iso-profit curves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</si>
</sst>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&quot;$&quot;#,##0.0000"/>
    <numFmt numFmtId="170" formatCode="&quot;$&quot;#,##0"/>
  </numFmts>
  <fonts count="10" x14ac:knownFonts="1">
    <font>
      <sz val="12"/>
      <name val="Arial"/>
    </font>
    <font>
      <sz val="8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sz val="12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73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7" xfId="0" applyFill="1" applyBorder="1" applyAlignment="1"/>
    <xf numFmtId="0" fontId="0" fillId="0" borderId="8" xfId="0" applyFill="1" applyBorder="1" applyAlignment="1"/>
    <xf numFmtId="0" fontId="2" fillId="0" borderId="0" xfId="0" applyFont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164" fontId="2" fillId="4" borderId="3" xfId="0" applyNumberFormat="1" applyFont="1" applyFill="1" applyBorder="1" applyAlignment="1">
      <alignment horizontal="center"/>
    </xf>
    <xf numFmtId="0" fontId="0" fillId="0" borderId="4" xfId="0" applyBorder="1"/>
    <xf numFmtId="0" fontId="2" fillId="3" borderId="10" xfId="0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0" borderId="0" xfId="0" applyFont="1"/>
    <xf numFmtId="164" fontId="0" fillId="0" borderId="0" xfId="0" applyNumberFormat="1"/>
    <xf numFmtId="0" fontId="0" fillId="0" borderId="0" xfId="1" applyNumberFormat="1" applyFont="1"/>
    <xf numFmtId="165" fontId="0" fillId="0" borderId="0" xfId="0" applyNumberFormat="1"/>
    <xf numFmtId="0" fontId="4" fillId="0" borderId="0" xfId="0" applyFont="1" applyAlignment="1">
      <alignment horizontal="center"/>
    </xf>
    <xf numFmtId="0" fontId="4" fillId="0" borderId="9" xfId="0" applyFont="1" applyBorder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" fontId="2" fillId="2" borderId="2" xfId="0" applyNumberFormat="1" applyFont="1" applyFill="1" applyBorder="1" applyAlignment="1">
      <alignment horizontal="center"/>
    </xf>
    <xf numFmtId="170" fontId="2" fillId="4" borderId="11" xfId="0" applyNumberFormat="1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4" fillId="0" borderId="12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0" fillId="0" borderId="12" xfId="0" applyNumberFormat="1" applyBorder="1"/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14" xfId="0" applyBorder="1"/>
    <xf numFmtId="0" fontId="4" fillId="0" borderId="0" xfId="0" applyFont="1" applyAlignment="1">
      <alignment horizontal="right"/>
    </xf>
    <xf numFmtId="1" fontId="0" fillId="0" borderId="12" xfId="0" applyNumberFormat="1" applyBorder="1"/>
    <xf numFmtId="1" fontId="0" fillId="0" borderId="0" xfId="0" applyNumberFormat="1"/>
    <xf numFmtId="0" fontId="4" fillId="0" borderId="13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0" borderId="16" xfId="0" applyBorder="1"/>
    <xf numFmtId="0" fontId="8" fillId="0" borderId="0" xfId="0" applyFont="1"/>
    <xf numFmtId="0" fontId="8" fillId="0" borderId="4" xfId="0" applyFont="1" applyBorder="1"/>
    <xf numFmtId="0" fontId="7" fillId="0" borderId="4" xfId="0" applyFont="1" applyBorder="1"/>
    <xf numFmtId="0" fontId="1" fillId="0" borderId="4" xfId="0" applyFont="1" applyBorder="1" applyAlignment="1">
      <alignment horizontal="right"/>
    </xf>
    <xf numFmtId="0" fontId="0" fillId="0" borderId="4" xfId="0" applyBorder="1" applyAlignment="1">
      <alignment vertical="center"/>
    </xf>
    <xf numFmtId="0" fontId="1" fillId="0" borderId="4" xfId="0" applyFont="1" applyBorder="1" applyAlignment="1"/>
    <xf numFmtId="0" fontId="8" fillId="0" borderId="4" xfId="0" applyFont="1" applyBorder="1" applyAlignment="1">
      <alignment horizontal="right"/>
    </xf>
    <xf numFmtId="0" fontId="8" fillId="0" borderId="4" xfId="0" applyFont="1" applyBorder="1" applyAlignment="1"/>
    <xf numFmtId="0" fontId="8" fillId="0" borderId="17" xfId="0" applyFont="1" applyBorder="1"/>
    <xf numFmtId="0" fontId="8" fillId="0" borderId="4" xfId="0" applyFont="1" applyBorder="1" applyAlignment="1">
      <alignment horizontal="center"/>
    </xf>
    <xf numFmtId="0" fontId="1" fillId="0" borderId="4" xfId="0" applyFont="1" applyBorder="1" applyAlignment="1">
      <alignment horizontal="right" vertical="center"/>
    </xf>
    <xf numFmtId="0" fontId="1" fillId="0" borderId="4" xfId="0" applyFont="1" applyBorder="1" applyAlignment="1">
      <alignment horizontal="center" vertical="center"/>
    </xf>
    <xf numFmtId="0" fontId="9" fillId="0" borderId="0" xfId="0" applyFont="1"/>
    <xf numFmtId="165" fontId="0" fillId="0" borderId="16" xfId="0" applyNumberFormat="1" applyBorder="1"/>
    <xf numFmtId="164" fontId="0" fillId="0" borderId="16" xfId="0" applyNumberFormat="1" applyBorder="1"/>
    <xf numFmtId="164" fontId="0" fillId="0" borderId="9" xfId="0" applyNumberFormat="1" applyBorder="1"/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0" fontId="4" fillId="0" borderId="9" xfId="0" applyFont="1" applyBorder="1" applyAlignment="1">
      <alignment horizontal="right"/>
    </xf>
    <xf numFmtId="2" fontId="0" fillId="0" borderId="9" xfId="0" applyNumberFormat="1" applyBorder="1"/>
    <xf numFmtId="2" fontId="4" fillId="0" borderId="9" xfId="0" applyNumberFormat="1" applyFon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equations!$G$20</c:f>
          <c:strCache>
            <c:ptCount val="1"/>
            <c:pt idx="0">
              <c:v>min and max decisions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equations!$B$20</c:f>
              <c:strCache>
                <c:ptCount val="1"/>
                <c:pt idx="0">
                  <c:v>minimum 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equations!$C$20:$C$21</c:f>
              <c:numCache>
                <c:formatCode>General</c:formatCode>
                <c:ptCount val="2"/>
                <c:pt idx="0">
                  <c:v>6000</c:v>
                </c:pt>
                <c:pt idx="1">
                  <c:v>6000</c:v>
                </c:pt>
              </c:numCache>
            </c:numRef>
          </c:xVal>
          <c:yVal>
            <c:numRef>
              <c:f>equations!$D$20:$D$21</c:f>
              <c:numCache>
                <c:formatCode>General</c:formatCode>
                <c:ptCount val="2"/>
                <c:pt idx="0">
                  <c:v>0</c:v>
                </c:pt>
                <c:pt idx="1">
                  <c:v>12000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C5-41DC-A419-1D4069EAEE86}"/>
            </c:ext>
          </c:extLst>
        </c:ser>
        <c:ser>
          <c:idx val="2"/>
          <c:order val="1"/>
          <c:tx>
            <c:strRef>
              <c:f>equations!$B$22</c:f>
              <c:strCache>
                <c:ptCount val="1"/>
                <c:pt idx="0">
                  <c:v>maximum fruit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equations!$C$22:$C$23</c:f>
              <c:numCache>
                <c:formatCode>0.00</c:formatCode>
                <c:ptCount val="2"/>
                <c:pt idx="0">
                  <c:v>9511.3846153846152</c:v>
                </c:pt>
                <c:pt idx="1">
                  <c:v>9511.3846153846152</c:v>
                </c:pt>
              </c:numCache>
            </c:numRef>
          </c:xVal>
          <c:yVal>
            <c:numRef>
              <c:f>equations!$D$22:$D$23</c:f>
              <c:numCache>
                <c:formatCode>General</c:formatCode>
                <c:ptCount val="2"/>
                <c:pt idx="0">
                  <c:v>0</c:v>
                </c:pt>
                <c:pt idx="1">
                  <c:v>12000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C5-41DC-A419-1D4069EAEE86}"/>
            </c:ext>
          </c:extLst>
        </c:ser>
        <c:ser>
          <c:idx val="3"/>
          <c:order val="2"/>
          <c:tx>
            <c:strRef>
              <c:f>equations!$B$24</c:f>
              <c:strCache>
                <c:ptCount val="1"/>
                <c:pt idx="0">
                  <c:v>minimum savory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equations!$C$24:$C$25</c:f>
              <c:numCache>
                <c:formatCode>General</c:formatCode>
                <c:ptCount val="2"/>
                <c:pt idx="0">
                  <c:v>12000</c:v>
                </c:pt>
                <c:pt idx="1">
                  <c:v>0</c:v>
                </c:pt>
              </c:numCache>
            </c:numRef>
          </c:xVal>
          <c:yVal>
            <c:numRef>
              <c:f>equations!$D$24:$D$25</c:f>
              <c:numCache>
                <c:formatCode>0.00</c:formatCode>
                <c:ptCount val="2"/>
                <c:pt idx="0">
                  <c:v>300</c:v>
                </c:pt>
                <c:pt idx="1">
                  <c:v>300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1C5-41DC-A419-1D4069EAEE86}"/>
            </c:ext>
          </c:extLst>
        </c:ser>
        <c:ser>
          <c:idx val="0"/>
          <c:order val="3"/>
          <c:tx>
            <c:strRef>
              <c:f>equations!$B$26</c:f>
              <c:strCache>
                <c:ptCount val="1"/>
                <c:pt idx="0">
                  <c:v>maximum savory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equations!$C$26:$C$27</c:f>
              <c:numCache>
                <c:formatCode>General</c:formatCode>
                <c:ptCount val="2"/>
                <c:pt idx="0">
                  <c:v>12000</c:v>
                </c:pt>
                <c:pt idx="1">
                  <c:v>0</c:v>
                </c:pt>
              </c:numCache>
            </c:numRef>
          </c:xVal>
          <c:yVal>
            <c:numRef>
              <c:f>equations!$D$26:$D$27</c:f>
              <c:numCache>
                <c:formatCode>0.00</c:formatCode>
                <c:ptCount val="2"/>
                <c:pt idx="0">
                  <c:v>9159.1111111111113</c:v>
                </c:pt>
                <c:pt idx="1">
                  <c:v>9159.1111111111113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1C5-41DC-A419-1D4069EAE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351664"/>
        <c:axId val="1247438016"/>
      </c:scatterChart>
      <c:valAx>
        <c:axId val="131335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equations!$C$2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438016"/>
        <c:crosses val="autoZero"/>
        <c:crossBetween val="midCat"/>
      </c:valAx>
      <c:valAx>
        <c:axId val="124743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equations!$D$2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351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equations!$G$28</c:f>
          <c:strCache>
            <c:ptCount val="1"/>
            <c:pt idx="0">
              <c:v>processing - all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equations!$B$28</c:f>
              <c:strCache>
                <c:ptCount val="1"/>
                <c:pt idx="0">
                  <c:v>staging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equations!$C$28:$C$29</c:f>
              <c:numCache>
                <c:formatCode>General</c:formatCode>
                <c:ptCount val="2"/>
                <c:pt idx="0">
                  <c:v>0</c:v>
                </c:pt>
                <c:pt idx="1">
                  <c:v>20160</c:v>
                </c:pt>
              </c:numCache>
            </c:numRef>
          </c:xVal>
          <c:yVal>
            <c:numRef>
              <c:f>equations!$D$28:$D$29</c:f>
              <c:numCache>
                <c:formatCode>General</c:formatCode>
                <c:ptCount val="2"/>
                <c:pt idx="0">
                  <c:v>20160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6F-4E79-B84C-09E3D43135CE}"/>
            </c:ext>
          </c:extLst>
        </c:ser>
        <c:ser>
          <c:idx val="1"/>
          <c:order val="1"/>
          <c:tx>
            <c:strRef>
              <c:f>equations!$B$30</c:f>
              <c:strCache>
                <c:ptCount val="1"/>
                <c:pt idx="0">
                  <c:v>assembling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equations!$C$30:$C$31</c:f>
              <c:numCache>
                <c:formatCode>General</c:formatCode>
                <c:ptCount val="2"/>
                <c:pt idx="0">
                  <c:v>0</c:v>
                </c:pt>
                <c:pt idx="1">
                  <c:v>10080</c:v>
                </c:pt>
              </c:numCache>
            </c:numRef>
          </c:xVal>
          <c:yVal>
            <c:numRef>
              <c:f>equations!$D$30:$D$31</c:f>
              <c:numCache>
                <c:formatCode>General</c:formatCode>
                <c:ptCount val="2"/>
                <c:pt idx="0">
                  <c:v>13440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6F-4E79-B84C-09E3D43135CE}"/>
            </c:ext>
          </c:extLst>
        </c:ser>
        <c:ser>
          <c:idx val="2"/>
          <c:order val="2"/>
          <c:tx>
            <c:strRef>
              <c:f>equations!$B$32</c:f>
              <c:strCache>
                <c:ptCount val="1"/>
                <c:pt idx="0">
                  <c:v>baking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equations!$C$32:$C$33</c:f>
              <c:numCache>
                <c:formatCode>General</c:formatCode>
                <c:ptCount val="2"/>
                <c:pt idx="0">
                  <c:v>0</c:v>
                </c:pt>
                <c:pt idx="1">
                  <c:v>11200</c:v>
                </c:pt>
              </c:numCache>
            </c:numRef>
          </c:xVal>
          <c:yVal>
            <c:numRef>
              <c:f>equations!$D$32:$D$33</c:f>
              <c:numCache>
                <c:formatCode>General</c:formatCode>
                <c:ptCount val="2"/>
                <c:pt idx="0">
                  <c:v>10080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6F-4E79-B84C-09E3D43135CE}"/>
            </c:ext>
          </c:extLst>
        </c:ser>
        <c:ser>
          <c:idx val="3"/>
          <c:order val="3"/>
          <c:tx>
            <c:strRef>
              <c:f>equations!$B$34</c:f>
              <c:strCache>
                <c:ptCount val="1"/>
                <c:pt idx="0">
                  <c:v>packaging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equations!$C$34:$C$35</c:f>
              <c:numCache>
                <c:formatCode>General</c:formatCode>
                <c:ptCount val="2"/>
                <c:pt idx="0">
                  <c:v>0</c:v>
                </c:pt>
                <c:pt idx="1">
                  <c:v>13440</c:v>
                </c:pt>
              </c:numCache>
            </c:numRef>
          </c:xVal>
          <c:yVal>
            <c:numRef>
              <c:f>equations!$D$34:$D$35</c:f>
              <c:numCache>
                <c:formatCode>General</c:formatCode>
                <c:ptCount val="2"/>
                <c:pt idx="0">
                  <c:v>13440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6F-4E79-B84C-09E3D4313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103424"/>
        <c:axId val="1039588192"/>
      </c:scatterChart>
      <c:valAx>
        <c:axId val="125610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equations!$C$2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588192"/>
        <c:crosses val="autoZero"/>
        <c:crossBetween val="midCat"/>
      </c:valAx>
      <c:valAx>
        <c:axId val="10395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equations!$D$2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6103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equations!$G$36</c:f>
          <c:strCache>
            <c:ptCount val="1"/>
            <c:pt idx="0">
              <c:v>materials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equations!$B$36</c:f>
              <c:strCache>
                <c:ptCount val="1"/>
                <c:pt idx="0">
                  <c:v>dough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equations!$C$36:$C$37</c:f>
              <c:numCache>
                <c:formatCode>General</c:formatCode>
                <c:ptCount val="2"/>
                <c:pt idx="0">
                  <c:v>0</c:v>
                </c:pt>
                <c:pt idx="1">
                  <c:v>11916.666666666668</c:v>
                </c:pt>
              </c:numCache>
            </c:numRef>
          </c:xVal>
          <c:yVal>
            <c:numRef>
              <c:f>equations!$D$36:$D$37</c:f>
              <c:numCache>
                <c:formatCode>General</c:formatCode>
                <c:ptCount val="2"/>
                <c:pt idx="0">
                  <c:v>14300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0E-4525-AA36-712ED911ABB3}"/>
            </c:ext>
          </c:extLst>
        </c:ser>
        <c:ser>
          <c:idx val="1"/>
          <c:order val="1"/>
          <c:tx>
            <c:strRef>
              <c:f>equations!$B$38</c:f>
              <c:strCache>
                <c:ptCount val="1"/>
                <c:pt idx="0">
                  <c:v>filling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equations!$C$38:$C$39</c:f>
              <c:numCache>
                <c:formatCode>General</c:formatCode>
                <c:ptCount val="2"/>
                <c:pt idx="0">
                  <c:v>0</c:v>
                </c:pt>
                <c:pt idx="1">
                  <c:v>15400</c:v>
                </c:pt>
              </c:numCache>
            </c:numRef>
          </c:xVal>
          <c:yVal>
            <c:numRef>
              <c:f>equations!$D$38:$D$39</c:f>
              <c:numCache>
                <c:formatCode>General</c:formatCode>
                <c:ptCount val="2"/>
                <c:pt idx="0" formatCode="0.00">
                  <c:v>12320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0E-4525-AA36-712ED911A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584432"/>
        <c:axId val="1320357840"/>
      </c:scatterChart>
      <c:valAx>
        <c:axId val="1359584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equations!$C$2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57840"/>
        <c:crosses val="autoZero"/>
        <c:crossBetween val="midCat"/>
      </c:valAx>
      <c:valAx>
        <c:axId val="1320357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equations!$D$2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584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equations!$G$29</c:f>
          <c:strCache>
            <c:ptCount val="1"/>
            <c:pt idx="0">
              <c:v>processing - no redundancy + materials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equations!$B$30</c:f>
              <c:strCache>
                <c:ptCount val="1"/>
                <c:pt idx="0">
                  <c:v>assembling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equations!$C$30:$C$31</c:f>
              <c:numCache>
                <c:formatCode>General</c:formatCode>
                <c:ptCount val="2"/>
                <c:pt idx="0">
                  <c:v>0</c:v>
                </c:pt>
                <c:pt idx="1">
                  <c:v>10080</c:v>
                </c:pt>
              </c:numCache>
            </c:numRef>
          </c:xVal>
          <c:yVal>
            <c:numRef>
              <c:f>equations!$D$30:$D$31</c:f>
              <c:numCache>
                <c:formatCode>General</c:formatCode>
                <c:ptCount val="2"/>
                <c:pt idx="0">
                  <c:v>13440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32-4731-8480-E926E7B1CBE0}"/>
            </c:ext>
          </c:extLst>
        </c:ser>
        <c:ser>
          <c:idx val="2"/>
          <c:order val="1"/>
          <c:tx>
            <c:strRef>
              <c:f>equations!$B$32</c:f>
              <c:strCache>
                <c:ptCount val="1"/>
                <c:pt idx="0">
                  <c:v>baking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equations!$C$32:$C$33</c:f>
              <c:numCache>
                <c:formatCode>General</c:formatCode>
                <c:ptCount val="2"/>
                <c:pt idx="0">
                  <c:v>0</c:v>
                </c:pt>
                <c:pt idx="1">
                  <c:v>11200</c:v>
                </c:pt>
              </c:numCache>
            </c:numRef>
          </c:xVal>
          <c:yVal>
            <c:numRef>
              <c:f>equations!$D$32:$D$33</c:f>
              <c:numCache>
                <c:formatCode>General</c:formatCode>
                <c:ptCount val="2"/>
                <c:pt idx="0">
                  <c:v>10080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32-4731-8480-E926E7B1CBE0}"/>
            </c:ext>
          </c:extLst>
        </c:ser>
        <c:ser>
          <c:idx val="3"/>
          <c:order val="2"/>
          <c:tx>
            <c:strRef>
              <c:f>equations!$B$36</c:f>
              <c:strCache>
                <c:ptCount val="1"/>
                <c:pt idx="0">
                  <c:v>dough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equations!$C$36:$C$37</c:f>
              <c:numCache>
                <c:formatCode>General</c:formatCode>
                <c:ptCount val="2"/>
                <c:pt idx="0">
                  <c:v>0</c:v>
                </c:pt>
                <c:pt idx="1">
                  <c:v>11916.666666666668</c:v>
                </c:pt>
              </c:numCache>
            </c:numRef>
          </c:xVal>
          <c:yVal>
            <c:numRef>
              <c:f>equations!$D$36:$D$37</c:f>
              <c:numCache>
                <c:formatCode>General</c:formatCode>
                <c:ptCount val="2"/>
                <c:pt idx="0">
                  <c:v>14300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32-4731-8480-E926E7B1CBE0}"/>
            </c:ext>
          </c:extLst>
        </c:ser>
        <c:ser>
          <c:idx val="4"/>
          <c:order val="3"/>
          <c:tx>
            <c:strRef>
              <c:f>equations!$B$38</c:f>
              <c:strCache>
                <c:ptCount val="1"/>
                <c:pt idx="0">
                  <c:v>filling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equations!$C$38:$C$39</c:f>
              <c:numCache>
                <c:formatCode>General</c:formatCode>
                <c:ptCount val="2"/>
                <c:pt idx="0">
                  <c:v>0</c:v>
                </c:pt>
                <c:pt idx="1">
                  <c:v>15400</c:v>
                </c:pt>
              </c:numCache>
            </c:numRef>
          </c:xVal>
          <c:yVal>
            <c:numRef>
              <c:f>equations!$D$38:$D$39</c:f>
              <c:numCache>
                <c:formatCode>General</c:formatCode>
                <c:ptCount val="2"/>
                <c:pt idx="0" formatCode="0.00">
                  <c:v>12320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832-4731-8480-E926E7B1C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230464"/>
        <c:axId val="1164906912"/>
      </c:scatterChart>
      <c:valAx>
        <c:axId val="130823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equations!$C$2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06912"/>
        <c:crosses val="autoZero"/>
        <c:crossBetween val="midCat"/>
      </c:valAx>
      <c:valAx>
        <c:axId val="11649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equations!$D$2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23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equations!$G$30</c:f>
          <c:strCache>
            <c:ptCount val="1"/>
            <c:pt idx="0">
              <c:v>assembling-baking + profit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equations!$B$18</c:f>
              <c:strCache>
                <c:ptCount val="1"/>
                <c:pt idx="0">
                  <c:v>profit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equations!$C$18:$C$19</c:f>
              <c:numCache>
                <c:formatCode>General</c:formatCode>
                <c:ptCount val="2"/>
                <c:pt idx="0">
                  <c:v>0</c:v>
                </c:pt>
                <c:pt idx="1">
                  <c:v>10823.081177047865</c:v>
                </c:pt>
              </c:numCache>
            </c:numRef>
          </c:xVal>
          <c:yVal>
            <c:numRef>
              <c:f>equations!$D$18:$D$19</c:f>
              <c:numCache>
                <c:formatCode>General</c:formatCode>
                <c:ptCount val="2"/>
                <c:pt idx="0">
                  <c:v>10936.993188599099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2D-46D5-970E-B48EF9804911}"/>
            </c:ext>
          </c:extLst>
        </c:ser>
        <c:ser>
          <c:idx val="1"/>
          <c:order val="1"/>
          <c:tx>
            <c:strRef>
              <c:f>equations!$B$30</c:f>
              <c:strCache>
                <c:ptCount val="1"/>
                <c:pt idx="0">
                  <c:v>assembling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equations!$C$30:$C$31</c:f>
              <c:numCache>
                <c:formatCode>General</c:formatCode>
                <c:ptCount val="2"/>
                <c:pt idx="0">
                  <c:v>0</c:v>
                </c:pt>
                <c:pt idx="1">
                  <c:v>10080</c:v>
                </c:pt>
              </c:numCache>
            </c:numRef>
          </c:xVal>
          <c:yVal>
            <c:numRef>
              <c:f>equations!$D$30:$D$31</c:f>
              <c:numCache>
                <c:formatCode>General</c:formatCode>
                <c:ptCount val="2"/>
                <c:pt idx="0">
                  <c:v>13440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2D-46D5-970E-B48EF9804911}"/>
            </c:ext>
          </c:extLst>
        </c:ser>
        <c:ser>
          <c:idx val="2"/>
          <c:order val="2"/>
          <c:tx>
            <c:strRef>
              <c:f>equations!$B$32</c:f>
              <c:strCache>
                <c:ptCount val="1"/>
                <c:pt idx="0">
                  <c:v>baking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equations!$C$32:$C$33</c:f>
              <c:numCache>
                <c:formatCode>General</c:formatCode>
                <c:ptCount val="2"/>
                <c:pt idx="0">
                  <c:v>0</c:v>
                </c:pt>
                <c:pt idx="1">
                  <c:v>11200</c:v>
                </c:pt>
              </c:numCache>
            </c:numRef>
          </c:xVal>
          <c:yVal>
            <c:numRef>
              <c:f>equations!$D$32:$D$33</c:f>
              <c:numCache>
                <c:formatCode>General</c:formatCode>
                <c:ptCount val="2"/>
                <c:pt idx="0">
                  <c:v>10080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2D-46D5-970E-B48EF9804911}"/>
            </c:ext>
          </c:extLst>
        </c:ser>
        <c:ser>
          <c:idx val="3"/>
          <c:order val="3"/>
          <c:tx>
            <c:strRef>
              <c:f>equations!$B$40</c:f>
              <c:strCache>
                <c:ptCount val="1"/>
                <c:pt idx="0">
                  <c:v>fruit*</c:v>
                </c:pt>
              </c:strCache>
            </c:strRef>
          </c:tx>
          <c:spPr>
            <a:ln w="158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equations!$C$40:$C$41</c:f>
              <c:numCache>
                <c:formatCode>0</c:formatCode>
                <c:ptCount val="2"/>
                <c:pt idx="0">
                  <c:v>7753.8461538461524</c:v>
                </c:pt>
                <c:pt idx="1">
                  <c:v>7753.8461538461524</c:v>
                </c:pt>
              </c:numCache>
            </c:numRef>
          </c:xVal>
          <c:yVal>
            <c:numRef>
              <c:f>equations!$D$40:$D$41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72D-46D5-970E-B48EF9804911}"/>
            </c:ext>
          </c:extLst>
        </c:ser>
        <c:ser>
          <c:idx val="4"/>
          <c:order val="4"/>
          <c:tx>
            <c:strRef>
              <c:f>equations!$B$42</c:f>
              <c:strCache>
                <c:ptCount val="1"/>
                <c:pt idx="0">
                  <c:v>savory*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equations!$C$42:$C$43</c:f>
              <c:numCache>
                <c:formatCode>General</c:formatCode>
                <c:ptCount val="2"/>
                <c:pt idx="0">
                  <c:v>10000</c:v>
                </c:pt>
                <c:pt idx="1">
                  <c:v>0</c:v>
                </c:pt>
              </c:numCache>
            </c:numRef>
          </c:xVal>
          <c:yVal>
            <c:numRef>
              <c:f>equations!$D$42:$D$43</c:f>
              <c:numCache>
                <c:formatCode>0</c:formatCode>
                <c:ptCount val="2"/>
                <c:pt idx="0">
                  <c:v>3101.5384615384628</c:v>
                </c:pt>
                <c:pt idx="1">
                  <c:v>3101.5384615384628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72D-46D5-970E-B48EF9804911}"/>
            </c:ext>
          </c:extLst>
        </c:ser>
        <c:ser>
          <c:idx val="5"/>
          <c:order val="5"/>
          <c:tx>
            <c:strRef>
              <c:f>equations!$B$44</c:f>
              <c:strCache>
                <c:ptCount val="1"/>
                <c:pt idx="0">
                  <c:v>solution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7"/>
            <c:spPr>
              <a:solidFill>
                <a:schemeClr val="accent6"/>
              </a:solidFill>
              <a:ln w="31750">
                <a:solidFill>
                  <a:schemeClr val="tx1"/>
                </a:solidFill>
              </a:ln>
              <a:effectLst/>
            </c:spPr>
          </c:marker>
          <c:xVal>
            <c:numRef>
              <c:f>equations!$C$44</c:f>
              <c:numCache>
                <c:formatCode>0</c:formatCode>
                <c:ptCount val="1"/>
                <c:pt idx="0">
                  <c:v>7753.8461538461524</c:v>
                </c:pt>
              </c:numCache>
            </c:numRef>
          </c:xVal>
          <c:yVal>
            <c:numRef>
              <c:f>equations!$D$44</c:f>
              <c:numCache>
                <c:formatCode>0</c:formatCode>
                <c:ptCount val="1"/>
                <c:pt idx="0">
                  <c:v>3101.5384615384628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72D-46D5-970E-B48EF980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462896"/>
        <c:axId val="1247435936"/>
      </c:scatterChart>
      <c:valAx>
        <c:axId val="132046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equations!$C$2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7435936"/>
        <c:crosses val="autoZero"/>
        <c:crossBetween val="midCat"/>
      </c:valAx>
      <c:valAx>
        <c:axId val="124743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equations!$D$2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462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equations!$B$48</c:f>
          <c:strCache>
            <c:ptCount val="1"/>
            <c:pt idx="0">
              <c:v>iso-profit curves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equations!$B$50</c:f>
              <c:strCache>
                <c:ptCount val="1"/>
                <c:pt idx="0">
                  <c:v>profit = 20000</c:v>
                </c:pt>
              </c:strCache>
            </c:strRef>
          </c:tx>
          <c:spPr>
            <a:ln w="2222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equations!$C$51:$C$52</c:f>
              <c:numCache>
                <c:formatCode>General</c:formatCode>
                <c:ptCount val="2"/>
                <c:pt idx="0">
                  <c:v>0</c:v>
                </c:pt>
                <c:pt idx="1">
                  <c:v>6708.7501294956783</c:v>
                </c:pt>
              </c:numCache>
            </c:numRef>
          </c:xVal>
          <c:yVal>
            <c:numRef>
              <c:f>equations!$D$51:$D$52</c:f>
              <c:numCache>
                <c:formatCode>General</c:formatCode>
                <c:ptCount val="2"/>
                <c:pt idx="0">
                  <c:v>6779.3591556818692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6C-455B-9257-9DB1C25FAA1D}"/>
            </c:ext>
          </c:extLst>
        </c:ser>
        <c:ser>
          <c:idx val="1"/>
          <c:order val="1"/>
          <c:tx>
            <c:strRef>
              <c:f>equations!$B$53</c:f>
              <c:strCache>
                <c:ptCount val="1"/>
                <c:pt idx="0">
                  <c:v>profit = 30000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2225" cap="rnd">
                <a:solidFill>
                  <a:schemeClr val="accent2"/>
                </a:solidFill>
                <a:prstDash val="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26C-455B-9257-9DB1C25FAA1D}"/>
              </c:ext>
            </c:extLst>
          </c:dPt>
          <c:xVal>
            <c:numRef>
              <c:f>equations!$C$54:$C$55</c:f>
              <c:numCache>
                <c:formatCode>General</c:formatCode>
                <c:ptCount val="2"/>
                <c:pt idx="0">
                  <c:v>0</c:v>
                </c:pt>
                <c:pt idx="1">
                  <c:v>10063.125194243517</c:v>
                </c:pt>
              </c:numCache>
            </c:numRef>
          </c:xVal>
          <c:yVal>
            <c:numRef>
              <c:f>equations!$D$54:$D$55</c:f>
              <c:numCache>
                <c:formatCode>General</c:formatCode>
                <c:ptCount val="2"/>
                <c:pt idx="0">
                  <c:v>10169.038733522804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6C-455B-9257-9DB1C25FAA1D}"/>
            </c:ext>
          </c:extLst>
        </c:ser>
        <c:ser>
          <c:idx val="2"/>
          <c:order val="2"/>
          <c:tx>
            <c:strRef>
              <c:f>equations!$B$56</c:f>
              <c:strCache>
                <c:ptCount val="1"/>
                <c:pt idx="0">
                  <c:v>profit = 40000</c:v>
                </c:pt>
              </c:strCache>
            </c:strRef>
          </c:tx>
          <c:spPr>
            <a:ln w="22225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equations!$C$57:$C$58</c:f>
              <c:numCache>
                <c:formatCode>General</c:formatCode>
                <c:ptCount val="2"/>
                <c:pt idx="0">
                  <c:v>0</c:v>
                </c:pt>
                <c:pt idx="1">
                  <c:v>13417.500258991357</c:v>
                </c:pt>
              </c:numCache>
            </c:numRef>
          </c:xVal>
          <c:yVal>
            <c:numRef>
              <c:f>equations!$D$57:$D$58</c:f>
              <c:numCache>
                <c:formatCode>General</c:formatCode>
                <c:ptCount val="2"/>
                <c:pt idx="0">
                  <c:v>13558.718311363738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6C-455B-9257-9DB1C25FA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5377200"/>
        <c:axId val="1356389200"/>
      </c:scatterChart>
      <c:valAx>
        <c:axId val="1605377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equations!$C$48</c:f>
              <c:strCache>
                <c:ptCount val="1"/>
                <c:pt idx="0">
                  <c:v>fruit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6389200"/>
        <c:crosses val="autoZero"/>
        <c:crossBetween val="midCat"/>
      </c:valAx>
      <c:valAx>
        <c:axId val="13563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equations!$D$48</c:f>
              <c:strCache>
                <c:ptCount val="1"/>
                <c:pt idx="0">
                  <c:v>savory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37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chart" Target="../charts/chart4.xml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hart" Target="../charts/chart3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chart" Target="../charts/chart2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hart" Target="../charts/chart1.xml"/><Relationship Id="rId28" Type="http://schemas.openxmlformats.org/officeDocument/2006/relationships/chart" Target="../charts/chart6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363999</xdr:colOff>
      <xdr:row>3</xdr:row>
      <xdr:rowOff>96786</xdr:rowOff>
    </xdr:from>
    <xdr:to>
      <xdr:col>6</xdr:col>
      <xdr:colOff>663679</xdr:colOff>
      <xdr:row>8</xdr:row>
      <xdr:rowOff>153936</xdr:rowOff>
    </xdr:to>
    <xdr:sp macro="" textlink="">
      <xdr:nvSpPr>
        <xdr:cNvPr id="2" name="Note">
          <a:extLst>
            <a:ext uri="{FF2B5EF4-FFF2-40B4-BE49-F238E27FC236}">
              <a16:creationId xmlns:a16="http://schemas.microsoft.com/office/drawing/2014/main" id="{B98E7333-E3C8-4EBB-8E42-B4059222ACFD}"/>
            </a:ext>
          </a:extLst>
        </xdr:cNvPr>
        <xdr:cNvSpPr txBox="1">
          <a:spLocks noChangeArrowheads="1"/>
        </xdr:cNvSpPr>
      </xdr:nvSpPr>
      <xdr:spPr bwMode="auto">
        <a:xfrm>
          <a:off x="4346064" y="686721"/>
          <a:ext cx="1758131" cy="1023989"/>
        </a:xfrm>
        <a:prstGeom prst="rect">
          <a:avLst/>
        </a:prstGeom>
        <a:solidFill>
          <a:schemeClr val="bg1">
            <a:lumMod val="95000"/>
          </a:schemeClr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C13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C5:D5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E16:E19&lt;=F16:F19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E22:E23&lt;=F22:F23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C5:D5&gt;=C6:D6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C5:D5&lt;=C7:D7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526140</xdr:colOff>
      <xdr:row>3</xdr:row>
      <xdr:rowOff>134100</xdr:rowOff>
    </xdr:from>
    <xdr:to>
      <xdr:col>9</xdr:col>
      <xdr:colOff>615060</xdr:colOff>
      <xdr:row>14</xdr:row>
      <xdr:rowOff>78360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6DE00E1-241C-4ABC-BD0C-4EB546D7460B}"/>
                </a:ext>
              </a:extLst>
            </xdr14:cNvPr>
            <xdr14:cNvContentPartPr/>
          </xdr14:nvContentPartPr>
          <xdr14:nvPr macro=""/>
          <xdr14:xfrm>
            <a:off x="9555840" y="705600"/>
            <a:ext cx="88920" cy="2039760"/>
          </xdr14:xfrm>
        </xdr:contentPart>
      </mc:Choice>
      <mc:Fallback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6DE00E1-241C-4ABC-BD0C-4EB546D7460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46840" y="696960"/>
              <a:ext cx="106560" cy="20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444060</xdr:colOff>
      <xdr:row>13</xdr:row>
      <xdr:rowOff>49980</xdr:rowOff>
    </xdr:from>
    <xdr:to>
      <xdr:col>14</xdr:col>
      <xdr:colOff>84780</xdr:colOff>
      <xdr:row>13</xdr:row>
      <xdr:rowOff>120900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A1BF0B4-D9DE-43EF-A505-6E737270E8C1}"/>
                </a:ext>
              </a:extLst>
            </xdr14:cNvPr>
            <xdr14:cNvContentPartPr/>
          </xdr14:nvContentPartPr>
          <xdr14:nvPr macro=""/>
          <xdr14:xfrm>
            <a:off x="9473760" y="2526480"/>
            <a:ext cx="3298320" cy="70920"/>
          </xdr14:xfrm>
        </xdr:contentPart>
      </mc:Choice>
      <mc:Fallback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A1BF0B4-D9DE-43EF-A505-6E737270E8C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456120" y="2508840"/>
              <a:ext cx="3333960" cy="1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515700</xdr:colOff>
      <xdr:row>3</xdr:row>
      <xdr:rowOff>131580</xdr:rowOff>
    </xdr:from>
    <xdr:to>
      <xdr:col>9</xdr:col>
      <xdr:colOff>654660</xdr:colOff>
      <xdr:row>14</xdr:row>
      <xdr:rowOff>174840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3D9AB429-DF13-485F-831B-6CBB814DE4BE}"/>
                </a:ext>
              </a:extLst>
            </xdr14:cNvPr>
            <xdr14:cNvContentPartPr/>
          </xdr14:nvContentPartPr>
          <xdr14:nvPr macro=""/>
          <xdr14:xfrm>
            <a:off x="9545400" y="703080"/>
            <a:ext cx="138960" cy="2138760"/>
          </xdr14:xfrm>
        </xdr:contentPart>
      </mc:Choice>
      <mc:Fallback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3D9AB429-DF13-485F-831B-6CBB814DE4B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527760" y="685440"/>
              <a:ext cx="174600" cy="217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351180</xdr:colOff>
      <xdr:row>5</xdr:row>
      <xdr:rowOff>64500</xdr:rowOff>
    </xdr:from>
    <xdr:to>
      <xdr:col>13</xdr:col>
      <xdr:colOff>192780</xdr:colOff>
      <xdr:row>14</xdr:row>
      <xdr:rowOff>88800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7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0565742-7958-48EC-8372-0FBC75FF0788}"/>
                </a:ext>
              </a:extLst>
            </xdr14:cNvPr>
            <xdr14:cNvContentPartPr/>
          </xdr14:nvContentPartPr>
          <xdr14:nvPr macro=""/>
          <xdr14:xfrm>
            <a:off x="9380880" y="1017000"/>
            <a:ext cx="2767680" cy="1738800"/>
          </xdr14:xfrm>
        </xdr:contentPart>
      </mc:Choice>
      <mc:Fallback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0565742-7958-48EC-8372-0FBC75FF078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363240" y="999000"/>
              <a:ext cx="2803320" cy="177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508860</xdr:colOff>
      <xdr:row>5</xdr:row>
      <xdr:rowOff>150540</xdr:rowOff>
    </xdr:from>
    <xdr:to>
      <xdr:col>9</xdr:col>
      <xdr:colOff>646740</xdr:colOff>
      <xdr:row>6</xdr:row>
      <xdr:rowOff>100800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9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F777ACEB-8395-4646-B693-65712A876C50}"/>
                </a:ext>
              </a:extLst>
            </xdr14:cNvPr>
            <xdr14:cNvContentPartPr/>
          </xdr14:nvContentPartPr>
          <xdr14:nvPr macro=""/>
          <xdr14:xfrm>
            <a:off x="9538560" y="1103040"/>
            <a:ext cx="137880" cy="140760"/>
          </xdr14:xfrm>
        </xdr:contentPart>
      </mc:Choice>
      <mc:Fallback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F777ACEB-8395-4646-B693-65712A876C5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9520560" y="1085400"/>
              <a:ext cx="173520" cy="17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525780</xdr:colOff>
      <xdr:row>13</xdr:row>
      <xdr:rowOff>54660</xdr:rowOff>
    </xdr:from>
    <xdr:to>
      <xdr:col>12</xdr:col>
      <xdr:colOff>690300</xdr:colOff>
      <xdr:row>13</xdr:row>
      <xdr:rowOff>179220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1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5CB99F40-4EC9-4C03-83A5-5F1101F61DD4}"/>
                </a:ext>
              </a:extLst>
            </xdr14:cNvPr>
            <xdr14:cNvContentPartPr/>
          </xdr14:nvContentPartPr>
          <xdr14:nvPr macro=""/>
          <xdr14:xfrm>
            <a:off x="11750040" y="2531160"/>
            <a:ext cx="164520" cy="124560"/>
          </xdr14:xfrm>
        </xdr:contentPart>
      </mc:Choice>
      <mc:Fallback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5CB99F40-4EC9-4C03-83A5-5F1101F61DD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1732040" y="2513520"/>
              <a:ext cx="200160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109980</xdr:colOff>
      <xdr:row>2</xdr:row>
      <xdr:rowOff>52800</xdr:rowOff>
    </xdr:from>
    <xdr:to>
      <xdr:col>14</xdr:col>
      <xdr:colOff>294300</xdr:colOff>
      <xdr:row>18</xdr:row>
      <xdr:rowOff>174960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3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3DF1686B-6E1C-4A46-A38C-A197365CF309}"/>
                </a:ext>
              </a:extLst>
            </xdr14:cNvPr>
            <xdr14:cNvContentPartPr/>
          </xdr14:nvContentPartPr>
          <xdr14:nvPr macro=""/>
          <xdr14:xfrm>
            <a:off x="9139680" y="433800"/>
            <a:ext cx="3841920" cy="3170160"/>
          </xdr14:xfrm>
        </xdr:contentPart>
      </mc:Choice>
      <mc:Fallback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DF1686B-6E1C-4A46-A38C-A197365CF309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122040" y="415798"/>
              <a:ext cx="3877560" cy="32058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730980</xdr:colOff>
      <xdr:row>19</xdr:row>
      <xdr:rowOff>181740</xdr:rowOff>
    </xdr:from>
    <xdr:to>
      <xdr:col>10</xdr:col>
      <xdr:colOff>578340</xdr:colOff>
      <xdr:row>22</xdr:row>
      <xdr:rowOff>58080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FF0A86F-C54A-422F-9308-8BAB625916B8}"/>
                </a:ext>
              </a:extLst>
            </xdr14:cNvPr>
            <xdr14:cNvContentPartPr/>
          </xdr14:nvContentPartPr>
          <xdr14:nvPr macro=""/>
          <xdr14:xfrm>
            <a:off x="9760680" y="3801240"/>
            <a:ext cx="578880" cy="447840"/>
          </xdr14:xfrm>
        </xdr:contentPart>
      </mc:Choice>
      <mc:Fallback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FF0A86F-C54A-422F-9308-8BAB625916B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742680" y="3783240"/>
              <a:ext cx="614520" cy="48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41940</xdr:colOff>
      <xdr:row>19</xdr:row>
      <xdr:rowOff>180300</xdr:rowOff>
    </xdr:from>
    <xdr:to>
      <xdr:col>14</xdr:col>
      <xdr:colOff>60300</xdr:colOff>
      <xdr:row>27</xdr:row>
      <xdr:rowOff>109620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7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060F391-0F4A-492C-A285-66E67D146939}"/>
                </a:ext>
              </a:extLst>
            </xdr14:cNvPr>
            <xdr14:cNvContentPartPr/>
          </xdr14:nvContentPartPr>
          <xdr14:nvPr macro=""/>
          <xdr14:xfrm>
            <a:off x="9803160" y="3799800"/>
            <a:ext cx="2944440" cy="1453320"/>
          </xdr14:xfrm>
        </xdr:contentPart>
      </mc:Choice>
      <mc:Fallback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060F391-0F4A-492C-A285-66E67D14693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85162" y="3781800"/>
              <a:ext cx="2980076" cy="148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527940</xdr:colOff>
      <xdr:row>29</xdr:row>
      <xdr:rowOff>15660</xdr:rowOff>
    </xdr:from>
    <xdr:to>
      <xdr:col>13</xdr:col>
      <xdr:colOff>720540</xdr:colOff>
      <xdr:row>31</xdr:row>
      <xdr:rowOff>59820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9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F617ADB9-FD06-4E79-8C68-C20F0D40D709}"/>
                </a:ext>
              </a:extLst>
            </xdr14:cNvPr>
            <xdr14:cNvContentPartPr/>
          </xdr14:nvContentPartPr>
          <xdr14:nvPr macro=""/>
          <xdr14:xfrm>
            <a:off x="11752200" y="5540160"/>
            <a:ext cx="924120" cy="425160"/>
          </xdr14:xfrm>
        </xdr:contentPart>
      </mc:Choice>
      <mc:Fallback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F617ADB9-FD06-4E79-8C68-C20F0D40D70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734553" y="5522520"/>
              <a:ext cx="959774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690660</xdr:colOff>
      <xdr:row>28</xdr:row>
      <xdr:rowOff>108300</xdr:rowOff>
    </xdr:from>
    <xdr:to>
      <xdr:col>12</xdr:col>
      <xdr:colOff>46260</xdr:colOff>
      <xdr:row>32</xdr:row>
      <xdr:rowOff>102300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21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4455A72E-68F2-4316-BCF3-3ED41A232942}"/>
                </a:ext>
              </a:extLst>
            </xdr14:cNvPr>
            <xdr14:cNvContentPartPr/>
          </xdr14:nvContentPartPr>
          <xdr14:nvPr macro=""/>
          <xdr14:xfrm>
            <a:off x="9720360" y="5442300"/>
            <a:ext cx="1550160" cy="756000"/>
          </xdr14:xfrm>
        </xdr:contentPart>
      </mc:Choice>
      <mc:Fallback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4455A72E-68F2-4316-BCF3-3ED41A232942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702720" y="5424300"/>
              <a:ext cx="1585800" cy="791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274320</xdr:colOff>
      <xdr:row>0</xdr:row>
      <xdr:rowOff>167640</xdr:rowOff>
    </xdr:from>
    <xdr:to>
      <xdr:col>17</xdr:col>
      <xdr:colOff>457200</xdr:colOff>
      <xdr:row>15</xdr:row>
      <xdr:rowOff>53340</xdr:rowOff>
    </xdr:to>
    <xdr:graphicFrame macro="">
      <xdr:nvGraphicFramePr>
        <xdr:cNvPr id="105" name="Chart 104">
          <a:extLst>
            <a:ext uri="{FF2B5EF4-FFF2-40B4-BE49-F238E27FC236}">
              <a16:creationId xmlns:a16="http://schemas.microsoft.com/office/drawing/2014/main" id="{92A2FDA2-ED00-4E4A-8FA7-06AF7AAA6E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8</xdr:col>
      <xdr:colOff>15240</xdr:colOff>
      <xdr:row>16</xdr:row>
      <xdr:rowOff>144780</xdr:rowOff>
    </xdr:from>
    <xdr:to>
      <xdr:col>14</xdr:col>
      <xdr:colOff>198120</xdr:colOff>
      <xdr:row>31</xdr:row>
      <xdr:rowOff>30480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94E2A2C6-B3C2-477B-8521-DDBC85C79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</xdr:col>
      <xdr:colOff>0</xdr:colOff>
      <xdr:row>31</xdr:row>
      <xdr:rowOff>68580</xdr:rowOff>
    </xdr:from>
    <xdr:to>
      <xdr:col>14</xdr:col>
      <xdr:colOff>182880</xdr:colOff>
      <xdr:row>45</xdr:row>
      <xdr:rowOff>144780</xdr:rowOff>
    </xdr:to>
    <xdr:graphicFrame macro="">
      <xdr:nvGraphicFramePr>
        <xdr:cNvPr id="107" name="Chart 106">
          <a:extLst>
            <a:ext uri="{FF2B5EF4-FFF2-40B4-BE49-F238E27FC236}">
              <a16:creationId xmlns:a16="http://schemas.microsoft.com/office/drawing/2014/main" id="{B90A2788-4B47-484F-9B46-41BC78474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220980</xdr:colOff>
      <xdr:row>3</xdr:row>
      <xdr:rowOff>144780</xdr:rowOff>
    </xdr:from>
    <xdr:to>
      <xdr:col>11</xdr:col>
      <xdr:colOff>60960</xdr:colOff>
      <xdr:row>18</xdr:row>
      <xdr:rowOff>30480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1172E79C-B699-4299-A6F2-D5921AEC5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243840</xdr:colOff>
      <xdr:row>13</xdr:row>
      <xdr:rowOff>76200</xdr:rowOff>
    </xdr:from>
    <xdr:to>
      <xdr:col>8</xdr:col>
      <xdr:colOff>236220</xdr:colOff>
      <xdr:row>27</xdr:row>
      <xdr:rowOff>152400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C89C4040-07CB-48C1-9BE6-91967CAB37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7</xdr:col>
      <xdr:colOff>746760</xdr:colOff>
      <xdr:row>32</xdr:row>
      <xdr:rowOff>83820</xdr:rowOff>
    </xdr:from>
    <xdr:ext cx="184731" cy="264560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87EB32DE-81B5-4E36-AA45-9011A721F1E7}"/>
            </a:ext>
          </a:extLst>
        </xdr:cNvPr>
        <xdr:cNvSpPr txBox="1"/>
      </xdr:nvSpPr>
      <xdr:spPr>
        <a:xfrm>
          <a:off x="6507480" y="6179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1226820</xdr:colOff>
      <xdr:row>19</xdr:row>
      <xdr:rowOff>76200</xdr:rowOff>
    </xdr:from>
    <xdr:ext cx="984885" cy="264560"/>
    <xdr:sp macro="" textlink="$G$40">
      <xdr:nvSpPr>
        <xdr:cNvPr id="112" name="TextBox 111">
          <a:extLst>
            <a:ext uri="{FF2B5EF4-FFF2-40B4-BE49-F238E27FC236}">
              <a16:creationId xmlns:a16="http://schemas.microsoft.com/office/drawing/2014/main" id="{97424A95-96D7-41BF-8D34-995463A74797}"/>
            </a:ext>
          </a:extLst>
        </xdr:cNvPr>
        <xdr:cNvSpPr txBox="1"/>
      </xdr:nvSpPr>
      <xdr:spPr>
        <a:xfrm>
          <a:off x="6987540" y="3695700"/>
          <a:ext cx="98488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087ED3CD-B156-4071-B936-19336F28B0C7}" type="TxLink">
            <a:rPr lang="en-US" sz="1050" b="0" i="0" u="none" strike="noStrike">
              <a:solidFill>
                <a:srgbClr val="000000"/>
              </a:solidFill>
              <a:latin typeface="Arial"/>
              <a:cs typeface="Arial"/>
            </a:rPr>
            <a:t>(7754, 3102)</a:t>
          </a:fld>
          <a:endParaRPr lang="en-US" sz="1000"/>
        </a:p>
      </xdr:txBody>
    </xdr:sp>
    <xdr:clientData/>
  </xdr:oneCellAnchor>
  <xdr:twoCellAnchor>
    <xdr:from>
      <xdr:col>1</xdr:col>
      <xdr:colOff>693420</xdr:colOff>
      <xdr:row>42</xdr:row>
      <xdr:rowOff>22860</xdr:rowOff>
    </xdr:from>
    <xdr:to>
      <xdr:col>7</xdr:col>
      <xdr:colOff>236220</xdr:colOff>
      <xdr:row>56</xdr:row>
      <xdr:rowOff>99060</xdr:rowOff>
    </xdr:to>
    <xdr:graphicFrame macro="">
      <xdr:nvGraphicFramePr>
        <xdr:cNvPr id="113" name="Chart 112">
          <a:extLst>
            <a:ext uri="{FF2B5EF4-FFF2-40B4-BE49-F238E27FC236}">
              <a16:creationId xmlns:a16="http://schemas.microsoft.com/office/drawing/2014/main" id="{67F4E6C0-3E01-4081-AD48-3C0F251950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oneCellAnchor>
    <xdr:from>
      <xdr:col>4</xdr:col>
      <xdr:colOff>182880</xdr:colOff>
      <xdr:row>44</xdr:row>
      <xdr:rowOff>76200</xdr:rowOff>
    </xdr:from>
    <xdr:ext cx="1644425" cy="256737"/>
    <xdr:sp macro="" textlink="$H$50">
      <xdr:nvSpPr>
        <xdr:cNvPr id="114" name="TextBox 113">
          <a:extLst>
            <a:ext uri="{FF2B5EF4-FFF2-40B4-BE49-F238E27FC236}">
              <a16:creationId xmlns:a16="http://schemas.microsoft.com/office/drawing/2014/main" id="{DAC45496-CC3C-4105-AB51-CCF45C8D04AF}"/>
            </a:ext>
          </a:extLst>
        </xdr:cNvPr>
        <xdr:cNvSpPr txBox="1"/>
      </xdr:nvSpPr>
      <xdr:spPr>
        <a:xfrm>
          <a:off x="3901440" y="8458200"/>
          <a:ext cx="164442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1790589D-D7D0-4047-BC83-8348F452CA22}" type="TxLink">
            <a:rPr lang="en-US" sz="1050" b="1" i="0" u="none" strike="noStrike">
              <a:solidFill>
                <a:srgbClr val="00B050"/>
              </a:solidFill>
              <a:latin typeface="Arial"/>
              <a:cs typeface="Arial"/>
            </a:rPr>
            <a:t>2.98 X + 2.95 Y = 20000</a:t>
          </a:fld>
          <a:endParaRPr lang="en-US" sz="1000" b="1">
            <a:solidFill>
              <a:srgbClr val="00B050"/>
            </a:solidFill>
          </a:endParaRPr>
        </a:p>
      </xdr:txBody>
    </xdr:sp>
    <xdr:clientData/>
  </xdr:oneCellAnchor>
  <xdr:oneCellAnchor>
    <xdr:from>
      <xdr:col>4</xdr:col>
      <xdr:colOff>182880</xdr:colOff>
      <xdr:row>46</xdr:row>
      <xdr:rowOff>53340</xdr:rowOff>
    </xdr:from>
    <xdr:ext cx="1644425" cy="256737"/>
    <xdr:sp macro="" textlink="$H$53">
      <xdr:nvSpPr>
        <xdr:cNvPr id="115" name="TextBox 114">
          <a:extLst>
            <a:ext uri="{FF2B5EF4-FFF2-40B4-BE49-F238E27FC236}">
              <a16:creationId xmlns:a16="http://schemas.microsoft.com/office/drawing/2014/main" id="{D696E2E4-9931-4D03-8E29-B3F6F1ECC9E1}"/>
            </a:ext>
          </a:extLst>
        </xdr:cNvPr>
        <xdr:cNvSpPr txBox="1"/>
      </xdr:nvSpPr>
      <xdr:spPr>
        <a:xfrm>
          <a:off x="3901440" y="8816340"/>
          <a:ext cx="164442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D6F32A37-1109-4EE8-B50A-9544F13A786F}" type="TxLink">
            <a:rPr lang="en-US" sz="1050" b="1" i="0" u="none" strike="noStrike">
              <a:solidFill>
                <a:srgbClr val="FF0000"/>
              </a:solidFill>
              <a:latin typeface="Arial"/>
              <a:cs typeface="Arial"/>
            </a:rPr>
            <a:t>2.98 X + 2.95 Y = 30000</a:t>
          </a:fld>
          <a:endParaRPr lang="en-US" sz="1000" b="1">
            <a:solidFill>
              <a:srgbClr val="FF0000"/>
            </a:solidFill>
          </a:endParaRPr>
        </a:p>
      </xdr:txBody>
    </xdr:sp>
    <xdr:clientData/>
  </xdr:oneCellAnchor>
  <xdr:oneCellAnchor>
    <xdr:from>
      <xdr:col>4</xdr:col>
      <xdr:colOff>190500</xdr:colOff>
      <xdr:row>48</xdr:row>
      <xdr:rowOff>45720</xdr:rowOff>
    </xdr:from>
    <xdr:ext cx="1644425" cy="256737"/>
    <xdr:sp macro="" textlink="$H$56">
      <xdr:nvSpPr>
        <xdr:cNvPr id="116" name="TextBox 115">
          <a:extLst>
            <a:ext uri="{FF2B5EF4-FFF2-40B4-BE49-F238E27FC236}">
              <a16:creationId xmlns:a16="http://schemas.microsoft.com/office/drawing/2014/main" id="{F72081AE-AC4C-479B-A01C-A0465E70FD39}"/>
            </a:ext>
          </a:extLst>
        </xdr:cNvPr>
        <xdr:cNvSpPr txBox="1"/>
      </xdr:nvSpPr>
      <xdr:spPr>
        <a:xfrm>
          <a:off x="3909060" y="9189720"/>
          <a:ext cx="1644425" cy="2567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5F48B5A-A3B3-4FA0-8BA7-5FFC294C9C82}" type="TxLink">
            <a:rPr lang="en-US" sz="1050" b="1" i="0" u="none" strike="noStrike">
              <a:solidFill>
                <a:schemeClr val="accent1"/>
              </a:solidFill>
              <a:latin typeface="Arial"/>
              <a:cs typeface="Arial"/>
            </a:rPr>
            <a:t>2.98 X + 2.95 Y = 40000</a:t>
          </a:fld>
          <a:endParaRPr lang="en-US" sz="1000" b="1">
            <a:solidFill>
              <a:schemeClr val="accent1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3</xdr:row>
      <xdr:rowOff>47625</xdr:rowOff>
    </xdr:from>
    <xdr:to>
      <xdr:col>10</xdr:col>
      <xdr:colOff>9525</xdr:colOff>
      <xdr:row>8</xdr:row>
      <xdr:rowOff>104775</xdr:rowOff>
    </xdr:to>
    <xdr:sp macro="" textlink="">
      <xdr:nvSpPr>
        <xdr:cNvPr id="1037" name="Note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SpPr txBox="1">
          <a:spLocks noChangeArrowheads="1"/>
        </xdr:cNvSpPr>
      </xdr:nvSpPr>
      <xdr:spPr bwMode="auto">
        <a:xfrm>
          <a:off x="5962650" y="647700"/>
          <a:ext cx="2619375" cy="1057275"/>
        </a:xfrm>
        <a:prstGeom prst="rect">
          <a:avLst/>
        </a:prstGeom>
        <a:solidFill>
          <a:schemeClr val="bg1">
            <a:lumMod val="95000"/>
          </a:schemeClr>
        </a:solidFill>
        <a:ln w="1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C13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C5:F5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G16:G19&lt;=H16:H19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G22:G23&lt;=H22:H23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C5:F5&gt;=C6:F6 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C5:F5&lt;=C7:F7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2:42.31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1 7066,'0'2'246,"-1"-1"0,0 1 0,0 0 1,1-1-1,-1 1 0,1 0 1,-1 0-1,1 0 0,0-1 0,0 1 1,-1 0-1,1 0 0,1 0 1,-1 0-1,0-1 0,0 1 0,1 0 1,-1 0-1,1 0 0,-1-1 1,1 1-1,0 0 0,1 1 1,23 46-1215,-18-37 1444,4 9-471,-2 2 0,0 0 0,-1 0-1,-1 0 1,-2 1 0,0 0 0,-1 0-1,0 47 1,23 211 376,-22-226-132,-2 66 0,-3-64-141,7 59 0,-1-20-80,-4-60-1,5 39 1,-2-37 78,-1 73 1,-4-74 16,1-1 0,10 57 0,5 13 40,3 112 0,-8-74-73,-5-83-75,8 122 134,-13-144-106,-2 0 0,-8 60 0,-7 41 18,-5 30-70,6-101 101,4 2 1,2-1-1,4 1 1,5 79-1,7-45 208,-6 118-1,-3-131-52,17 164 1,-6-181-224,-1-9 17,1 87 1,-29 317 792,5-312-842,-3 175-22,14-159 75,1 22 20,5-178-39,1-1 0,1 1 0,0-1 0,1 1 0,1-1 0,11 20 0,-17-37-41,0 0 0,1 0 0,-1-1 0,1 1 0,-1 0 0,0 0 0,0 0 1,1 0-1,-1 0 0,0-1 0,0 1 0,0 0 0,0 0 0,0 0 0,0 0 0,0 0 0,0 0 0,0-1 1,-1 3-1,-7 3-6429,-8 1 3196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2:45.813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 95 5569,'3'0'222,"1"1"-1,0 0 1,0-1-1,0 0 0,-1 0 1,1 0-1,0-1 1,0 1-1,0-1 1,-1 0-1,1 0 1,0 0-1,-1 0 0,1-1 1,-1 0-1,1 1 1,-1-1-1,0 0 1,5-5-1,22-11 691,-30 18-805,0 0-36,9-1 21,22-8-62,-24 7 17,0 0 1,0 0-1,0 0 0,1 1 0,-1 0 0,0 0 0,1 1 0,-1 0 0,1 0 0,-1 0 0,1 1 0,7 3 1,17 4 106,1-2 1,0-1 0,-1-1-1,1-2 1,0-1 0,0-1-1,1-2 1,-2-2 0,46-10 0,-20 2 36,1 2 0,0 3 1,88 0-1,-48 9-67,122-6-81,-185 0 16,0 1 0,1 2 0,-1 1 0,0 2 0,0 2 0,0 1 0,47 13 0,-53-11-37,1-1 1,-1-2-1,1-1 1,0-1-1,0-1 0,41-6 1,-6 2 87,-37 4-75,0 1 0,0 1 0,40 11 0,-46-8-13,1-2 0,-1 0 1,1-1-1,0-2 0,0 0 0,27-4 1,38-12 147,-52 8-132,0 0 0,1 3 1,-1 1-1,47 3 0,-13 6-9,135 7 29,-181-12-44,0 0 0,0 2 0,-1 0 1,1 2-1,-1 1 0,0 1 0,0 1 1,31 14-1,-40-15-6,0-1 0,1-1 0,0-1 0,-1 0 0,2-1 0,-1-1 1,0 0-1,0-2 0,1 1 0,19-4 0,114 6 1,22-2 51,-125-5-48,1 2 0,0 2 0,0 2-1,84 15 1,-83-7-9,1-2 1,0-2-1,0-2 0,58-3 0,9-2 34,-77 2-40,0-1 0,0-2 0,-1-2 0,60-13-1,-41 1 17,1 3 0,1 3-1,0 2 1,0 3-1,0 3 1,86 6-1,96 1-24,-76-5 72,160-11 254,-49-1-278,75 1 56,-344 11-88,92 0 47,141 17-1,-199-11 2,0-3 0,1-2 0,-1-1 0,1-2 0,-1-2 0,0-2 0,44-12 0,-53 10-45,0 1-1,1 1 0,0 2 0,0 2 0,0 1 0,0 1 1,45 7-1,-44-2-8,0-1 1,0-1 0,0-3-1,0 0 1,57-9 0,-65 4 1,1 1 0,-1 2 1,1 1-1,0 1 1,-1 2-1,1 0 0,-1 2 1,0 1-1,0 1 0,49 18 1,-52-17 20,0-1 0,0-2 1,0 0-1,1-2 1,-1 0-1,47-4 0,-37 1-14,-1 1 0,65 9 0,-63-5-8,1-1-1,0-2 0,0-1 0,0-2 0,49-9 0,49-2 29,-119 14-31,0 0-1,-1 1 1,1 0-1,0 1 1,-1 1-1,0 0 1,0 1-1,16 8 1,-21-10 8,43 5 306,-52-8-306,0 1-118,0-1 0,0 0 0,0 0 0,0 1 0,0-1 0,0 0 0,0 0 0,0 1 0,0-1 0,0 0 0,0 0 0,-1 1 0,1-1 0,0 0 0,0 0 0,0 1 0,0-1 0,-1 0 0,1 0 1,0 0-1,0 0 0,0 1 0,-1-1 0,1 0 0,0 0 0,0 0 0,-1 0 0,1 0 0,0 0 0,-1 0 0,1 0 0,0 1 0,0-1 0,-1 0 0,1 0 0,0 0 0,0 0 0,-1 0 0,1-1 0,-19-2-2678,12 2 2341,-52-12-2289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2:49.250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 1 2296,'6'29'5396,"-5"-23"-5351,0-1 0,1 0 0,-2 1-1,1-1 1,0 0 0,-2 11 0,-4 15 417,3-23-326,0 0 0,1 0-1,0 0 1,0 1-1,1-1 1,0 0-1,0 0 1,1 0-1,0 1 1,2 8-1,2 2-127,0-1 0,-2 2 0,0-1 0,-1 0 0,-1 27 0,-1-22 27,1-1-1,1 1 0,8 33 1,8 2 83,-11-41-22,-1 1 0,-1-1 0,-1 1-1,0 0 1,0 26 0,-5 17 225,0-38-184,1 0-1,0 0 1,2 0 0,8 42 0,-3-47-99,1 1 0,1-2 0,15 26 0,-14-26 23,0 0 0,-1 1 1,9 26-1,1 37 156,-3 1 0,8 149 0,-15-118 13,-1-21-159,-7 121 0,5-43 337,-1 6-212,-10-100-171,3 1 1,4-1-1,3 0 0,17 89 1,-10-103 124,-3 0 0,-3 0 1,-3 110-1,-5-89-7,4 1 0,19 124-1,-15-145-120,-3 0 0,-7 107-1,0-106 38,3 82 240,-3 42-151,-1-129-161,-2-1 81,4-1 0,2 1 0,13 116 0,-1-115 57,-1-7-89,-2 0 0,3 91 0,-12-12 106,-6 135 320,-6-169-469,8-65 23,-3 60 1,31 221 66,-16-244 110,-5-63-567,2 13 927,-5-14-7146,-1-7 3401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2:52.43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8 0 4465,'0'0'725,"-7"6"3934,7-6-4633,0 0-1,0 1 1,0-1 0,0 0 0,0 1-1,0-1 1,0 0 0,0 1 0,1-1-1,-1 0 1,0 1 0,0-1-1,0 0 1,0 1 0,1-1 0,-1 0-1,0 0 1,0 1 0,1-1 0,-1 0-1,0 0 1,0 0 0,1 1-1,-1-1 1,0 0 0,1 0 0,-1 0-1,0 0 1,1 0 0,-1 1 0,0-1-1,1 0 1,-1 0 0,0 0-1,1 0 1,-1 0 0,0 0 0,1 0-1,-1 0 1,1 0 0,-1 0 0,0-1-1,1 1 1,76 24 1275,-46-13-1248,-17-5 15,1 0 0,-1 1 0,-1 0-1,1 1 1,-1 1 0,0 0 0,16 17 0,19 12 10,30 16 206,156 83 0,-205-122-239,-1 1 0,-1 2 0,0 0-1,-1 2 1,-1 0 0,44 48 0,-18-18 101,2-3 1,2-3 0,2-2-1,93 52 1,-84-51-10,-1 1 0,83 78 0,-116-93-115,1-2-1,2-1 1,71 41 0,-62-44 52,46 23 67,-2 5 0,111 83 0,-92-53-97,2-4-1,213 110 1,-11-12 57,29 14 110,-231-135-153,-3 4-1,192 141 1,-8 1-34,-114-83-59,-67-32 17,6 4 38,167 111 84,-200-147-77,116 56 0,63 40 294,-230-128-282,54 38 39,141 73 1,-46-36 43,2 1-4,46 36-70,-154-86-7,88 42 0,-119-66 15,-1 1-1,57 44 0,-60-39-34,1-2 0,58 29 1,41-4 82,-94-38-77,74 36 0,-91-34-18,-1 1 0,30 26 0,-34-24 17,0-2 0,2-1 0,30 16 0,146 47 38,-194-77-30,0 1-1,0 0 1,0 0-1,-1 1 1,0 0 0,0 0-1,0 1 1,0-1-1,6 8 1,-10-10-59,1 1 0,-1-1 0,0 1 1,0 0-1,0 0 0,0 0 0,-1 0 0,1 0 0,-1 1 1,0-1-1,0 0 0,0 1 0,0-1 0,0 1 0,-1-1 0,0 1 1,0-1-1,0 1 0,0-1 0,0 1 0,-2 4 0,2-7-63,0 0-1,0-1 0,-1 1 1,1 0-1,0-1 0,-1 1 0,1 0 1,-1-1-1,1 1 0,-1-1 0,1 1 1,-1-1-1,1 1 0,-1-1 0,0 1 1,1-1-1,-1 1 0,0-1 1,1 0-1,-1 1 0,0-1 0,1 0 1,-1 0-1,0 0 0,0 1 0,1-1 1,-2 0-1,-25-3-3273,-14-8-68</inkml:trace>
  <inkml:trace contextRef="#ctx0" brushRef="#br0" timeOffset="1177.27">719 288 1544,'-1'3'648,"0"-1"-39,0 3-553,-1-3-617,1 1-23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2:56.878"/>
    </inkml:context>
    <inkml:brush xml:id="br0">
      <inkml:brushProperty name="width" value="0.1" units="cm"/>
      <inkml:brushProperty name="height" value="0.1" units="cm"/>
      <inkml:brushProperty name="color" value="#F6630D"/>
    </inkml:brush>
  </inkml:definitions>
  <inkml:trace contextRef="#ctx0" brushRef="#br0">86 177 3161,'2'2'864,"-2"1"-864,0-1-480</inkml:trace>
  <inkml:trace contextRef="#ctx0" brushRef="#br0" timeOffset="1902.03">184 136 3161,'32'-7'1540,"-32"7"-1395,0 1 0,1-1 0,-1 0-1,0 1 1,0-1 0,1 1 0,-1-1 0,0 1 0,0-1-1,0 1 1,1-1 0,-1 1 0,0-1 0,0 1 0,0-1-1,0 1 1,0-1 0,0 1 0,0 0 0,0-1 0,0 1 0,0-1-1,-1 1 1,1 0 0,0-1-107,0 0 0,0 0 0,0 1 0,0-1 0,0 0 0,0 1 0,0-1 0,0 0-1,0 1 1,0-1 0,0 0 0,0 0 0,0 1 0,0-1 0,0 0 0,0 0 0,0 1 0,0-1 0,-1 0 0,1 0 0,0 1 0,0-1 0,0 0 0,-1 0-1,1 1 1,0-1 0,0 0 0,0 0 0,-1 0 0,1 0 0,0 1 0,0-1 0,-1 0 0,1 0 0,0 0 0,-1 0 0,1 0 0,0 0 0,0 0 0,-1 0-1,1 0 1,0 0 0,-1 0 0,1 0 0,0 0 0,0 0 0,-1 0 0,1 0 0,0 0 0,-1 0 0,-7-2 155,1 0 0,-1 1 1,0 0-1,1 0 0,-1 1 1,0 0-1,0 0 0,-8 2 0,6-2-126,-16-1 1,20 0-104,0 1 1,0-1-1,-1 1 0,1 1 0,0-1 0,-12 4 0,16-4 38,0 1 0,0 0 0,1 1-1,-1-1 1,0 0 0,1 0 0,-1 1 0,1-1 0,-1 0 0,1 1 0,0 0 0,-1-1 0,1 1 0,0 0 0,0 0 0,0-1 0,0 1-1,1 0 1,-1 0 0,0 0 0,1 0 0,0 0 0,-1 0 0,1 4 0,-1 1 10,1 0 1,0 0 0,0 0-1,0 0 1,1 0 0,0 0-1,1 0 1,-1 0-1,1-1 1,1 1 0,-1-1-1,1 1 1,0-1-1,1 0 1,-1 0 0,1 0-1,1 0 1,-1-1-1,1 0 1,0 0 0,0 0-1,0 0 1,0-1-1,1 0 1,0 0 0,0 0-1,0-1 1,0 0-1,1 0 1,8 2 0,-6-3-9,-1 0 0,1 0 0,0-1 0,13 0-1,-12-1 18,-1 0-1,1 1 0,-1 1 1,15 3-1,-23-5-12,1 1 0,0-1 0,0 1 0,-1-1 0,1 0-1,0 0 1,-1 0 0,1 0 0,0 0 0,0 0 0,-1-1 0,1 1 0,0 0 0,0-1 0,-1 0 0,1 1 0,-1-1-1,1 0 1,-1 0 0,4-1 0,-2-1 8,1-1 0,-1 1 0,0 0 0,0-1 0,0 0 0,0 1 0,3-9 0,1-1 15,-1-1 0,-1 0 1,7-29-1,-7 22-16,-1 7 13,-1 0 0,0-1 0,-1 1 1,0-27-1,-4 40-14,0 0 1,0 0-1,0 0 0,0 0 1,0 0-1,0 0 0,0 1 1,0-1-1,0 1 1,0 0-1,0-1 0,-1 1 1,1 0-1,-4 1 0,-2-2 175,-35-11 132,34 9-362,0 0 1,0 0-1,0 1 1,-13-1 0,12 3 21,0 0 1,1 0-1,-1 1 1,1 0-1,-1 1 1,1 0-1,0 1 1,-1 0-1,1 0 1,1 1-1,-1 0 1,0 1-1,1 0 1,0 0-1,-11 9 0,13-8 11,0 1 0,1-1-1,0 1 1,0 0 0,1 0-1,-1 0 1,2 0 0,-1 1-1,1 0 1,0 0 0,1 0-1,-1 0 1,-1 15 0,4-19 5,-1 0 1,1-1-1,0 1 1,0 0-1,0-1 0,1 1 1,-1 0-1,1-1 1,0 1-1,0 0 1,0-1-1,1 1 1,-1-1-1,1 0 1,0 1-1,0-1 1,0 0-1,0 0 1,0 0-1,1-1 1,-1 1-1,1 0 1,0-1-1,0 0 1,0 1-1,0-1 1,0 0-1,0-1 1,1 1-1,-1 0 0,0-1 1,7 2-1,6 0 6,1 0 0,0-2 0,0 1 0,1-2 0,30-3 0,12 1 41,-56 1-43,-1 1 1,1-1 0,0 0 0,-1 0-1,1 0 1,-1 0 0,1 0-1,-1-1 1,0 0 0,1 1-1,-1-1 1,0 0 0,0-1-1,0 1 1,-1 0 0,1-1-1,0 0 1,-1 0 0,0 0-1,0 0 1,0 0 0,0 0-1,0 0 1,0-1 0,-1 1 0,2-7-1,-2 8 8,0 0 0,-1-1-1,1 1 1,-1-1 0,1 1-1,-1-1 1,0 1 0,0-1-1,0 1 1,0-1 0,-1 0-1,1 1 1,-1 0 0,0-1-1,1 1 1,-1-1 0,0 1-1,0 0 1,0-1 0,-1 1-1,1 0 1,-1 0 0,1 0-1,-1 0 1,0 0 0,1 1-1,-1-1 1,0 0 0,0 1-1,0-1 1,0 1 0,-1 0-1,1-1 1,0 1 0,-1 0-1,1 1 1,0-1 0,-1 0-1,-3 0 1,-3-1 10,2 1-10,1 0 0,-1 0-1,1-1 1,-1 0-1,1 0 1,0 0 0,0-1-1,0 0 1,1 0-1,-1-1 1,1 0 0,-1 0-1,-6-7 1,9 8 1,0 0-1,0 1 1,0-1 0,-1 0 0,1 1-1,0 0 1,-1 0 0,0 0-1,1 0 1,-1 1 0,0 0 0,0-1-1,0 1 1,0 1 0,0-1-1,0 0 1,0 1 0,-8 0 0,6 1 5,-1 0 1,1 0 0,-1 1 0,1 0-1,0 0 1,0 0 0,0 1-1,0 0 1,0 0 0,0 0 0,-5 5-1,10-6-16,-1 0-1,0-1 1,1 1 0,-1 0-1,1 0 1,0 0-1,0 1 1,0-1-1,0 0 1,0 0 0,0 0-1,0 1 1,1-1-1,-1 1 1,1-1-1,0 0 1,0 1 0,0-1-1,0 1 1,0-1-1,0 0 1,0 1-1,1-1 1,0 1-1,-1-1 1,1 0 0,0 0-1,0 1 1,2 2-1,1 5-7,1 0-1,0 0 0,1-1 0,14 18 0,-15-20 5,1-1-1,0 0 0,1 0 1,-1-1-1,1 1 0,0-1 1,0-1-1,1 0 0,0 0 1,-1 0-1,1-1 0,0 0 0,10 2 1,-13-4 6,0 0 0,0 0 0,0-1 0,0 0 0,0 0 0,0 0 0,0-1 1,-1 0-1,1 0 0,0 0 0,0 0 0,0-1 0,-1 0 0,1 0 0,-1 0 0,1 0 0,-1-1 0,0 0 1,0 0-1,0 0 0,0 0 0,-1-1 0,5-5 0,4-5 15,-1-2 1,0 1-1,-2-2 1,0 1-1,0-1 1,-2 0-1,0-1 1,-1 0-1,-1 0 1,6-37-1,-11 49-2,0 1 0,0 0-1,0-1 1,0 1-1,-1-1 1,0 1 0,0 0-1,0 0 1,-1 0 0,0-1-1,0 1 1,0 1-1,0-1 1,-1 0 0,0 1-1,0-1 1,0 1 0,-1 0-1,-3-4 1,4 5-28,1 1 0,-1 0 0,0 0 1,0 0-1,0 0 0,-1 0 0,1 1 0,0-1 1,-1 1-1,1 0 0,-1 0 0,1 0 0,-1 1 0,1-1 1,-1 1-1,1 0 0,-1 0 0,0 0 0,1 0 1,-1 1-1,1-1 0,-1 1 0,1 0 0,-1 0 1,1 0-1,-1 1 0,1-1 0,-4 3 0,-8 5-41,1 1 0,1 1 0,-1 0-1,-11 13 1,21-18 64,0 1 0,0 0 0,1 0 0,0 0 0,1 0 0,-1 0 0,1 0 0,1 1-1,-2 14 1,1-11-3,-7 37-242,-3 97 0,14-142-179,-2-3-3258,0-1 1419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3:01.479"/>
    </inkml:context>
    <inkml:brush xml:id="br0">
      <inkml:brushProperty name="width" value="0.1" units="cm"/>
      <inkml:brushProperty name="height" value="0.1" units="cm"/>
      <inkml:brushProperty name="color" value="#F6630D"/>
    </inkml:brush>
  </inkml:definitions>
  <inkml:trace contextRef="#ctx0" brushRef="#br0">153 78 6801,'3'33'1711,"-3"-30"-673,0-15-258,0 12-746,0-1-1,1 1 1,-1-1 0,0 1-1,0-1 1,0 0 0,0 1 0,0-1-1,0 1 1,0-1 0,-1 0-1,1 1 1,0-1 0,0 1 0,0-1-1,-1 1 1,1-1 0,0 1-1,0-1 1,-1 1 0,1-1-1,-1 1 1,1-1 0,0 1 0,-1 0-1,1-1 1,-1 1 0,1 0-1,-1-1 1,1 1 0,-1 0 0,1-1-1,-1 1 1,1 0 0,-1 0-1,1 0 1,-1-1 0,0 1-1,1 0 1,-1 0 0,-2 1-14,1 0 1,-1 0 0,1 0-1,0 1 1,0-1 0,0 0-1,-1 1 1,2 0 0,-1-1-1,0 1 1,0 0 0,0 0-1,1 0 1,-1 0 0,1 0-1,0 1 1,-1-1 0,1 0-1,-1 5 1,-13 21 21,-11 11 7,25-37-46,1-1 0,-1 0 1,0 0-1,1 0 0,-1 0 1,1 1-1,0-1 0,-1 0 0,1 0 1,0 1-1,0-1 0,0 0 0,0 0 1,0 1-1,0-1 0,0 0 0,0 1 1,0-1-1,1 0 0,-1 0 0,0 1 1,1-1-1,-1 0 0,1 0 1,0 0-1,-1 0 0,1 0 0,0 0 1,-1 0-1,1 0 0,0 0 0,0 0 1,0 0-1,0 0 0,0 0 0,0-1 1,0 1-1,0 0 0,1-1 1,-1 1-1,0-1 0,0 1 0,2-1 1,3 3 12,1-1 0,0 0 0,-1-1 1,1 1-1,13 0 0,-11-2 9,1 2 0,-1-1 0,1 1 0,-1 1 1,18 6-1,-16-5-20,-8-4 5,1 1-1,0 0 0,0-1 0,0 0 0,0 0 0,-1 0 1,1 0-1,0 0 0,0-1 0,0 0 0,0 0 1,-1 0-1,1 0 0,0-1 0,-1 1 0,1-1 0,4-3 1,8-5 72,-1-1 1,20-17 0,-19 14-47,5-4 42,-11 9 84,0 1 0,1 0 0,18-11 1,-30 19-151,0-1 1,0 0 0,0 1-1,-1-1 1,1 0 0,0 0-1,0 0 1,0 0 0,0 0-1,1 0 1,-1 0 0,0 0-1,-1-3 1,-6-6-12,0 0 0,0 0 0,-2 1 0,1 0 0,-1 1 0,0 0 0,-1 0-1,1 1 1,-13-6 0,17 10 3,0-1 1,-1 1-1,1 0 0,-1 1 0,0 0 0,0 0 0,1 0 1,-1 1-1,0 0 0,-1 0 0,1 1 0,0 0 0,0 0 1,0 1-1,0 0 0,0 0 0,0 0 0,0 1 0,1 0 0,-1 0 1,0 1-1,1 0 0,-12 7 0,5-1 6,1 0-1,0 1 1,0 0-1,1 1 1,0 1-1,1 0 1,0 0-1,1 1 1,-13 23-1,19-32-4,-3 6-8,1 0 1,0 1-1,0-1 0,1 1 1,-4 15-1,7-23-1,1-1 0,0 1-1,-1 0 1,1 0-1,0 0 1,1-1 0,-1 1-1,0 0 1,1 0-1,-1 0 1,1-1 0,0 1-1,0 0 1,0-1 0,0 1-1,1-1 1,-1 1-1,1-1 1,-1 0 0,1 0-1,0 1 1,0-1 0,0 0-1,0-1 1,0 1-1,0 0 1,5 2 0,2 1 16,0 0 1,1-1 0,0 0-1,0-1 1,0 0 0,0 0-1,0-1 1,1-1 0,-1 1-1,1-2 1,14 0 0,-12 0-13,0-2 1,0 1 0,0-1 0,0-1-1,0-1 1,-1 0 0,1 0 0,22-12-1,-31 13 0,1 0 0,-1 0-1,0 0 1,0 0 0,0-1 0,-1 0-1,1 1 1,-1-1 0,0-1-1,0 1 1,0 0 0,3-8 0,-5 10 10,0-1 0,0 1 0,0-1 0,-1 1 1,1-1-1,-1 1 0,1-1 0,-1 0 0,0 1 1,0-1-1,0 1 0,-1-1 0,1 1 1,-1-1-1,1 0 0,-1 1 0,0-1 0,0 1 1,0 0-1,0-1 0,0 1 0,-1 0 1,1 0-1,-1 0 0,1 0 0,-4-4 0,-7-3 32,0-1 0,-1 2 0,1-1 0,-2 2 0,1 0 0,-1 0 0,0 1 0,0 1 0,-17-4 0,13 4-38,1-1 1,-1-1-1,1 0 1,0-2 0,-18-11-1,5-11 42,26 26-33,4 5-23,-1 0-1,1 0 1,0 0 0,-1 0 0,1 0 0,0 0-1,-1 1 1,1-1 0,0 0 0,-1 0 0,1 0-1,0 0 1,0 1 0,-1-1 0,1 0-1,0 0 1,0 1 0,-1-1 0,1 0 0,0 1-1,0-1 1,0 0 0,-1 0 0,1 1 0,0-1-1,0 0 1,0 1 0,0-1 0,0 0-1,0 1 1,0-1 0,0 1 0,0 0 0,-5 12-249,-9 46-737,14-44 260,0-15 667,0 0 1,0 0-1,0 1 0,0-1 1,0 0-1,0 0 0,0 0 1,0 0-1,0 0 0,0 0 1,0 0-1,0 0 0,1 0 1,-1 0-1,0 1 1,0-1-1,0 0 0,0 0 1,0 0-1,0 0 0,0 0 1,1 0-1,-1 0 0,0 0 1,0 0-1,0 0 0,0 0 1,0 0-1,0 0 0,0 0 1,1 0-1,-1 0 0,0 0 1,0 0-1,0 0 0,0 0 1,0 0-1,0 0 0,0 0 1,1-1-1,-1 1 0,0 0 1,0 0-1,0 0 0,0 0 1,0 0-1,0 0 0,0 0 1,0 0-1,0 0 0,0 0 1,1-1-1,-1 1 0,0 0 1,0 0-1,0 0 0,0 0 1,0 0-1,0 0 0,0 0 1,0-1-1,0 1 0,0 0 1,2-4-2093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3:06.231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10106 6422 8706,'7'3'4799,"18"8"-4376,-6 2-340,0-1 0,29 14 0,0-1-73,110 72 53,-135-80 36,0 1 0,-1 1-1,-2 0 1,30 36-1,-45-48-79,9 11-83,1 0 0,0 0 0,36 29 0,-47-43-248,-7-3-5364,1-2 3247</inkml:trace>
  <inkml:trace contextRef="#ctx0" brushRef="#br0" timeOffset="619.32">10598 6379 6865,'-9'20'1216,"-1"0"0,-23 32 0,-69 72-489,73-92-633,0 2 0,-45 72 0,64-87 212,2 1 0,0 0 0,-9 34-1,1-1 278,9-29-527,-2-2 0,-1 1 0,0-1-1,-2 0 1,-21 31 0,37-88-1878,7-4-498,1-11 41</inkml:trace>
  <inkml:trace contextRef="#ctx0" brushRef="#br0" timeOffset="2261.3">2 160 6545,'-1'16'4363,"6"17"-4663,-4-26 302,2 14 5,1-1 1,0 0-1,2-1 0,0 1 0,1-1 0,1 0 0,19 32 1,-19-41 43,0 0-1,0-1 1,0 0 0,1-1 0,1 0 0,-1 0 0,1-1 0,1 0 0,-1-1 0,1 0 0,0-1 0,0 0 0,16 4 0,-7-4 176,0-1 0,0 0 0,0-2 1,0 0-1,0-2 0,0 0 1,29-4-1,-40 4 77,-8 2-1541,-4 1-3910,1-1 2221</inkml:trace>
  <inkml:trace contextRef="#ctx0" brushRef="#br0" timeOffset="2820.12">661 0 5697,'-1'24'4350,"-13"20"-3962,10-34-214,-24 60-274,-3-1-1,-53 85 1,-38 85 234,21 44 1539,19-46-1063,82-237-681,0 1-1,0-1 0,-1 0 0,1 1 0,0-1 0,0 0 1,0 1-1,0-1 0,0 0 0,0 1 0,0-1 0,-1 0 1,1 0-1,0 1 0,0-1 0,0 0 0,-1 0 1,1 1-1,0-1 0,0 0 0,-1 0 0,1 0 0,0 1 1,-1-1-1,1 0 0,0 0 0,-1 0 0,1 0 0,0 0 1,0 0-1,-1 1 0,1-1 0,0 0 0,-1 0 1,1 0-1,0 0 0,-1 0 0,1 0 0,0 0 0,-1-1 1,-3 1-2887,3 0-176</inkml:trace>
  <inkml:trace contextRef="#ctx0" brushRef="#br0" timeOffset="8454.56">1715 7978 4369,'17'-5'5358,"-16"4"-5305,0 1 0,0-1 0,0 0 0,0 1 0,0-1 0,-1 0 0,1 0 0,0 1 0,-1-1 0,1 0 0,0 0 0,-1 0 0,1 0 0,-1 0 0,1 0 0,-1 0 0,0 0 0,0 0 0,1 0 0,-1 0 1,0 0-1,0 0 0,0-1 0,0 1 0,0 0 0,0 0 0,0 0 0,0 0 0,-1 0 0,1 0 0,0 0 0,-1 0 0,1 0 0,0 0 0,-1 0 0,0-1 0,-1 0-34,1 1 0,-1 0 0,1-1 0,-1 1 0,0 0 0,0 0 0,0 0-1,1 0 1,-1 0 0,0 1 0,0-1 0,-3 0 0,-6-3-1,8 2-13,-1 1-1,1-1 1,-1 1 0,0 0-1,0 0 1,0 0-1,1 0 1,-1 1 0,0 0-1,0 0 1,0 0-1,0 0 1,0 0 0,0 1-1,1 0 1,-1-1-1,0 2 1,0-1-1,1 0 1,-1 1 0,0-1-1,1 1 1,0 0-1,-1 0 1,1 1 0,-6 4-1,2 2 1,-1 0 0,1 0 0,1 1 0,0 0 0,0 0-1,1 0 1,0 1 0,1-1 0,0 1 0,1 0 0,0 0-1,1 1 1,-2 20 0,3-14-1,0 0 0,1 0 0,2 0 0,0 0 0,0 0 0,2 0 0,0-1 0,8 20 0,-11-31-6,1-2-1,1 1 1,-1 0-1,1 0 1,0-1-1,0 1 1,0-1 0,0 0-1,1 0 1,0 0-1,-1 0 1,2-1-1,-1 1 1,6 2-1,-7-4 36,-1-1 0,1 0-1,0 0 1,0 0-1,0-1 1,0 1 0,0-1-1,0 0 1,0 1-1,0-1 1,0-1 0,0 1-1,-1 0 1,1-1-1,0 1 1,0-1 0,0 0-1,0 0 1,0 0 0,-1 0-1,1-1 1,0 1-1,-1-1 1,1 0 0,-1 1-1,0-1 1,3-3-1,6-6 100,-1-2-1,0 1 1,-1-1-1,0-1 1,-1 0-1,0 0 1,-1 0-1,7-24 1,17-30-78,-30 63-142,-1 5 83,-1-1 0,1 1 0,0 0 0,0-1 0,0 1 0,0 0 0,0-1 0,0 1 0,0 0 0,0-1 0,0 1 0,0 0 0,0-1 0,0 1 1,0 0-1,0-1 0,1 1 0,-1 0 0,0-1 0,0 1 0,0 0 0,0 0 0,1-1 0,-1 1 0,0 0 0,0-1 0,0 1 0,1 0 0,-1 0 0,0 0 0,1-1 0,-1 1 0,0 0 0,0 0 0,1 0 0,-1 0 0,0-1 0,1 1 0,-1 0 0,0 0 0,1 0 0,-1 0 1,0 0-1,1 0 0,-1 0 0,1 0 0,8 32 42,-2-7-29,0-1-1,1 1 1,2-1 0,0-1 0,2 0-1,0 0 1,2-1 0,19 24-1,-27-39-7,1 0 0,0-1 0,1 0 0,15 10 0,-23-16 0,0 0 0,1 0 0,-1 1 0,0-1 0,0 0 0,1 0 0,-1 0 0,0 0 0,0 0 0,1 1 0,-1-1 0,0 0-1,1 0 1,-1 0 0,0 0 0,0 0 0,1 0 0,-1 0 0,0 0 0,1 0 0,-1 0 0,0 0 0,1 0 0,-1 0 0,0 0 0,1 0-1,-1-1 1,0 1 0,0 0 0,1 0 0,-1 0 0,0 0 0,0 0 0,1-1 0,-1 1 0,0 0 0,0 0 0,1 0 0,-1-1 0,0 1 0,0 0-1,0 0 1,0-1 0,1 1 0,-1 0 0,0-1 0,0 1 0,0 0 0,0 0 0,0-1 0,0 1 0,0 0 0,0-1 0,0 1 0,0 0 0,0-1-1,0 1 1,-7-7-4031,1 5 1162,-3-3-522</inkml:trace>
  <inkml:trace contextRef="#ctx0" brushRef="#br0" timeOffset="9169.04">2291 7492 5809,'37'-18'1938,"-37"18"-1880,1-1 0,-1 1 0,1 0-1,-1 0 1,0-1 0,1 1 0,-1 0 0,1 0 0,-1 0 0,1 0 0,-1 0-1,0 0 1,1 0 0,-1 0 0,1 0 0,-1 0 0,1 0 0,-1 0-1,0 0 1,1 0 0,-1 0 0,1 0 0,-1 1 0,0-1 0,1 0 0,-1 0-1,1 0 1,-1 1 0,0-1 0,1 0 0,-1 1 0,0-1 0,1 0 0,-1 1-1,0-1 1,0 0 0,1 1 0,-1-1 0,0 0 0,0 1 0,0-1-1,1 1 1,-1-1 0,0 0 0,0 1 0,0-1 0,0 1 0,0-1 0,0 1-1,0-1 1,0 0 0,0 1 0,0 0 0,2 6 274,35 51-31,-27-45-211,-1 1 0,0 0-1,12 29 1,19 62 280,42 93 148,-71-177-411,0 0 0,2-1 0,1-1 0,0 0-1,1-1 1,35 32 0,-11-17 219,-20-19-183,0 0 0,-2 2 0,0 0 0,-1 1 0,0 1 0,-2 1 0,16 23 0,-28-38-204,-1 0 1,1 0 0,-1 0-1,0 1 1,0-1-1,0 0 1,0 1 0,-1-1-1,0 6 1,0-10 47,0 0 0,0 0 1,1 0-1,-1 0 1,0 0-1,0 0 0,0 0 1,0 0-1,0 0 0,0 0 1,0-1-1,0 1 1,0 0-1,0 0 0,0 0 1,0 0-1,0 0 0,1 0 1,-1 0-1,0 0 0,0 0 1,0 0-1,0 0 1,0 0-1,0 0 0,0 0 1,0 0-1,0 0 0,0 0 1,0 0-1,0 0 0,1 0 1,-1 1-1,0-1 1,0 0-1,0 0 0,0 0 1,0 0-1,0 0 0,0 0 1,0 0-1,0 0 1,0 0-1,0 0 0,0 0 1,0 0-1,0 0 0,0 0 1,0 0-1,0 0 0,0 1 1,0-1-1,0 0 1,0 0-1,0 0 0,0 0 1,0 0-1,0 0 0,0 0 1,0 0-1,0 0 1,0 0-1,0 0 0,0 0 1,0 1-1,0-1 0,6-13-2798,3-24 545,5-32-31</inkml:trace>
  <inkml:trace contextRef="#ctx0" brushRef="#br0" timeOffset="9692.78">2916 7345 7114,'-55'103'4709,"-31"47"-4806,40-71 184,7-11-152,-105 193-106,122-214 499,2 0 0,2 2 0,-20 84 0,36-94 230,22-76-1693,5-22-1968,-17 43 976</inkml:trace>
  <inkml:trace contextRef="#ctx0" brushRef="#br0" timeOffset="10225.16">3335 8166 5545,'-3'-1'5301,"9"-5"-3684,0 3-1607,17-8 6,1 0 0,-1 2 0,41-10 0,-19 8-6,5-2 450,1 2 0,1 3 1,-1 1-1,67 1 1,-101 10-867,-13 0-1265,-7 3-3341,2-6 2805</inkml:trace>
  <inkml:trace contextRef="#ctx0" brushRef="#br0" timeOffset="10584.02">3542 7688 7474,'41'29'2105,"-39"-27"-1922,1 0 0,-1 0-1,-1 0 1,1 0-1,0 0 1,0 1-1,-1-1 1,0 0 0,1 1-1,-1-1 1,0 1-1,0 0 1,0-1-1,0 1 1,-1 0 0,1 0-1,-1-1 1,0 4-1,0 3-223,0 0-1,-1 0 1,0 0 0,-3 9-1,0 1 238,1 0-209,-5 23 8,2 0 0,2 1 0,1-1 0,3 1 0,5 49-1,12 6 457,30 98 0,-52-248-5043,2-11 2010</inkml:trace>
  <inkml:trace contextRef="#ctx0" brushRef="#br0" timeOffset="11184.97">4453 7243 6649,'23'183'5079,"-14"91"-4246,4 48-1039,-7-267 304,5 77 1724,-10-117-1637,-1-11-6068,0-14 3811</inkml:trace>
  <inkml:trace contextRef="#ctx0" brushRef="#br0" timeOffset="11780.21">4455 7926 7394,'39'-19'2475,"-37"19"-2295,0 0 1,0 0 0,0 0-1,0 0 1,0 1 0,0-1-1,0 1 1,0 0 0,0-1-1,0 1 1,0 0-1,0 0 1,0 0 0,0 0-1,0 0 1,-1 1 0,1-1-1,-1 1 1,1-1 0,-1 1-1,2 2 1,10 6-230,-11-9-37,0 0 0,0-1 0,0 1 0,1-1 0,-1 1 0,0-1 0,1 0-1,-1 0 1,0 0 0,0 0 0,1 0 0,-1 0 0,0-1 0,0 1 0,1-1 0,-1 0 0,0 1 0,0-1 0,0 0 0,3-2 0,-3 2 83,1 0 0,-1-1-1,1 1 1,0 1-1,-1-1 1,1 0 0,0 1-1,-1-1 1,1 1-1,0 0 1,0 0 0,-1 0-1,1 0 1,0 0 0,3 1-1,14 7 194,0 1 0,-1 0 0,22 16 0,28 13 53,-19-18-78,-32-14-49,0 2 0,-1-1 0,0 2 1,23 15-1,-35-20-80,-1-1 1,0 1-1,0-1 1,0 1-1,-1 0 1,1 1-1,-1-1 1,0 1-1,0-1 1,-1 1-1,1 0 1,-1 0-1,0 0 1,-1 0-1,1 1 1,-1-1-1,0 0 1,0 1-1,0-1 1,-1 8-1,0-3-16,0 1-1,-1-1 0,-1 0 1,1 0-1,-2 1 1,1-1-1,-6 12 0,6-17-63,-1 0-1,0 0 0,0 0 1,0 0-1,0 0 1,-1-1-1,1 0 0,-1 0 1,-1 0-1,1 0 1,0 0-1,-1-1 0,0 0 1,1 0-1,-8 3 1,-14 6 51,0-2 0,-1-2 1,0 0-1,0-1 1,-1-2-1,0-1 1,0-1-1,0-1 1,0-2-1,0-1 0,0-1 1,0-1-1,-29-7 1,41 6-155,14 4 36,-1 0 0,0-1 1,1 1-1,-1-1 0,1 0 0,-1 0 0,1 0 0,-5-2 0,7 2-55,-1 0-1,0 0 1,1 0-1,-1 0 1,1 1-1,-1-1 1,1 0-1,0 0 1,-1 0 0,1 0-1,0 0 1,0 0-1,0 0 1,0 0-1,-1 0 1,1 0-1,0 0 1,1 0-1,-1 0 1,0 0 0,0 0-1,0 0 1,1 0-1,-1 0 1,0 0-1,1 0 1,0-1-1,5-17-2004</inkml:trace>
  <inkml:trace contextRef="#ctx0" brushRef="#br0" timeOffset="12352.84">5191 7557 5369,'8'0'1056,"-1"0"0,0 0 0,0 1 0,11 2 0,-13-2-750,0 1 0,0-1-1,0 1 1,0 0 0,8 5 0,-5 0-258,1-1 0,-1 1 1,0 1-1,-1 0 0,0 0 0,9 12 0,0 0-23,0 0 0,2-1 1,0-1-1,1-1 0,1-1 0,1 0 0,0-1 0,28 14 0,-12-10 133,-20-11 13,0 0 1,-1 1 0,0 2-1,26 20 1,-42-30-196,0-1 1,0 0-1,1 0 1,-1 0-1,0 0 0,0 1 1,0-1-1,0 0 1,1 0-1,-1 0 0,0 0 1,0 1-1,0-1 1,0 0-1,0 0 0,0 1 1,1-1-1,-1 0 0,0 0 1,0 1-1,0-1 1,0 0-1,0 0 0,0 0 1,0 1-1,0-1 1,0 0-1,0 0 0,0 1 1,0-1-1,0 0 1,-1 0-1,1 1 0,0-1 1,0 0-1,0 0 1,0 0-1,0 1 0,-4 1-3849,2-1 1509</inkml:trace>
  <inkml:trace contextRef="#ctx0" brushRef="#br0" timeOffset="12879.77">5882 7582 8074,'-7'8'762,"1"1"0,-1 0 1,2 0-1,-1 0 0,-4 12 1,-8 13-767,-37 61-146,5 2 0,3 3 0,-47 150 0,14 19 1095,63-200-550,4 1 1,-4 71-1,12-117-422,2-15-301,2-15-792,1 2 734,1 0 1,-1 0-1,1 0 1,1 0-1,-1 0 0,1 0 1,-1 0-1,5-6 0,1-4-503,25-49-1602</inkml:trace>
  <inkml:trace contextRef="#ctx0" brushRef="#br0" timeOffset="13254.84">6506 8006 8298,'6'3'396,"0"-1"1,0 1 0,0-1-1,0-1 1,1 1-1,-1-1 1,1 0-1,-1 0 1,1-1 0,0 0-1,-1 0 1,1-1-1,8-1 1,10-3-527,0-2 0,29-12 0,-33 11 96,0 1 1,0 1-1,24-4 1,-9 6-677,0 1 0,41 2 0,-69 2-1593,-9 5-125</inkml:trace>
  <inkml:trace contextRef="#ctx0" brushRef="#br0" timeOffset="13700.72">6599 8324 5785,'0'0'158,"1"0"-1,-1 0 1,0 1-1,1-1 1,-1 0-1,0 0 1,1 1-1,-1-1 1,0 0 0,1 0-1,-1 0 1,1 0-1,-1 0 1,1 0-1,-1 1 1,0-1-1,1 0 1,-1 0-1,1 0 1,-1 0-1,1 0 1,-1-1-1,0 1 1,1 0-1,-1 0 1,1 0-1,-1 0 1,0 0 0,1-1-1,-1 1 1,1 0-1,-1 0 1,0-1-1,1 1 1,21-10-453,-20 9 541,20-10-186,-14 6 0,1 0 0,0 1 0,0 0 1,0 1-1,0 0 0,1 0 0,-1 1 0,1 0 0,-1 1 1,1 0-1,19 0 0,-2 5 456,53 14 0,-63-12-528,0-2 0,1 0 0,0 0 0,0-2 0,0-1 0,31 0 0,-47-1-114,-1-1 0,1 1 0,0 0 0,-1-1 0,1 1 0,0-1 0,-1 0 0,1 1 0,-1-1 0,1 0 0,-1 0 0,1 0-1,-1 0 1,1 0 0,-1 0 0,0-1 0,0 1 0,0 0 0,1-1 0,-1 1 0,-1-1 0,1 1 0,0-1 0,0 1 0,0-1 0,-1 0 0,1 1 0,0-4 0,1-18-2222</inkml:trace>
  <inkml:trace contextRef="#ctx0" brushRef="#br0" timeOffset="14726.6">8176 7699 8354,'5'12'1555,"0"0"0,4 25 0,-1 30-534,-10 63-1902,-6-60 427,8-70 459,0 0-1,0 1 1,0-1-1,0 0 0,0 0 1,0 1-1,0-1 0,0 0 1,0 1-1,0-1 0,0 0 1,0 0-1,0 1 1,0-1-1,0 0 0,0 1 1,-1-1-1,1 0 0,0 0 1,0 1-1,0-1 1,0 0-1,-1 0 0,1 0 1,0 1-1,0-1 0,0 0 1,-1 0-1,1 0 1,0 1-1,0-1 0,-1 0 1,1 0-1,0 0 0,0 0 1,-1 0-1,1 0 1,0 0-1,-1 0 0,1 0 1,-1 0-1,-6-12 182,-25-122-288,20 76 11,-2-1 0,-23-55 0,35 110 88,0 0 0,0 0 0,0 1 0,-1-1 0,1 1 0,-1-1 0,0 1 0,0 0 0,0 0-1,0 0 1,0 1 0,-1-1 0,1 1 0,-1 0 0,0 0 0,0 0 0,0 0 0,0 1 0,0 0 0,0-1 0,0 1 0,0 1 0,-7-2 0,-6 1 83,0 1 1,0 1 0,0 0 0,-25 5 0,38-5-86,0 0 1,0 1 0,0-1 0,1 0-1,-1 1 1,0 0 0,1 0 0,0 0-1,-1 0 1,1 1 0,0-1-1,0 1 1,0 0 0,0 0 0,1 0-1,-1 0 1,1 1 0,0-1-1,0 0 1,0 1 0,-2 6 0,-3 8-13,2 0 1,0-1 0,-4 30 0,6-29 19,-6 43 118,3 0 0,2 0 0,3 0 0,3 0 1,2 0-1,13 63 0,-14-112-42,0-1-1,0 1 1,1-1 0,0 0 0,1 0 0,0-1-1,1 1 1,0-1 0,1 0 0,0-1 0,0 0-1,1 0 1,0 0 0,1-1 0,0 0-1,0-1 1,1 0 0,-1-1 0,15 8 0,-16-10-77,0-1 0,1 1 0,-1-2 1,1 1-1,0-1 0,0 0 1,-1-1-1,1 0 0,0 0 0,0-1 1,0 0-1,1-1 0,-2 0 1,1 0-1,0-1 0,0 0 0,0-1 1,-1 0-1,1 0 0,-1-1 1,0 0-1,0 0 0,0-1 0,-1 0 1,9-7-1,-12 9-65,0-1 1,0 1-1,-1-1 1,1 0-1,-1 0 1,0 0-1,0 0 1,-1-1-1,4-8 1,6-23-3292,-8 21 802,1-1-90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3:25.92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20 41 5697,'-8'4'5213,"-3"5"-3828,11-9-1350,0 0 0,0 1 1,-1-1-1,1 1 0,0-1 0,0 0 1,0 1-1,0-1 0,0 1 0,0-1 1,0 0-1,0 1 0,1-1 0,-1 1 0,0-1 1,0 0-1,0 1 0,0-1 0,0 1 1,1-1-1,-1 0 0,0 1 0,0-1 1,1 0-1,-1 1 0,0-1 0,1 0 1,-1 0-1,0 1 0,0-1 0,1 0 1,-1 0-1,1 0 0,-1 1 0,0-1 1,1 0-1,59 38 575,-26-18-455,-2 2 0,55 46 0,-34-8-147,-42-46 13,0-1-1,1 0 1,0 0 0,1-2-1,22 17 1,-32-27-85,1 1 0,-1-1 1,0 0-1,0 0 0,1 0 0,-1-1 1,0 1-1,1-1 0,-1 0 1,7 0-1,-9 0-70,0 0-1,0 0 1,0 0 0,0 0-1,0 0 1,0 0 0,0-1-1,0 1 1,0 0 0,-1-1-1,1 1 1,0 0 0,0-1-1,0 1 1,0-1 0,-1 1-1,1-1 1,0 0 0,0 1-1,-1-1 1,1 0 0,0 1-1,-1-1 1,1 0 0,-1 0-1,1 0 1,-1 1 0,1-1-1,-1 0 1,0 0 0,0 0-1,1 0 1,-1 0 0,0 0-1,0 0 1,0 0 0,0 0-1,0 0 1,0 0 0,0 0-1,0-1 1,-2-3-2056</inkml:trace>
  <inkml:trace contextRef="#ctx0" brushRef="#br0" timeOffset="525.86">622 0 5729,'-15'43'3987,"-15"19"-2233,-7 18-1499,6 25-67,5 2 0,-20 162 1,-7 34 2440,50-290-2516,-22 111 874,22-105-1341,1 0 0,1 0 0,1 0 0,3 27-1,0-34-777,-3-11 1059,0-1-1,0 0 1,0 0-1,1 0 1,-1 1-1,0-1 1,0 0-1,0 0 1,0 0 0,1 0-1,-1 0 1,0 1-1,0-1 1,0 0-1,1 0 1,-1 0-1,0 0 1,0 0-1,1 0 1,-1 0 0,0 0-1,0 0 1,1 0-1,-1 0 1,0 0-1,0 0 1,1 0-1,-1 0 1,0 0-1,0 0 1,0 0 0,1 0-1,-1 0 1,0 0-1,0 0 1,1 0-1,-1-1 1,0 1-1,0 0 1,0 0-1,1 0 1,-1 0-1,0 0 1,0-1 0,0 1-1,0 0 1,0 0-1,1-1 1,7-8-2499</inkml:trace>
  <inkml:trace contextRef="#ctx0" brushRef="#br0" timeOffset="1071.43">1191 599 8290,'39'-2'4396,"21"-7"-3468,20-1-1182,-66 9 214,41-3 387,-51 3-434,-1 1 0,1-1 1,-1 0-1,1 0 0,-1 0 0,1 0 0,-1-1 1,1 0-1,-1 1 0,0-1 0,4-3 0,-8 4-3189,-1 2 1017</inkml:trace>
  <inkml:trace contextRef="#ctx0" brushRef="#br0" timeOffset="1518.32">1243 945 5393,'-8'8'3730,"13"-12"-2415,22-21-1069,7-9-181,-32 33-38,0-1 0,0 1 1,1 0-1,-1 0 0,1-1 1,-1 1-1,0 1 0,1-1 0,0 0 1,-1 1-1,1-1 0,-1 1 0,1 0 1,0 0-1,-1 0 0,1 0 1,-1 0-1,1 0 0,0 1 0,-1-1 1,1 1-1,-1 0 0,1 0 0,-1 0 1,1 0-1,-1 0 0,0 1 0,4 2 1,13 5 169,-4-6 23,-1 1-1,1-2 0,-1 0 1,1-1-1,0 0 0,24-3 1,39 3 898,-73-1-1203,-3 0-970,-4 2-2497,1-1 1047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3:33.54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2707 58 5057,'14'3'667,"-12"-3"-416,1 0-1,-1 1 0,0-1 0,1 1 1,-1 0-1,0 0 0,0 0 0,0 0 1,0 0-1,0 0 0,0 1 0,0-1 1,0 0-1,2 4 0,1 22 519,-4-9-716,2 15 115,-2 39 1,0 24 406,1-89-305,0-6-17,4-15 186,2-23 103,-5 10-366,-1 1 0,-2-1 0,0 1 0,-2-1 0,-1 1 0,-1 0 0,-12-44 0,15 69-191,1-1 1,-1 0-1,1 1 0,-1-1 0,0 1 0,1-1 0,-1 1 0,0 0 0,0-1 0,0 1 0,0 0 0,0-1 0,-1 1 0,1 0 1,0 0-1,0 0 0,-3-1 0,3 2-11,0 0-1,0-1 1,0 1 0,0 0 0,0 0-1,0 0 1,0 0 0,0 0 0,0 0 0,1 1-1,-1-1 1,0 0 0,0 0 0,0 1 0,0-1-1,0 1 1,0-1 0,0 1 0,0-1-1,0 1 1,0 0 0,-6 5-141,1 1 0,-1-1 0,2 1 0,-1 0 0,-4 9 0,0-2 162,6-9 29,0 0 0,-1 0 0,1 0 1,-1-1-1,-1 0 0,1 0 0,0 0 0,-1 0 0,0-1 0,0 0 1,0 0-1,0 0 0,0-1 0,-1 0 0,1 0 0,-10 1 1,9-1-12,0-1-28,1 1 0,0 1 0,-1-1 1,1 1-1,0 0 0,1 0 0,-1 1 0,1 0 0,-1 0 0,1 0 1,0 1-1,1 0 0,-6 6 0,5-4 17,0 1 0,0 0 0,1 1 0,0-1 0,0 1 0,1 0-1,0 0 1,-2 17 0,2-14-6,1 1-1,0 0 1,1-1-1,1 1 0,0 0 1,3 23-1,-1-28 17,0 0 0,1 0 0,0 0 0,0-1 0,1 1 0,0-1 0,0 0 0,1 0 0,0 0 0,0-1 0,10 10 0,3 1 88,0 0 0,1-2 0,0 0-1,1-2 1,1 0 0,0-1 0,1-1-1,0-1 1,1-1 0,0-1-1,0-1 1,1-1 0,29 3 0,-46-8-38,1-1 1,-1 0-1,1 0 1,-1-1-1,1 0 1,-1 0-1,1-1 1,-1 0-1,0 0 1,11-6-1,-6 2 5,0-1 1,-1 0-1,0-1 0,-1 0 0,10-10 1,-6 11 87,-11 7-1122,-7 4-3337,1-2 1741</inkml:trace>
  <inkml:trace contextRef="#ctx0" brushRef="#br0" timeOffset="683.05">2263 999 5857,'7'-2'4725,"2"-1"-3572,22-8-1215,7 5 271,0 2 1,52 1-1,25-2 243,11-10 61,58-5 604,-148 19-801,-1 1 0,0 2 0,46 8 0,-72-9-310,0 1 0,0-1 0,0 0 0,0-1 0,0 0 0,12-1 0,-19 0-16,0 1 0,0-1 0,0 1 1,0-1-1,0 0 0,-1 0 0,1 0 0,0 0 0,-1 0 0,1 0 1,0 0-1,-1-1 0,1 1 0,-1 0 0,0-1 0,1 1 0,-1-1 0,0 0 1,0 1-1,0-1 0,0 0 0,-1 0 0,1 0 0,0 0 0,-1 1 1,1-1-1,-1 0 0,1 0 0,-1 0 0,0 0 0,0 0 0,0 0 1,0 0-1,0 0 0,-1-2 0,1 3-23,0 1 0,0-1 1,0 1-1,0-1 0,0 1 0,0-1 1,0 1-1,0-1 0,0 1 0,-1-1 0,1 1 1,0-1-1,0 1 0,0 0 0,-1-1 1,1 1-1,0-1 0,0 1 0,-1 0 1,1-1-1,0 1 0,-1 0 0,1-1 0,-1 1 1,1 0-1,0-1 0,-1 1 0,1 0 1,-1 0-1,1-1 0,-1 1 0,1 0 1,0 0-1,-1 0 0,1 0 0,-1 0 0,1 0 1,-1 0-1,1 0 0,-1 0 0,0 0 1,-19 8-3246,-1 8 552</inkml:trace>
  <inkml:trace contextRef="#ctx0" brushRef="#br0" timeOffset="1289.78">2648 1300 6825,'0'-2'3807,"1"5"-2102,6 42-1694,123 480 2428,-119-492-2194,-3-19-196,-7-14-54,-1 0 1,0 0 0,0 0 0,0 0-1,0 0 1,1 0 0,-1 0-1,0 1 1,0-1 0,0 0-1,1 0 1,-1 0 0,0 0 0,0 0-1,0 0 1,0 0 0,1 0-1,-1 0 1,0-1 0,0 1-1,0 0 1,0 0 0,1 0-1,-1 0 1,0 0 0,0 0 0,0 0-1,0 0 1,1 0 0,-1 0-1,0-1 1,0 1 0,0 0-1,0 0 1,0 0 0,0 0 0,1 0-1,-1-1 1,0 1 0,0 0-1,0 0 1,0 0 0,0 0-1,0-1 1,0 1 0,0 0 0,0 0-1,0 0 1,0-1 0,0 1-1,0 0 1,0 0 0,0 0-1,0 0 1,0-1 0,0 1-1,0 0 1,1-11-300,0 1 0,0-1-1,-1 0 1,-1 1 0,0-1-1,-2-11 1,2 14-907,-1 0-1,0 0 1,-1 0-1,-5-13 1,-3 1-1992</inkml:trace>
  <inkml:trace contextRef="#ctx0" brushRef="#br0" timeOffset="1864.86">2838 1549 8178,'8'9'3790,"20"3"-2362,-13-6-1252,-12-4-179,0-1-1,1 1 1,-1-1-1,0 0 1,0 0-1,1 0 1,-1 0-1,0 0 1,1-1 0,-1 0-1,1 0 1,-1 0-1,0 0 1,1 0-1,6-2 1,-1-1 1,1 0 0,-1-1 0,18-9 0,-18 8 13,0 1 0,0-1-1,0 2 1,14-4 0,-20 6-4,1 0 1,-1 1-1,1 0 1,0 0-1,-1 0 1,1 0-1,0 0 0,-1 1 1,1 0-1,0 0 1,-1 0-1,1 0 1,-1 0-1,0 1 1,1-1-1,3 4 1,10 7-7,0 1 1,-1 0 0,-1 2 0,0 0-1,0 0 1,-2 2 0,0 0-1,-1 0 1,11 21 0,-20-31-5,0 0 0,-1 0 0,1 0 1,-1 1-1,-1-1 0,1 1 0,-2 0 0,1-1 1,-1 1-1,0 0 0,0-1 0,-1 1 0,0 0 0,0-1 1,-1 1-1,0-1 0,0 0 0,-1 1 0,0-1 1,0 0-1,-1 0 0,0-1 0,0 1 0,0-1 0,-6 6 1,7-9-12,-1 0 1,1 0-1,-1-1 1,0 1-1,0-1 1,0 0-1,0 0 1,0-1-1,0 1 1,0-1-1,0 0 0,-1 0 1,1 0-1,-1 0 1,1-1-1,0 0 1,-5 0-1,-12-1-37,1-1 0,-30-6-1,10 1 134,-14 2-7,38 5-458,0-1 0,1-1-1,-1-1 1,0 0-1,-25-8 1,39 10-89,-2-4-2537,6-1 822</inkml:trace>
  <inkml:trace contextRef="#ctx0" brushRef="#br0" timeOffset="3016.08">3858 778 5705,'16'1'609,"-13"-1"-367,-1 0 0,1 0 0,0 1 0,0-1 0,0 1-1,-1-1 1,1 1 0,0 0 0,-1 0 0,1 0 0,2 2 0,5 10 1686,-9-13-1904,-1 0 0,0 0 0,0 1 0,0-1 0,0 0 1,0 0-1,1 1 0,-1-1 0,0 0 0,0 0 0,0 1 0,0-1 0,0 0 1,0 0-1,0 1 0,0-1 0,0 0 0,0 1 0,0-1 0,0 0 0,0 0 1,0 1-1,0-1 0,-1 0 0,1 0 0,0 1 0,0-1 0,0 0 1,0 0-1,0 1 0,-1-1 0,1 0 0,0 0 0,0 0 0,0 1 0,-1-1 1,1 0-1,0 0 0,0 0 0,0 0 0,-1 0 0,1 1 0,0-1 0,0 0 1,-1 0-1,1 0 0,0 0 0,-1 0 0,1 0 0,0 0 0,0 0 0,-1 0 1,1 0-1,0 0 0,-1 0 0,13 11 716,-3-8-708,0 0 0,-1-1 0,1-1 0,0 1 0,0-1 0,0-1 1,0 0-1,9-1 0,6-2-21,37-10 1,-36 7 97,41-6 1,-43 12-4,1 0 1,-1 1-1,28 6 1,8 0 42,-45-7-109,-11 0-22,-1 0 0,0-1-1,0 1 1,0 0 0,1 1 0,-1-1 0,0 0-1,0 1 1,0-1 0,0 1 0,1 0 0,-1-1-1,3 3 1,-5-3 110,0 0 40,0 0 50,0 0 6,0 0 5,0 0-50,0 0-46,0 0-89,0 0-44,0 0-61,0 0-2,0 0-66,0 0 3,0 0-32,0 0-4,0 0-22,0 0 64,0 0 18,0 0 41,0 0-1,0 0 7,0 0-110,0 0-115,0 0-223,0 0-421,-1 1-4116,0 1 1810</inkml:trace>
  <inkml:trace contextRef="#ctx0" brushRef="#br0" timeOffset="5709.77">5536 267 5521,'0'0'81,"0"0"-1,0 0 0,0 1 0,0-1 1,0 0-1,0 1 0,0-1 1,0 0-1,1 1 0,-1-1 1,0 0-1,0 0 0,0 1 1,0-1-1,0 0 0,0 0 1,1 1-1,-1-1 0,0 0 1,0 0-1,0 1 0,1-1 1,-1 0-1,0 0 0,0 0 1,1 1-1,-1-1 0,0 0 0,0 0 1,1 0-1,-1 0 0,0 0 1,1 0-1,-1 1 0,0-1 1,0 0-1,1 0 0,-1 0 1,0 0-1,1 0 0,-1 0 1,0 0-1,1 0 0,-1 0 1,0-1-1,1 1 0,-1 0 1,0 0-1,0 0 0,1 0 1,-1 0-1,0 0 0,0-1 1,1 1-1,-1 0 0,8-23 1129,-3-25-1132,-5 46-69,-1 1 0,1-1 0,0 0 0,-1 1 0,1-1 1,-1 1-1,1-1 0,-1 1 0,0-1 0,0 1 0,1-1 0,-1 1 0,0 0 0,0 0 0,-1-1 0,1 1 0,0 0 1,0 0-1,-1 0 0,-2-2 0,-30-13-35,24 12 23,4 1 10,-8-4 133,0 1 0,0 1 0,0 0 1,-17-3-1,27 7-125,0 0 0,0 1 0,0 0-1,0 0 1,0 0 0,0 0 0,0 1 0,0-1-1,0 1 1,0 0 0,0 0 0,1 1 0,-1-1-1,0 1 1,1 0 0,-1 0 0,1 0 0,-1 0-1,1 0 1,-4 5 0,1-3-12,1 1 0,0 1 0,1-1-1,-1 1 1,1 0 0,0 0 0,0 0 0,1 0 0,0 1-1,0 0 1,0-1 0,1 1 0,0 0 0,0 0 0,1 0-1,0 1 1,0-1 0,1 0 0,-1 0 0,2 0 0,-1 1 0,1-1-1,0 0 1,1 0 0,-1 0 0,1 0 0,1 0 0,-1 0-1,1-1 1,1 1 0,-1-1 0,1 0 0,6 8 0,-1-4 11,0 0 1,1 0 0,0-1 0,1-1-1,0 1 1,0-2 0,14 8 0,-8-5 8,-1 0 0,21 19 0,-32-24-4,0-1 1,1 0-1,-1 0 1,1 0-1,0 0 0,0-1 1,7 3-1,-11-5-12,0-1 0,1 1 0,-1 0 0,0-1 0,1 0 0,-1 0 0,0 1 0,1-1 1,-1-1-1,1 1 0,-1 0 0,0-1 0,1 1 0,-1-1 0,0 1 0,1-1 0,-1 0 0,0 0 0,0 0 0,0 0 0,0-1 0,0 1 0,3-3 0,16-16 258,-1-1 0,-1-1 1,-1 0-1,0-1 0,17-33 0,-31 46-245,0 0 0,0 1-1,-1-2 1,0 1-1,-1 0 1,0 0-1,-1-1 1,0 1-1,-1-1 1,-1-16-1,-10 14-63,7 12-73,6 12 88,24 47 42,-18-43-15,-1 1 0,0 0 0,5 20 0,-5-7 67,1-1 0,1 0-1,2 0 1,26 49 0,-29-64-70,-6-9 15,0 0 1,0 0 0,1 0 0,-1 0-1,1-1 1,0 1 0,0-1-1,7 5 1,-10-8-10,2 2-2,-1-1 1,1 0-1,-1 0 1,1 0-1,0 0 1,-1 0-1,1-1 1,0 1-1,0 0 1,0-1-1,-1 1 1,1-1-1,0 0 1,0 1-1,0-1 1,0 0-1,0 0 1,0-1-1,0 1 1,3-1-1,4 0 121,-6 1-78,1-1 0,0 1 1,0 0-1,0-1 0,-1 0 0,1 0 0,0 0 0,-1-1 0,1 1 0,-1-1 0,0 0 1,1 0-1,-1 0 0,0 0 0,0-1 0,0 1 0,0-1 0,3-4 0,-4 4-1405,-5 6-3233,0-1 2073</inkml:trace>
  <inkml:trace contextRef="#ctx0" brushRef="#br0" timeOffset="6722.64">5048 1049 5281,'0'1'213,"1"0"-1,0-1 1,0 1-1,0-1 1,0 0-1,0 1 0,0-1 1,0 0-1,-1 1 1,1-1-1,0 0 1,0 0-1,0 0 1,0 0-1,0 0 1,0 0-1,0 0 1,0 0-1,0 0 1,0-1-1,0 1 1,0 0-1,0-1 1,0 1-1,1-1 1,10-20 219,-11 19-385,-1 0 1,1-1-1,0 1 0,0 0 1,0 0-1,1 0 0,-1 0 1,4-4-1,43-31 445,-37 31-405,-4 2-36,0 0 1,1 1 0,0 1-1,0-1 1,0 1 0,0 0-1,0 1 1,0 0 0,0 0-1,0 1 1,0 0 0,1 0-1,7 2 1,7-1-35,66 5 140,0 4 1,107 26-1,-170-31-69,0-1 1,1-1 0,-1-1-1,1-2 1,0-1-1,-1 0 1,1-2-1,-1-1 1,0-2 0,0 0-1,47-18 1,-69 22-57,-1 0 3,0 0 1,0 1-1,0 0 0,0 0 0,0 0 0,0 0 1,0 0-1,1 1 0,-1-1 0,0 1 0,6 0 1,-9 0-1192,-5-3-4561,4 2 2802</inkml:trace>
  <inkml:trace contextRef="#ctx0" brushRef="#br0" timeOffset="7360.96">5454 1261 7122,'17'-27'2092,"-17"27"-2023,1-1 1,-1 1-1,1 0 0,-1 0 0,1 0 1,-1-1-1,1 1 0,-1 0 1,1 0-1,-1 0 0,1 0 0,-1 0 1,1 0-1,-1 0 0,1 0 1,-1 0-1,1 0 0,-1 0 1,1 1-1,-1-1 0,0 0 0,1 0 1,-1 0-1,1 1 0,-1-1 1,1 0-1,-1 0 0,0 1 0,1-1 1,-1 0-1,1 1 0,-1-1 1,0 1-1,1-1 0,-1 0 1,0 1-1,0-1 0,1 1 0,-1-1 1,0 1-1,0-1 0,0 1 1,0-1-1,0 1 0,1 0 1,8 23 60,11 38 127,-3 1 0,-3 0 0,-3 1-1,3 71 1,-13-87 329,2 0 1,2 0-1,19 79 0,-20-116-921,-2-12-1349,-2-20-2240,0 8 3404,0-39-2365,-3 18-519</inkml:trace>
  <inkml:trace contextRef="#ctx0" brushRef="#br0" timeOffset="7950.46">5553 1523 6057,'11'-3'7090,"13"4"-6661,-1 1-429,94-8 496,31-1 855,-137 8-1329,0 1 1,0-1-1,0 2 0,-1 0 0,1 0 0,0 0 1,-1 2-1,0-1 0,0 1 0,0 1 0,-1 0 1,0 0-1,0 1 0,8 7 0,-12-9-26,0-1-1,0 1 1,0 1 0,-1-1 0,0 0-1,0 1 1,0 0 0,-1 0-1,0 0 1,0 1 0,0-1-1,-1 0 1,0 1 0,0 0-1,-1 0 1,0-1 0,0 1 0,0 0-1,-1 0 1,0 0 0,-1 0-1,1 0 1,-3 11 0,-1-6 13,-1 1 1,0-1-1,0 1 1,-1-1-1,-1-1 1,0 1-1,-1-1 1,0-1 0,0 1-1,-1-1 1,-1-1-1,1 0 1,-2 0-1,1-1 1,-1 0-1,0 0 1,-1-2-1,0 1 1,0-2-1,0 1 1,-1-2 0,1 1-1,-1-2 1,0 0-1,-1 0 1,1-2-1,0 1 1,-1-2-1,1 1 1,0-2-1,-1 0 1,-16-3-1,-5-6 21,-13-2-540,45 11 30,0 1 1,0-1 0,0 1 0,0 0 0,0 0 0,0 0-1,0 0 1,0 1 0,0-1 0,0 1 0,-5 2 0,6-3-1912,2-1-138</inkml:trace>
  <inkml:trace contextRef="#ctx0" brushRef="#br0" timeOffset="8738.1">6352 589 5169,'24'1'1103,"-5"0"600,-1 1-1,21 4 0,-33-5-1609,-1 1 0,1 0-1,-1 0 1,0 0-1,0 0 1,0 1 0,0 0-1,0 0 1,0 0-1,-1 1 1,7 6 0,14 19 20,27 41 0,-29-37 303,33 37 1,-16-25-225,-6-7 340,38 33 0,-60-61-351,1 0-1,0 0 1,0-2-1,1 1 1,0-2-1,0 0 1,22 7-1,-14-7-115,0 1 0,0 1 0,35 21 0,-47-24-194,0 1 0,-1 0 0,0 1 0,0 0 0,0 0 0,-1 1-1,0 0 1,-1 1 0,7 10 0,-14-20 88,0 0-1,0 0 0,0 0 0,0 0 1,0 0-1,0 0 0,0-1 1,0 1-1,0 0 0,0 0 1,0 0-1,0 0 0,0 0 1,0 0-1,0 0 0,0 0 0,0 0 1,0 0-1,0 0 0,1 0 1,-1 0-1,0 0 0,0 0 1,0 0-1,0 0 0,0 0 0,0 0 1,0 0-1,0 0 0,0 0 1,0 0-1,1 0 0,-1 0 1,0 0-1,0 0 0,0 0 1,0 0-1,0 0 0,0 0 0,0 0 1,0 0-1,0 0 0,0 0 1,0 0-1,0 0 0,1 0 1,-1 0-1,0 0 0,0 0 1,-1-15-1162,1 4 1319,-4-72-2711,1 52 696</inkml:trace>
  <inkml:trace contextRef="#ctx0" brushRef="#br0" timeOffset="9232.78">7057 305 6929,'-2'15'4999,"2"2"-3846,-2 12-1290,-11 16-315,-33 74-1,18-53 229,-8 25 395,-192 468 3556,217-544-6221,4-8 406,3-9 354,2-9-758</inkml:trace>
  <inkml:trace contextRef="#ctx0" brushRef="#br0" timeOffset="16698.48">17 2503 5273,'-12'13'5318,"11"-13"-5308,1 0 0,0 0 0,0 0 0,-1 0 1,1 0-1,0 0 0,0 1 0,0-1 0,-1 0 0,1 0 0,0 0 0,0 0 0,0 0 0,0 0 0,-1 1 0,1-1 0,0 0 0,0 0 0,0 0 0,0 0 0,0 1 0,0-1 0,0 0 0,-1 0 0,1 0 0,0 1 0,0-1 0,0 0 0,0 0 0,0 0 0,0 1 0,0-1 0,0 0 0,0 0 1,0 0-1,0 1 0,0-1 0,0 0 0,0 1 0,20 16 366,38 30 404,78 86 1,-77-73-437,77 62 0,-101-98-233,37 21 0,-43-29-64,-1 1 0,-1 2 0,26 22 0,-46-31-64,-5-8-3014,0-12 132,-1 7 2618,5-22-1902</inkml:trace>
  <inkml:trace contextRef="#ctx0" brushRef="#br0" timeOffset="17211.26">545 2424 5729,'3'17'4438,"-6"-1"-3385,-1-10-1062,1 0 0,0 0 0,-1-1 1,-8 10-1,-109 143 123,99-117 33,1 0 1,2 2-1,-15 50 0,20-52 644,-1 0-1,-2-1 1,-39 64 0,51-100-429,3-3-6659,3-1 3767</inkml:trace>
  <inkml:trace contextRef="#ctx0" brushRef="#br0" timeOffset="17585.15">1023 2726 9490,'19'9'3504,"-9"-4"-3014,-1-1 0,1 0 1,18 5-1,-23-9-586,-1 1 0,0-1-1,0 0 1,1 0 0,-1 0 0,0 0 0,0-1 0,1 0 0,-1 0 0,0 0 0,0 0 0,8-4 0,6-7-66,-16 10 156,0 0 0,1 0 0,-1 0 1,0 1-1,1-1 0,-1 1 0,1-1 1,-1 1-1,1 0 0,-1 0 0,1 0 1,0 0-1,-1 1 0,1-1 0,0 1 1,0 0-1,4 0 0,-3 5-2489,-4-3 532,0-1-330</inkml:trace>
  <inkml:trace contextRef="#ctx0" brushRef="#br0" timeOffset="17945.23">1178 2982 5345,'28'24'6783,"9"7"-2836,1-7-5412,-36-23 1434,0 0 0,0-1 1,0 1-1,1 0 0,-1-1 0,0 0 0,0 1 1,0-1-1,0 0 0,0 0 0,1 0 1,-1-1-1,0 1 0,0 0 0,0-1 1,0 1-1,0-1 0,3-1 0,35-24 263,-36 22-513,1 0 0,0 0 0,0 1 0,0 0 0,0 0 0,0 0 0,7-2 0,-8 5-2118,-4 0-49</inkml:trace>
  <inkml:trace contextRef="#ctx0" brushRef="#br0" timeOffset="18735.23">1902 2635 4977,'-1'13'964,"0"-1"0,1 0-1,1 1 1,0-1 0,4 20-1,-1-16-803,1 0-1,0 0 0,1 0 0,1-1 0,0 0 0,1 0 0,11 14 0,-13-19-214,0-1 1,1-1-1,0 1 0,0-1 1,1 0-1,0-1 1,1 0-1,0 0 0,0-1 1,0 0-1,1-1 0,0 0 1,0 0-1,0-1 1,0 0-1,1-1 0,0 0 1,0-1-1,20 2 1,-25-3 126,0-1 1,-1-1 0,1 1 0,-1-1-1,1 0 1,-1 0 0,1-1 0,-1 1-1,0-1 1,0 0 0,0-1 0,0 1-1,0-1 1,0 0 0,0-1 0,-1 1 0,0-1-1,0 1 1,0-1 0,0 0 0,0-1-1,-1 1 1,0-1 0,0 0 0,0 1-1,0-1 1,-1-1 0,2-5 0,0-3 26,0-1-1,-1 1 1,-1-1 0,0 1 0,-1-1 0,-1 0 0,0 0 0,-1 1 0,-5-25 0,-50-236-1666,54 265 1553,0-1 0,-1 1 0,0 1-1,-1-1 1,0 0 0,0 1 0,-1 0 0,0 0 0,-9-11 0,11 16 19,-1 1 0,1 0 0,-1-1 0,0 2 0,0-1 0,0 0 1,-1 1-1,1-1 0,-1 1 0,1 1 0,-1-1 0,0 0 0,1 1 1,-1 0-1,0 0 0,0 1 0,0-1 0,0 1 0,0 0 1,-8 1-1,1 1-13,0 1 1,0-1-1,1 2 1,-1 0-1,1 0 1,0 1-1,0 0 1,1 1-1,-1 0 1,1 1-1,1 0 1,-1 1-1,1-1 1,0 2-1,1 0 1,-11 14 0,9-10-168,0 1 0,1-1 0,1 2 0,1-1 0,0 1 0,0 0 0,2 0 0,0 1 0,1 0 0,0-1 0,-2 29 0,5-23-1654,-1-3 39</inkml:trace>
  <inkml:trace contextRef="#ctx0" brushRef="#br0" timeOffset="19258.32">2917 2731 7842,'9'-6'5037,"8"2"-4902,3 0-66,3-1-81,133-28 824,-148 34-782,0-1 0,-1 1 0,1 0 0,0 1 0,-1 0 0,1 0 0,-1 0-1,0 1 1,1 0 0,7 5 0,-6-3-540,0-1-1,1 0 0,0-1 0,16 4 0,-26-7 341,1 0 0,0 0-1,0 1 1,-1-1 0,1 0-1,-1 0 1,1 0 0,0 0-1,-1 1 1,1-1-1,0 0 1,-1 1 0,1-1-1,-1 1 1,1-1 0,-1 0-1,1 1 1,-1-1-1,1 2 1,-1 4-2072</inkml:trace>
  <inkml:trace contextRef="#ctx0" brushRef="#br0" timeOffset="19689.03">3012 3071 7194,'-7'11'4483,"19"-12"-3432,25-16-958,-22 9 30,0 0-1,25-8 0,-33 14-93,-1 0 0,1 1 1,-1 0-1,1 0 0,0 0 0,0 1 0,-1 0 0,1 0 0,0 1 0,12 2 0,40 18 43,-48-16-116,0 0 0,0-1 0,0-1 0,0 0 0,1 0 0,-1-1 0,1 0 0,18 0 0,-28-3-90,-1 1-1,1-1 0,-1 0 1,1 1-1,-1-1 1,1 0-1,-1 0 1,0 0-1,0 0 1,1 0-1,-1 0 0,0 0 1,0-1-1,0 1 1,0 0-1,0 0 1,0-1-1,-1 1 1,1-1-1,0 1 0,-1-1 1,1 1-1,-1-1 1,0 1-1,1-1 1,-1 1-1,0-1 1,0-2-1,4-28-2226</inkml:trace>
  <inkml:trace contextRef="#ctx0" brushRef="#br0" timeOffset="20362.34">3491 2347 6337,'14'52'6372,"-12"-45"-6088,1 0 1,0 0 0,1-1-1,6 11 1,-7-13-324,1 0 0,-1 0 0,1 0-1,0-1 1,0 1 0,0-1 0,0 0 0,1 0 0,-1-1 0,1 1 0,0-1 0,0 0 0,0 0 0,0-1-1,0 1 1,0-1 0,6 1 0,49 4 152,-43-6-81,-1 1-1,0 1 1,0 1 0,1 0 0,-2 1-1,1 1 1,24 11 0,11 14 160,78 59 0,-103-69-160,-25-20-35,0 1-1,0-1 1,0 1 0,0 0-1,0-1 1,0 1 0,-1 0-1,1 0 1,0-1 0,0 1-1,-1 0 1,1 0 0,0 0-1,-1 0 1,1 0 0,-1 0-1,1 0 1,-1 0 0,0 0-1,1 3 1,-2-3-32,1 0 0,-1 0 0,0 0 1,1 0-1,-1 0 0,0 0 0,0 0 0,0 0 0,0 0 1,0 0-1,0 0 0,0 0 0,0-1 0,0 1 0,0-1 1,0 1-1,0 0 0,0-1 0,-3 1 0,-9 7-19,0 0 1,1 1-1,0 0 0,1 1 1,-1 1-1,-16 20 0,-18 15-49,6-10 251,1 2-1,2 2 1,1 1-1,3 1 0,-30 49 1,41-56-447,20-32-149,2-10-1979,3-8 1025</inkml:trace>
  <inkml:trace contextRef="#ctx0" brushRef="#br0" timeOffset="21230.76">4983 2459 5241,'-1'7'4289,"1"-6"-4198,0-1-1,-1 1 1,1-1-1,0 1 1,0 0 0,0-1-1,0 1 1,0-1-1,0 1 1,0-1 0,0 1-1,0 0 1,0-1-1,0 1 1,0-1 0,0 1-1,0-1 1,0 1-1,1 0 1,-1-1 0,0 1-1,0-1 1,1 1-1,-1-1 1,0 1 0,1-1-1,-1 0 1,1 1-1,-1-1 1,1 1 0,23 11 81,0-2 0,33 11 1,-39-16-155,1 1 0,-1 1 0,-1 1 1,1 0-1,-1 2 0,-1 0 0,16 12 0,-10-1-47,31 40-1,-39-43-53,1-1 1,0-1-1,1 0 0,25 19 0,-41-35 20,0 0-1,0 1 1,0-1-1,1 0 1,-1 0 0,0 1-1,0-1 1,1 0 0,-1 0-1,0 1 1,1-1-1,-1 0 1,0 0 0,1 0-1,-1 0 1,0 1-1,1-1 1,-1 0 0,0 0-1,1 0 1,-1 0 0,0 0-1,1 0 1,-1 0-1,0 0 1,1 0 0,-1 0-1,0 0 1,1 0 0,-1 0-1,1 0 1,-1 0-1,0-1 1,1 1 0,-1 0-1,0 0 1,0 0-1,1 0 1,-1-1 0,0 1-1,1 0 1,-1 0 0,0-1-1,0 1 1,1 0-1,-1 0 1,0-1 0,0 1-1,0 0 1,0-1-1,1 1 1,-1 0 0,0-1-1,0 1 1,0-8-2090</inkml:trace>
  <inkml:trace contextRef="#ctx0" brushRef="#br0" timeOffset="21740.76">5672 2335 5945,'1'5'585,"-1"0"0,0 0-1,0 0 1,-1 0 0,1 0 0,-1 0-1,0 0 1,0-1 0,-2 6-1,-21 48 400,6-17-1053,-106 416 49,101-363 122,5 0 732,3 1 0,-2 115 0,13-186-678,3-18-875,3-15-2419,2-15 783,5-32-55</inkml:trace>
  <inkml:trace contextRef="#ctx0" brushRef="#br0" timeOffset="22124.44">6098 2702 7778,'30'-2'1952,"9"-1"609,-1-1-2233,8 2-288,-7-1-152,3 1-56,-9 0-16,2-3 104,-9-1 88,0 0 80,-9 0 16,-6 3-240,-4 0-272,-3 2-833,-8 3-1263,3 0-9</inkml:trace>
  <inkml:trace contextRef="#ctx0" brushRef="#br0" timeOffset="22471.6">6150 3081 9114,'22'9'1968,"5"-1"841,1-2-2689,12-10-120,-2 1-16,6-9 0,-4-4 16,1-7 24,-11 3 32,-1-4 0,-7 7-16,-4 0-72,-3 9-120,-5 2-400,-5 6-248,-7 5-2033,-4 1 249</inkml:trace>
  <inkml:trace contextRef="#ctx0" brushRef="#br0" timeOffset="23537.66">7598 2053 7370,'2'2'438,"0"-1"0,0 1 1,-1 0-1,1 0 0,0 0 1,-1 0-1,0 1 0,1-1 1,-1 0-1,0 0 1,0 1-1,1 3 0,-1-1-323,0 1-1,0-1 1,0 1 0,-1-1-1,0 0 1,0 6-1,0-6-185,-1-1 1,1 1-1,-1-1 0,0 1 1,0-1-1,0 1 0,-1-1 0,1 0 1,-1 0-1,0 0 0,0 0 1,-1 0-1,1 0 0,-1-1 0,0 1 1,-3 3-1,5-7 77,0 1 0,0-1 0,0 0 0,1 0 0,-1 0 0,0 1 0,0-1 0,0 0 0,0 0 0,1 0 0,-1 0 0,0 0 0,0 0 0,0-1 0,0 1 0,1 0 0,-1 0 0,0 0 0,0-1-1,0 1 1,1-1 0,-1 1 0,0 0 0,0-1 0,1 1 0,-1-1 0,1 0 0,-1 1 0,0-1 0,1 1 0,-1-1 0,1 0 0,-1 0 0,1 1 0,0-1 0,-1 0 0,1 0 0,-1 0 0,-15-33 208,16 34-214,-18-59 285,12 36-171,-2 0 1,-11-26 0,16 43-112,0 1 0,0-1-1,-1 1 1,1 0 0,-1 0 0,0 0-1,-1 0 1,1 1 0,-1-1 0,0 1 0,0 0-1,0 1 1,-6-4 0,7 5-36,0 1 0,0 0 0,0 0 0,0 0 0,-1 1 0,1-1 0,0 1 0,0 0 0,0 0 0,0 0 0,-1 1 0,1 0 0,0 0 0,0 0 0,0 0 0,0 0 0,0 1 0,0 0 0,1-1 0,-1 2 0,1-1 0,-7 5 0,-7 6-113,0 1 0,0 1 0,-14 17 0,17-18 142,3-2 108,-1 0 0,2 1 0,-1 0 0,-9 17 0,16-23-69,1 0 0,0 1 0,0-1 0,1 1 0,0 0 0,0-1 0,1 1 0,0 0 0,0 0 0,1 15 1,2 10-82,2 0 1,0 0 0,3 0 0,0-1-1,2 0 1,2 0 0,1-1 0,1-1 0,27 47-1,-35-70 139,1 1 0,0-1 0,0 0 0,0-1 0,0 1 0,1-1-1,0-1 1,1 1 0,-1-1 0,1 0 0,0-1 0,0 0 0,1 0 0,-1-1-1,1 0 1,-1-1 0,1 1 0,0-2 0,0 1 0,0-1 0,0-1-1,0 1 1,10-2 0,12-2-14,-1-2 0,0-1 0,-1-1 0,1-1 1,43-19-1,-63 23-471,9-3 429,-7 5-5377,-13 2 2692</inkml:trace>
  <inkml:trace contextRef="#ctx0" brushRef="#br0" timeOffset="24121.68">7014 3136 5897,'9'-1'905,"1"1"-1,0-2 0,-1 1 1,19-6-1,-1-3-597,41-21 0,-11 5 362,-30 14-555,1 2-1,1 1 0,0 1 0,0 2 0,0 0 0,1 2 0,0 2 0,-1 0 0,1 2 0,0 2 0,31 4 0,-2 2 266,1-3-1,0-3 1,0-2 0,-1-3 0,68-11-1,-95 11-692,55 2 0,-65 1-6475,-24 0 3492</inkml:trace>
  <inkml:trace contextRef="#ctx0" brushRef="#br0" timeOffset="25022.13">7407 3236 7138,'1'0'220,"0"1"1,0-1 0,0 0-1,0 1 1,0-1 0,0 0-1,0 1 1,0 0 0,0-1-1,0 1 1,0-1 0,0 1 0,-1 0-1,1 0 1,0-1 0,0 1-1,-1 0 1,1 0 0,-1 0-1,1 0 1,-1 0 0,1 0-1,-1 0 1,1 0 0,-1 0 0,1 2-1,7 35-892,-5-23 985,9 41-236,-2 1-1,-3 0 0,0 61 1,1 18-77,0 31 327,-6-155 91,2-18 113,5-27-136,-1-12-287,0-1-291,14-46 0,-21 88 136,1 1-1,0-1 0,0 1 0,0-1 0,0 1 1,0 0-1,1 0 0,-1 0 0,1 0 0,0 0 1,6-4-1,41-24-174,-23 16 193,14-15 38,-20 15 29,44-25 0,-60 37-14,1 0 0,-1 1 1,1 0-1,-1 0 0,1 0 0,0 1 0,-1 0 0,1 0 0,0 0 0,0 1 1,0 0-1,0 0 0,0 0 0,6 2 0,-9-1-21,0 0-1,1 0 1,-1 0 0,0 1 0,0-1-1,0 1 1,0 0 0,0 0-1,0 0 1,0 0 0,-1 1 0,1-1-1,-1 1 1,1-1 0,1 4 0,0 0-4,-1 0 1,0 0 0,0 0 0,-1 0 0,0 0 0,0 1 0,2 9 0,-2 4-6,0 0 0,-1 0-1,-2 1 1,-2 26 0,1-34 77,1-1 0,-2 1-1,0-1 1,0 0 0,-1 0 0,-1 0 0,0 0 0,0-1-1,-1 0 1,-1 0 0,0 0 0,0-1 0,-1 0-1,0 0 1,-1-1 0,0 0 0,-1-1 0,0 0 0,-18 12-1,21-16-87,-77 49 52,74-48-43,0 0 0,0 0 1,0-1-1,-1-1 1,1 0-1,-20 3 0,27-5 452,3-1-570,0 0 0,0-1-1,0 1 1,0 0 0,0 0-1,1 0 1,-1 0 0,0 0-1,0 0 1,0 0 0,0 0 0,0 0-1,0 0 1,0-1 0,0 1-1,0 0 1,0 0 0,0 0 0,0 0-1,0 0 1,0 0 0,0 0-1,0-1 1,0 1 0,0 0-1,0 0 1,0 0 0,0 0 0,0 0-1,0 0 1,0 0 0,0 0-1,0-1 1,0 1 0,0 0 0,0 0-1,-1 0 1,1 0 0,0 0-1,0 0 1,0 0 0,0 0 0,0 0-1,0 0 1,0 0 0,0-1-1,0 1 1,0 0 0,-1 0-1,1 0 1,0 0 0,0 0 0,0 0-1,5-11-2295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4:07.54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14 67 2617,'-4'3'-304,"-5"23"8722,11-19-7392,286 200-962,-78-70 462,-184-126-457,-20-10-3564,-6-2 1447</inkml:trace>
  <inkml:trace contextRef="#ctx0" brushRef="#br0" timeOffset="528.14">723 1 6681,'-1'8'723,"0"1"-1,-1-1 1,0 0-1,-1 0 0,0 0 1,0 0-1,-7 11 0,-36 52-1324,34-53 851,-13 21-348,1 1 1,2 2-1,2 0 1,-17 53 0,12-12 131,-19 113 0,8 38 701,31-180-321,3 0 0,5 75 0,-2-126-230,-1 1-708,2-9-1844,0 1 779,9-22-689</inkml:trace>
  <inkml:trace contextRef="#ctx0" brushRef="#br0" timeOffset="938.72">1179 357 6313,'0'1'101,"0"-1"1,-1 0-1,1 0 0,0 1 0,-1-1 0,1 0 0,0 1 0,0-1 0,-1 0 0,1 1 0,0-1 0,0 0 0,0 1 1,0-1-1,-1 0 0,1 1 0,0-1 0,0 1 0,0-1 0,0 0 0,0 1 0,0-1 0,0 1 0,0-1 0,0 0 1,0 1-1,0-1 0,0 1 0,0-1 0,1 0 0,-1 1 0,0-1 0,0 0 0,0 1 0,0-1 0,1 0 0,-1 1 1,0-1-1,0 0 0,1 1 0,-1-1 0,0 0 0,1 0 0,-1 1 0,0-1 0,1 0 0,-1 0 0,0 0 0,1 1 1,-1-1-1,0 0 0,1 0 0,-1 0 0,1 0 0,-1 0 0,0 0 0,1 0 0,31-6-755,-21 3 1115,14-4-413,-4 1 13,-1 1 0,28-4 0,-43 8-80,1 1 0,-1 0 0,0-1 0,1 2 0,-1-1 1,0 1-1,0 0 0,1 0 0,-1 0 0,0 1 0,0-1 0,0 1 0,-1 1 0,10 4 1,-12-6-313,1 2 103,-3-2-5232,-1 0 2317</inkml:trace>
  <inkml:trace contextRef="#ctx0" brushRef="#br0" timeOffset="1298.13">1256 685 7122,'4'3'453,"0"0"1,0-1 0,0 1 0,1-1 0,-1 0 0,1 0 0,0 0-1,-1 0 1,1-1 0,0 0 0,0 0 0,8 1 0,9-1-464,36-2 0,13 1 21,-67 0-31,1 0 0,-1 0 0,0 0 0,1-1 0,-1 1-1,0-1 1,0 0 0,1 0 0,-1 0 0,0-1 0,0 0-1,0 0 1,0 0 0,6-4 0,-4 2-489,0-1 0,-1 0 1,1 0-1,-1-1 0,0 1 0,0-1 0,7-12 1,1-5-1676</inkml:trace>
  <inkml:trace contextRef="#ctx0" brushRef="#br0" timeOffset="1967.7">2223 308 4953,'-4'12'602,"1"0"-1,0 0 0,0 0 1,1 0-1,1 1 1,0-1-1,2 24 1,16 90-86,-11-90-193,-3-18-347,1-1 0,1 0 0,0 0 1,1 0-1,1-1 0,1 0 1,0 0-1,14 20 0,-18-31 61,0 0 0,0 0-1,1 0 1,-1-1 0,1 0 0,0 0 0,1 0-1,-1 0 1,0-1 0,1 0 0,9 4-1,-11-6 42,1 0 0,0 0-1,0 0 1,1 0-1,-1-1 1,0 0-1,0 0 1,0 0-1,0-1 1,0 0-1,0 0 1,0 0-1,0 0 1,0-1-1,0 0 1,5-3-1,-2 1-48,-1 0-1,1-1 0,-1-1 1,0 1-1,0-1 1,-1 0-1,0 0 1,0-1-1,0 0 0,-1 0 1,0-1-1,0 1 1,-1-1-1,0 0 0,-1 0 1,1 0-1,-2-1 1,1 1-1,-1-1 0,0 1 1,-1-1-1,0 0 1,0 0-1,-1 0 1,0 0-1,-1 1 0,0-1 1,0 0-1,-1 0 1,0 1-1,0-1 0,-6-11 1,4 12-56,0 0 0,0 0 1,-1 1-1,-1-1 0,1 1 1,-1 0-1,0 1 0,-1-1 1,1 1-1,-1 0 0,-1 1 1,1 0-1,-1 0 0,0 1 1,0 0-1,0 0 1,-17-5-1,8 4-342,0 0 0,0 1 0,0 1 0,0 1 0,-1 0 0,1 2 0,-1 0 0,-27 3 0,10 3-1691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4-02T03:34:10.61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3635 371 6489,'1'4'203,"1"0"0,-1 1 0,1-1 0,0 0 0,0 0 0,1 0-1,-1-1 1,1 1 0,0 0 0,0-1 0,0 0 0,0 0 0,1 0-1,-1 0 1,1 0 0,0-1 0,0 1 0,0-1 0,0 0-1,0 0 1,0-1 0,0 1 0,9 1 0,8 1-119,1-1 0,0-1 0,39 0 0,-23-2 723,65 8-124,115 25 0,-206-31-700,29 9-24,-39-10 39,0 0 0,-1 0 0,1 0 0,0 0 0,-1 0 0,0 0-1,1 0 1,-1 1 0,0-1 0,1 0 0,-1 1 0,0-1 0,0 1 0,0 0 0,0-1-1,-1 1 1,1 0 0,0 0 0,0 2 0,0-1 69,-1-6-3920,-1 2 1450</inkml:trace>
  <inkml:trace contextRef="#ctx0" brushRef="#br0" timeOffset="522.57">3733 974 5401,'11'6'5372,"1"-5"-4115,19-11-2380,-23 7 1630,13-5-520,9-5 153,33-7 1,-53 18-81,0-1 0,1 2-1,-1-1 1,1 1 0,0 1 0,-1 0-1,19 3 1,13 4 70,-7 1-50,0-3-1,1 0 1,52-2-1,-84-3-111,32 0 116,-22 4-195,-13-4 99,-1 0-1,0 0 0,0 1 0,1-1 1,-1 0-1,0 0 0,0 0 0,1 0 1,-1 1-1,0-1 0,0 0 0,0 0 0,0 1 1,1-1-1,-1 0 0,0 0 0,0 1 1,0-1-1,0 0 0,0 0 0,0 1 1,0-1-1,0 0 0,0 1 0,0-1 0,0 0 1,0 0-1,0 1 0,0-1 0,0 0 1,0 1-1,0-1 0,0 0 0,0 1 1,-3 1-3013,-2-2 772</inkml:trace>
  <inkml:trace contextRef="#ctx0" brushRef="#br0" timeOffset="1530.65">3909 77 6329,'-25'-6'3645,"19"6"-3433,0 0 1,0 1-1,0-1 1,-12 4 0,7 0-322,0-1 0,-1 2 0,-10 5 0,13-3 118,0-1 1,0 1-1,0 1 1,1-1-1,1 2 1,-1-1-1,1 1 1,-8 14-1,-12 12 7,-105 132 252,79-96 666,-98 100 1,113-135-903,-70 49 0,106-83 307,6-4-121,16-11-44,20-11-176,-39 24 3,-1-1-1,1 1 1,-1-1-1,1 1 0,-1 0 1,1-1-1,-1 1 1,1 0-1,-1 0 1,1-1-1,0 1 1,-1 0-1,1 0 0,0 0 1,-1-1-1,1 1 1,-1 0-1,1 0 1,0 0-1,-1 0 1,1 0-1,0 1 0,-1-1 1,1 0-1,-1 0 1,1 0-1,0 0 1,-1 1-1,1-1 0,0 1 1,5 15 141,-3-4-143,35 39 24,-30-42-23,0 1 1,-1-1-1,0 1 0,9 19 0,-5-5-2,7 19-14,3-2 1,39 62 0,-51-91 17,0 0 0,1 0 0,0-1 0,1 0 0,1-1 0,-1-1 0,2 0 0,-1 0 0,1-1 0,0 0 0,28 10 0,42 8 230,26 10 315,-98-32-504,0 1 1,0 1 0,-1 0 0,1 1 0,-1 0 0,18 16 0,-23-16-1501,-5-7 1417,0 0 0,0 1 0,0-1-1,0 0 1,0 0 0,0 0 0,0 0 0,0 0 0,0 0 0,0 0 0,0 1 0,0-1 0,0 0-1,0 0 1,0 0 0,0 0 0,0 0 0,0 0 0,0 0 0,0 1 0,0-1 0,0 0 0,0 0-1,0 0 1,0 0 0,-1 0 0,1 0 0,0 0 0,0 0 0,0 0 0,0 1 0,0-1 0,0 0-1,0 0 1,0 0 0,-1 0 0,1 0 0,0 0 0,0 0 0,0 0 0,0 0 0,0 0 0,0 0 0,0 0-1,-1 0 1,1 0 0,0 0 0,0 0 0,0 0 0,0 0 0,0 0 0,0 0 0,0 0 0,-1 0-1,1 0 1,0 0 0,0 0 0,0 0 0,0 0 0,0-1 0,0 1 0,0 0 0,0 0 0,-1 0-1,1 0 1,0 0 0,0 0 0,0 0 0,0 0 0,-1-1-2503</inkml:trace>
  <inkml:trace contextRef="#ctx0" brushRef="#br0" timeOffset="2681.74">1 533 4833,'5'11'6724,"18"-1"-4859,6 3-1739,-1 8-91,0 2-1,-2 1 1,-1 1-1,43 54 0,9 10 4,-30-39-13,155 152-50,-200-200 21,2 3-7,1-1 1,0 0 0,-1 0-1,1 0 1,0-1 0,1 1-1,-1-1 1,1-1 0,-1 1-1,1-1 1,9 3 0,-15-5 3,1 0 1,-1 0 0,0 0-1,0 0 1,0 0 0,0 0-1,0 0 1,1 0 0,-1 0-1,0 0 1,0 0 0,0 0-1,0 0 1,0 0 0,1 0-1,-1 0 1,0-1 0,0 1-1,0 0 1,0 0 0,0 0-1,0 0 1,0 0 0,1 0-1,-1 0 1,0 0-1,0-1 1,0 1 0,0 0-1,0 0 1,0 0 0,0 0-1,0 0 1,0-1 0,0 1-1,0 0 1,0 0 0,0 0-1,0 0 1,0 0 0,0-1-1,0 1 1,0 0 0,0 0-1,0 0 1,0 0 0,0 0-1,0-1 1,0 1 0,0 0-1,-7-12-766,-10-8-1722,-3 2 107</inkml:trace>
  <inkml:trace contextRef="#ctx0" brushRef="#br0" timeOffset="3099.64">493 484 7074,'-3'10'1112,"-1"-1"0,0 0 0,-9 15 1,-40 52-1237,32-48 371,-145 212-484,124-172 369,-52 117-1,82-157-42,5-9 7,-2-1 1,-10 19 0,15-34-142,4-9-2573,0 6 1923,0-2-1125</inkml:trace>
  <inkml:trace contextRef="#ctx0" brushRef="#br0" timeOffset="87709.43">1024 683 6417,'88'-5'5459,"1"-1"-4828,-72 5-616,-13 1-125,-1-1-1,1 1 0,0 0 0,0 0 0,0 0 0,0 0 0,0 0 0,0 1 0,0 0 1,0 0-1,7 3 0,-11-4-30,0 0 1,1 1 0,-1-1-1,0 1 1,0-1-1,1 0 1,-1 1 0,0-1-1,0 0 1,0 1-1,0-1 1,1 1 0,-1-1-1,0 1 1,0-1-1,0 0 1,0 1 0,0-1-1,0 1 1,0-1-1,0 1 1,0-1 0,0 0-1,0 1 1,-1-1-1,1 1 1,0-1 0,0 1-1,0-1 1,0 0 0,-1 1-1,1 0 1,-7 7-2986</inkml:trace>
  <inkml:trace contextRef="#ctx0" brushRef="#br0" timeOffset="88363.72">1080 1121 6945,'10'-3'2550,"-3"0"-1991,-1 2 1,1-1-1,0 1 1,11-1-1,-16 2-590,0 0-1,0 0 1,0 0-1,0 0 0,0 1 1,0-1-1,0 1 0,0 0 1,0-1-1,-1 1 0,1 0 1,0 0-1,0 0 1,-1 0-1,1 1 0,0-1 1,-1 0-1,1 1 0,1 2 1,3 0 154,-1 0 1,1-1-1,0 0 1,-1 0-1,1 0 1,1-1-1,-1 0 1,0 0-1,0 0 1,13 1-1,-6 0-54,2 1-152,1-1 0,-1-1 0,1 0 0,-1 0 0,24-2 0,-24 0-1400,-15 0-796,-1-1-51</inkml:trace>
  <inkml:trace contextRef="#ctx0" brushRef="#br0" timeOffset="89399.94">2328 112 5705,'2'3'4831,"1"13"-4785,0 3 18,-1-10-8,2 13 424,0-1 1,0 28 0,-14-68 1010,0-10-1596,-2 1 1,-30-54 0,30 61-26,7 10 12,-1 2 0,0-1 0,-1 0 0,-14-15-1,20 24 104,0 0-1,0 1 1,0-1-1,0 0 1,0 1-1,-1-1 0,1 1 1,0 0-1,0-1 1,-1 1-1,1 0 1,0 0-1,-1-1 0,1 1 1,0 0-1,0 1 1,-1-1-1,1 0 1,0 0-1,-1 0 1,1 1-1,0-1 0,0 1 1,-1-1-1,1 1 1,0-1-1,-2 2 1,-32 25-111,27-20 131,-13 10 73,8-7 20,0 1-1,-23 25 0,32-31-89,0 1-1,1-1 1,-1 1 0,1 0 0,0 0-1,0 0 1,1 0 0,0 1 0,0-1-1,-1 14 1,-1 8 24,2 0 0,1 1 0,2-1-1,0 0 1,2 0 0,1 0 0,13 45 0,-13-60 35,0-1 0,0 1 1,1-1-1,1 0 0,0-1 0,0 1 0,1-1 1,1-1-1,0 1 0,1-1 0,-1-1 1,2 1-1,-1-2 0,2 1 0,-1-1 1,1-1-1,0 0 0,19 9 0,-17-12-52,1 0-1,-1-1 0,1-1 0,0 0 1,0-1-1,0-1 0,0 0 0,0-1 1,0 0-1,0-1 0,-1 0 0,18-6 1,-26 5-354,1 1 0,-1-1 1,1 1-1,-1-2 1,0 1-1,8-7 0,-4 3-2565,-5 3 474</inkml:trace>
  <inkml:trace contextRef="#ctx0" brushRef="#br0" timeOffset="90038.9">1990 1130 7762,'-11'3'3713,"11"-3"-3693,-1-1 0,1 1 0,0 0 0,-1-1 0,1 1 0,0 0 0,-1-1 0,1 1 0,0 0 0,-1-1 0,1 1 0,0-1 0,0 1 0,-1 0 0,1-1 0,0 1 0,0-1 0,0 1 0,0-1 0,0 1 0,0-1 0,0 1 0,0-1 0,0 1 0,0-1 0,0 0 0,0-1-61,0 0-1,0 0 1,1 1 0,-1-1 0,0 0-1,1 0 1,0 0 0,-1 1-1,1-1 1,0 0 0,0 1 0,0-1-1,0 0 1,0 1 0,2-2-1,2-1 48,0 0 0,0 0 0,1 1 0,-1 0 0,1 0 0,0 0 0,0 1 0,10-4 0,-8 4 3,2-1 23,1 1-1,0 0 1,-1 1 0,1 0-1,0 1 1,0 0-1,15 2 1,10 0 94,122-10 547,42 1 1947,-198 7-2860,28 3 1396,-19-1-2297,-9 3-4453,-7 4 3269</inkml:trace>
  <inkml:trace contextRef="#ctx0" brushRef="#br0" timeOffset="91102.12">2432 1732 6065,'-8'-20'4125,"6"15"-4015,0 1 0,-1-1 0,1 1 0,-1 0 0,0 0 0,-7-6 0,-48-35 835,54 42-895,-1 1-1,1-1 1,-1 1-1,0 0 1,1 0-1,-1 1 0,0-1 1,0 1-1,0 0 1,0 0-1,0 1 1,-1 0-1,1-1 1,0 2-1,0-1 1,0 1-1,0-1 1,-5 3-1,-2 0-102,0 1 1,0 0-1,0 1 1,1 0-1,-17 11 0,23-13 54,-1 1-1,1 0 1,0 0-1,0 0 1,0 1-1,1-1 1,-1 1-1,1 0 1,0 0-1,1 1 0,-1-1 1,1 1-1,0 0 1,1 0-1,-1 0 1,1 0-1,-2 12 1,3-9 2,0 0 1,1 0 0,0-1 0,0 1 0,1 0-1,0 0 1,1-1 0,0 1 0,0-1-1,1 1 1,0-1 0,7 13 0,-5-11-11,1-1 1,0 1 0,1-1-1,0 0 1,0-1 0,1 0-1,0 0 1,0-1 0,1 1-1,0-2 1,1 1 0,16 8-1,-21-13 42,0 0-1,0 0 0,0 0 0,0 0 1,0-1-1,0 0 0,1 0 1,-1 0-1,0-1 0,1 1 0,-1-1 1,0-1-1,1 1 0,-1-1 0,0 0 1,0 0-1,1 0 0,-1-1 1,0 0-1,0 0 0,-1 0 0,1 0 1,0-1-1,-1 0 0,1 0 1,-1 0-1,8-8 0,-2-2-6,0 0 0,0-1 0,-1 0-1,-1 0 1,-1-1 0,0 0 0,8-23 0,-6 13 59,19-35 1,-20 50-68,-5 11-105,-4 23-115,-1 0 415,5-10-178,0-1 0,1 1 0,10 20 0,6 22-41,-15-37 68,2 0-1,0-1 0,17 32 0,-21-45-9,0 1-1,1-1 1,-1 1 0,1-1-1,1 0 1,-1-1-1,1 1 1,-1-1-1,1 0 1,1 0-1,-1 0 1,0-1-1,1 0 1,0 0-1,7 3 1,-10-6-26,0 1 0,1 0 0,-1-1 0,1 0-1,-1 0 1,0 0 0,1 0 0,-1 0 0,1-1 0,-1 1 0,0-1 0,0 0 0,7-2 0,-8 2-127,-1 0-1,1 0 1,-1 0 0,0 0 0,1 0 0,-1 0 0,0 0 0,0 0 0,0 0 0,1-1-1,-1 1 1,1-3 0,-2 3-202,1 0-1,0-1 1,-1 1-1,0-1 1,1 1-1,-1-1 1,0 1-1,0-1 1,0 1 0,0-1-1,0 1 1,0-1-1,0 1 1,0-1-1,-1-2 1,-3-10-2331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7DA02-02E4-4D19-96C6-69B5E69DB621}">
  <dimension ref="A2:H23"/>
  <sheetViews>
    <sheetView zoomScale="93" workbookViewId="0">
      <selection activeCell="C6" sqref="C6:D7"/>
    </sheetView>
  </sheetViews>
  <sheetFormatPr defaultRowHeight="15.6" x14ac:dyDescent="0.3"/>
  <cols>
    <col min="2" max="2" width="18.6328125" style="1" bestFit="1" customWidth="1"/>
    <col min="3" max="3" width="11.453125" customWidth="1"/>
    <col min="7" max="7" width="10.1796875" bestFit="1" customWidth="1"/>
    <col min="8" max="8" width="34.453125" customWidth="1"/>
    <col min="9" max="9" width="11.54296875" customWidth="1"/>
    <col min="10" max="10" width="34" customWidth="1"/>
  </cols>
  <sheetData>
    <row r="2" spans="2:8" x14ac:dyDescent="0.3">
      <c r="B2" s="1" t="s">
        <v>52</v>
      </c>
    </row>
    <row r="4" spans="2:8" x14ac:dyDescent="0.3">
      <c r="C4" s="7" t="s">
        <v>46</v>
      </c>
      <c r="D4" s="7" t="s">
        <v>47</v>
      </c>
      <c r="E4" s="7"/>
      <c r="F4" s="7"/>
    </row>
    <row r="5" spans="2:8" x14ac:dyDescent="0.3">
      <c r="B5" s="1" t="s">
        <v>45</v>
      </c>
      <c r="C5" s="27">
        <v>7753.8461538461524</v>
      </c>
      <c r="D5" s="27">
        <v>3101.5384615384628</v>
      </c>
    </row>
    <row r="6" spans="2:8" ht="15" x14ac:dyDescent="0.25">
      <c r="B6" s="19" t="s">
        <v>130</v>
      </c>
      <c r="C6" s="23">
        <f>margin!C30</f>
        <v>6000</v>
      </c>
      <c r="D6" s="23">
        <f>margin!D30</f>
        <v>300</v>
      </c>
      <c r="H6" s="16" t="str">
        <f t="shared" ref="H6:H7" ca="1" si="0">_xlfn.FORMULATEXT(C6)</f>
        <v>=margin!C30</v>
      </c>
    </row>
    <row r="7" spans="2:8" ht="15" x14ac:dyDescent="0.25">
      <c r="B7" s="19" t="s">
        <v>131</v>
      </c>
      <c r="C7" s="30">
        <f>availability!C28</f>
        <v>9511.3846153846152</v>
      </c>
      <c r="D7" s="30">
        <f>availability!D28</f>
        <v>9159.1111111111113</v>
      </c>
      <c r="H7" s="16" t="str">
        <f t="shared" ca="1" si="0"/>
        <v>=availability!C28</v>
      </c>
    </row>
    <row r="8" spans="2:8" x14ac:dyDescent="0.3">
      <c r="B8" s="19"/>
      <c r="C8" s="23"/>
      <c r="D8" s="23"/>
      <c r="E8" s="7"/>
      <c r="F8" s="7"/>
    </row>
    <row r="9" spans="2:8" x14ac:dyDescent="0.3">
      <c r="B9" s="19" t="s">
        <v>70</v>
      </c>
      <c r="C9" s="31">
        <f>margin!C22</f>
        <v>7.6513206615650455</v>
      </c>
      <c r="D9" s="31">
        <f>margin!D22</f>
        <v>8.6462284958094404</v>
      </c>
      <c r="E9" s="4"/>
      <c r="F9" s="4"/>
      <c r="H9" s="16" t="str">
        <f t="shared" ref="H9:H10" ca="1" si="1">_xlfn.FORMULATEXT(C9)</f>
        <v>=margin!C22</v>
      </c>
    </row>
    <row r="10" spans="2:8" ht="15" x14ac:dyDescent="0.25">
      <c r="B10" s="19" t="s">
        <v>71</v>
      </c>
      <c r="C10" s="31">
        <f>margin!C23</f>
        <v>4.6701394260219242</v>
      </c>
      <c r="D10" s="31">
        <f>margin!D23</f>
        <v>5.6960971425770719</v>
      </c>
      <c r="H10" s="16" t="str">
        <f t="shared" ca="1" si="1"/>
        <v>=margin!C23</v>
      </c>
    </row>
    <row r="11" spans="2:8" thickBot="1" x14ac:dyDescent="0.3">
      <c r="B11" s="19" t="s">
        <v>72</v>
      </c>
      <c r="C11" s="32">
        <f>C9-C10</f>
        <v>2.9811812355431213</v>
      </c>
      <c r="D11" s="32">
        <f>D9-D10</f>
        <v>2.9501313532323685</v>
      </c>
      <c r="H11" s="16" t="str">
        <f ca="1">_xlfn.FORMULATEXT(C11)</f>
        <v>=C9-C10</v>
      </c>
    </row>
    <row r="12" spans="2:8" ht="16.2" thickTop="1" x14ac:dyDescent="0.3"/>
    <row r="13" spans="2:8" ht="16.2" thickBot="1" x14ac:dyDescent="0.35">
      <c r="B13" s="1" t="s">
        <v>73</v>
      </c>
      <c r="C13" s="28">
        <f>SUMPRODUCT(C11:D11,$C$5:$D$5)</f>
        <v>32265.566515775055</v>
      </c>
      <c r="H13" s="16" t="str">
        <f ca="1">_xlfn.FORMULATEXT(C13)</f>
        <v>=SUMPRODUCT(C11:D11,$C$5:$D$5)</v>
      </c>
    </row>
    <row r="14" spans="2:8" ht="16.2" thickTop="1" x14ac:dyDescent="0.3"/>
    <row r="15" spans="2:8" x14ac:dyDescent="0.3">
      <c r="B15" s="18" t="s">
        <v>66</v>
      </c>
      <c r="C15" s="29" t="s">
        <v>67</v>
      </c>
      <c r="D15" s="29"/>
      <c r="E15" s="18" t="s">
        <v>68</v>
      </c>
      <c r="F15" s="18" t="s">
        <v>69</v>
      </c>
    </row>
    <row r="16" spans="2:8" x14ac:dyDescent="0.3">
      <c r="B16" s="19" t="s">
        <v>39</v>
      </c>
      <c r="C16" s="25">
        <f>availability!C21</f>
        <v>1</v>
      </c>
      <c r="D16" s="25">
        <f>availability!D21</f>
        <v>1</v>
      </c>
      <c r="E16" s="17">
        <f>SUMPRODUCT(C16:D16,$C$5:$D$5)</f>
        <v>10855.384615384615</v>
      </c>
      <c r="F16" s="23">
        <f>availability!G4</f>
        <v>20160</v>
      </c>
      <c r="H16" s="16" t="str">
        <f ca="1">_xlfn.FORMULATEXT(E16)</f>
        <v>=SUMPRODUCT(C16:D16,$C$5:$D$5)</v>
      </c>
    </row>
    <row r="17" spans="1:8" x14ac:dyDescent="0.3">
      <c r="B17" s="19" t="s">
        <v>40</v>
      </c>
      <c r="C17" s="25">
        <f>availability!C22</f>
        <v>2</v>
      </c>
      <c r="D17" s="25">
        <f>availability!D22</f>
        <v>1.5</v>
      </c>
      <c r="E17" s="14">
        <f>SUMPRODUCT(C17:D17,$C$5:$D$5)</f>
        <v>20160</v>
      </c>
      <c r="F17" s="23">
        <f>availability!G5</f>
        <v>20160</v>
      </c>
      <c r="H17" s="16" t="str">
        <f t="shared" ref="H17:H19" ca="1" si="2">_xlfn.FORMULATEXT(E17)</f>
        <v>=SUMPRODUCT(C17:D17,$C$5:$D$5)</v>
      </c>
    </row>
    <row r="18" spans="1:8" x14ac:dyDescent="0.3">
      <c r="A18" t="s">
        <v>9</v>
      </c>
      <c r="B18" s="19" t="s">
        <v>41</v>
      </c>
      <c r="C18" s="25">
        <f>availability!C23</f>
        <v>9</v>
      </c>
      <c r="D18" s="25">
        <f>availability!D23</f>
        <v>10</v>
      </c>
      <c r="E18" s="14">
        <f>SUMPRODUCT(C18:D18,$C$5:$D$5)</f>
        <v>100800</v>
      </c>
      <c r="F18" s="23">
        <f>availability!G6</f>
        <v>100800</v>
      </c>
      <c r="H18" s="16" t="str">
        <f t="shared" ca="1" si="2"/>
        <v>=SUMPRODUCT(C18:D18,$C$5:$D$5)</v>
      </c>
    </row>
    <row r="19" spans="1:8" x14ac:dyDescent="0.3">
      <c r="B19" s="19" t="s">
        <v>42</v>
      </c>
      <c r="C19" s="25">
        <f>availability!C24</f>
        <v>1</v>
      </c>
      <c r="D19" s="25">
        <f>availability!D24</f>
        <v>1</v>
      </c>
      <c r="E19" s="14">
        <f>SUMPRODUCT(C19:D19,$C$5:$D$5)</f>
        <v>10855.384615384615</v>
      </c>
      <c r="F19" s="23">
        <f>availability!G7</f>
        <v>13440</v>
      </c>
      <c r="H19" s="16" t="str">
        <f t="shared" ca="1" si="2"/>
        <v>=SUMPRODUCT(C19:D19,$C$5:$D$5)</v>
      </c>
    </row>
    <row r="20" spans="1:8" x14ac:dyDescent="0.3">
      <c r="C20" s="1"/>
      <c r="D20" s="1"/>
      <c r="F20" s="1"/>
    </row>
    <row r="21" spans="1:8" x14ac:dyDescent="0.3">
      <c r="B21" s="18" t="s">
        <v>65</v>
      </c>
      <c r="C21" s="29" t="s">
        <v>112</v>
      </c>
      <c r="D21" s="29"/>
      <c r="E21" s="18" t="s">
        <v>68</v>
      </c>
      <c r="F21" s="18" t="s">
        <v>69</v>
      </c>
    </row>
    <row r="22" spans="1:8" x14ac:dyDescent="0.3">
      <c r="B22" s="19" t="s">
        <v>43</v>
      </c>
      <c r="C22" s="25">
        <f>availability!E12</f>
        <v>0.6</v>
      </c>
      <c r="D22" s="25">
        <f>availability!F12</f>
        <v>0.5</v>
      </c>
      <c r="E22" s="17">
        <f>SUMPRODUCT(C22:D22,$C$5:$D$5)</f>
        <v>6203.0769230769229</v>
      </c>
      <c r="F22" s="23">
        <f>availability!L17</f>
        <v>7150</v>
      </c>
      <c r="H22" s="16" t="str">
        <f t="shared" ref="H22:H23" ca="1" si="3">_xlfn.FORMULATEXT(E22)</f>
        <v>=SUMPRODUCT(C22:D22,$C$5:$D$5)</v>
      </c>
    </row>
    <row r="23" spans="1:8" x14ac:dyDescent="0.3">
      <c r="B23" s="19" t="s">
        <v>44</v>
      </c>
      <c r="C23" s="25">
        <f>availability!E13</f>
        <v>0.4</v>
      </c>
      <c r="D23" s="25">
        <f>availability!F13</f>
        <v>0.5</v>
      </c>
      <c r="E23" s="14">
        <f>SUMPRODUCT(C23:D23,$C$5:$D$5)</f>
        <v>4652.3076923076924</v>
      </c>
      <c r="F23" s="23">
        <f>availability!L18</f>
        <v>6160</v>
      </c>
      <c r="H23" s="16" t="str">
        <f t="shared" ca="1" si="3"/>
        <v>=SUMPRODUCT(C23:D23,$C$5:$D$5)</v>
      </c>
    </row>
  </sheetData>
  <mergeCells count="2">
    <mergeCell ref="C15:D15"/>
    <mergeCell ref="C21:D21"/>
  </mergeCell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14F9-47F8-41A6-B503-05AE2E0D4079}">
  <dimension ref="B2:H58"/>
  <sheetViews>
    <sheetView tabSelected="1" topLeftCell="A35" workbookViewId="0">
      <selection activeCell="J54" sqref="J54"/>
    </sheetView>
  </sheetViews>
  <sheetFormatPr defaultRowHeight="15" x14ac:dyDescent="0.25"/>
  <cols>
    <col min="2" max="2" width="18" style="68" customWidth="1"/>
    <col min="3" max="4" width="8.81640625" bestFit="1" customWidth="1"/>
    <col min="5" max="5" width="6.26953125" style="3" customWidth="1"/>
    <col min="6" max="6" width="9.36328125" bestFit="1" customWidth="1"/>
    <col min="8" max="8" width="30.26953125" style="3" customWidth="1"/>
  </cols>
  <sheetData>
    <row r="2" spans="2:8" x14ac:dyDescent="0.25">
      <c r="C2" t="str">
        <f>'2-products'!C4</f>
        <v>fruit</v>
      </c>
      <c r="D2" t="str">
        <f>'2-products'!D4</f>
        <v>savory</v>
      </c>
    </row>
    <row r="3" spans="2:8" x14ac:dyDescent="0.25">
      <c r="C3" s="23" t="s">
        <v>124</v>
      </c>
      <c r="D3" s="23" t="s">
        <v>125</v>
      </c>
      <c r="F3" s="23" t="s">
        <v>126</v>
      </c>
    </row>
    <row r="4" spans="2:8" x14ac:dyDescent="0.25">
      <c r="B4" s="46" t="s">
        <v>123</v>
      </c>
      <c r="C4" s="26">
        <f>'2-products'!C11</f>
        <v>2.9811812355431213</v>
      </c>
      <c r="D4" s="26">
        <f>'2-products'!D11</f>
        <v>2.9501313532323685</v>
      </c>
      <c r="E4" s="25" t="s">
        <v>127</v>
      </c>
      <c r="F4" s="26">
        <f>'2-products'!C13</f>
        <v>32265.566515775055</v>
      </c>
      <c r="H4" s="3" t="str">
        <f>ROUND(C4,2)&amp;" "&amp;$C$3&amp;" + "&amp;ROUND(D4,2)&amp;" "&amp;$D$3&amp;" "&amp;E4&amp;" "&amp;ROUND(F4,2)</f>
        <v>2.98 X + 2.95 Y = 32265.57</v>
      </c>
    </row>
    <row r="5" spans="2:8" x14ac:dyDescent="0.25">
      <c r="C5" s="26"/>
      <c r="D5" s="26"/>
      <c r="E5" s="69"/>
      <c r="F5" s="26"/>
    </row>
    <row r="6" spans="2:8" x14ac:dyDescent="0.25">
      <c r="B6" s="68" t="str">
        <f>'2-products'!$B$6&amp;" "&amp;C2</f>
        <v>minimum fruit</v>
      </c>
      <c r="C6" s="26">
        <v>1</v>
      </c>
      <c r="D6" s="26">
        <v>0</v>
      </c>
      <c r="E6" s="25" t="s">
        <v>128</v>
      </c>
      <c r="F6" s="26">
        <f>'2-products'!C6</f>
        <v>6000</v>
      </c>
      <c r="H6" s="3" t="str">
        <f t="shared" ref="H6:H15" si="0">ROUND(C6,2)&amp;" "&amp;$C$3&amp;" + "&amp;ROUND(D6,2)&amp;" "&amp;$D$3&amp;" "&amp;E6&amp;" "&amp;ROUND(F6,2)</f>
        <v>1 X + 0 Y &gt;= 6000</v>
      </c>
    </row>
    <row r="7" spans="2:8" x14ac:dyDescent="0.25">
      <c r="B7" s="68" t="str">
        <f>'2-products'!$B$7&amp;" "&amp;C2</f>
        <v>maximum fruit</v>
      </c>
      <c r="C7" s="26">
        <v>0</v>
      </c>
      <c r="D7" s="26">
        <v>1</v>
      </c>
      <c r="E7" s="25" t="s">
        <v>129</v>
      </c>
      <c r="F7" s="26">
        <f>'2-products'!C7</f>
        <v>9511.3846153846152</v>
      </c>
      <c r="H7" s="3" t="str">
        <f>ROUND(C7,2)&amp;" "&amp;$C$3&amp;" + "&amp;ROUND(D7,2)&amp;" "&amp;$D$3&amp;" "&amp;E7&amp;" "&amp;ROUND(F8,2)</f>
        <v>0 X + 1 Y &lt;= 300</v>
      </c>
    </row>
    <row r="8" spans="2:8" x14ac:dyDescent="0.25">
      <c r="B8" s="68" t="str">
        <f>'2-products'!$B$6&amp;" "&amp;D2</f>
        <v>minimum savory</v>
      </c>
      <c r="C8" s="26">
        <v>1</v>
      </c>
      <c r="D8" s="26">
        <v>0</v>
      </c>
      <c r="E8" s="25" t="s">
        <v>128</v>
      </c>
      <c r="F8" s="26">
        <f>'2-products'!D6</f>
        <v>300</v>
      </c>
      <c r="H8" s="3" t="str">
        <f>ROUND(C8,2)&amp;" "&amp;$C$3&amp;" + "&amp;ROUND(D8,2)&amp;" "&amp;$D$3&amp;" "&amp;E8&amp;" "&amp;ROUND(F7,2)</f>
        <v>1 X + 0 Y &gt;= 9511.38</v>
      </c>
    </row>
    <row r="9" spans="2:8" x14ac:dyDescent="0.25">
      <c r="B9" s="68" t="str">
        <f>'2-products'!$B$7&amp;" "&amp;D2</f>
        <v>maximum savory</v>
      </c>
      <c r="C9" s="26">
        <v>0</v>
      </c>
      <c r="D9" s="26">
        <v>1</v>
      </c>
      <c r="E9" s="25" t="s">
        <v>129</v>
      </c>
      <c r="F9" s="26">
        <f>'2-products'!D7</f>
        <v>9159.1111111111113</v>
      </c>
      <c r="H9" s="3" t="str">
        <f t="shared" si="0"/>
        <v>0 X + 1 Y &lt;= 9159.11</v>
      </c>
    </row>
    <row r="10" spans="2:8" x14ac:dyDescent="0.25">
      <c r="B10" s="68" t="str">
        <f>'2-products'!B16</f>
        <v>staging</v>
      </c>
      <c r="C10" s="26" cm="1">
        <f t="array" ref="C10:D13">'2-products'!C16:D19</f>
        <v>1</v>
      </c>
      <c r="D10" s="26">
        <v>1</v>
      </c>
      <c r="E10" s="25" t="s">
        <v>129</v>
      </c>
      <c r="F10" s="26">
        <f>'2-products'!F16</f>
        <v>20160</v>
      </c>
      <c r="H10" s="3" t="str">
        <f t="shared" si="0"/>
        <v>1 X + 1 Y &lt;= 20160</v>
      </c>
    </row>
    <row r="11" spans="2:8" x14ac:dyDescent="0.25">
      <c r="B11" s="68" t="str">
        <f>'2-products'!B17</f>
        <v>assembling</v>
      </c>
      <c r="C11" s="26">
        <v>2</v>
      </c>
      <c r="D11" s="26">
        <v>1.5</v>
      </c>
      <c r="E11" s="25" t="s">
        <v>129</v>
      </c>
      <c r="F11" s="26">
        <f>'2-products'!F17</f>
        <v>20160</v>
      </c>
      <c r="H11" s="3" t="str">
        <f t="shared" si="0"/>
        <v>2 X + 1.5 Y &lt;= 20160</v>
      </c>
    </row>
    <row r="12" spans="2:8" x14ac:dyDescent="0.25">
      <c r="B12" s="68" t="str">
        <f>'2-products'!B18</f>
        <v>baking</v>
      </c>
      <c r="C12" s="26">
        <v>9</v>
      </c>
      <c r="D12" s="26">
        <v>10</v>
      </c>
      <c r="E12" s="25" t="s">
        <v>129</v>
      </c>
      <c r="F12" s="26">
        <f>'2-products'!F18</f>
        <v>100800</v>
      </c>
      <c r="H12" s="3" t="str">
        <f t="shared" si="0"/>
        <v>9 X + 10 Y &lt;= 100800</v>
      </c>
    </row>
    <row r="13" spans="2:8" x14ac:dyDescent="0.25">
      <c r="B13" s="68" t="str">
        <f>'2-products'!B19</f>
        <v>packaging</v>
      </c>
      <c r="C13" s="26">
        <v>1</v>
      </c>
      <c r="D13" s="26">
        <v>1</v>
      </c>
      <c r="E13" s="25" t="s">
        <v>129</v>
      </c>
      <c r="F13" s="26">
        <f>'2-products'!F19</f>
        <v>13440</v>
      </c>
      <c r="H13" s="3" t="str">
        <f t="shared" si="0"/>
        <v>1 X + 1 Y &lt;= 13440</v>
      </c>
    </row>
    <row r="14" spans="2:8" x14ac:dyDescent="0.25">
      <c r="B14" s="68" t="str">
        <f>'2-products'!B22</f>
        <v>dough</v>
      </c>
      <c r="C14" s="26" cm="1">
        <f t="array" ref="C14:D15">'2-products'!C22:D23</f>
        <v>0.6</v>
      </c>
      <c r="D14" s="26">
        <v>0.5</v>
      </c>
      <c r="E14" s="25" t="s">
        <v>129</v>
      </c>
      <c r="F14" s="26">
        <f>'2-products'!F22</f>
        <v>7150</v>
      </c>
      <c r="H14" s="3" t="str">
        <f t="shared" si="0"/>
        <v>0.6 X + 0.5 Y &lt;= 7150</v>
      </c>
    </row>
    <row r="15" spans="2:8" x14ac:dyDescent="0.25">
      <c r="B15" s="68" t="str">
        <f>'2-products'!B23</f>
        <v>filling</v>
      </c>
      <c r="C15" s="26">
        <v>0.4</v>
      </c>
      <c r="D15" s="26">
        <v>0.5</v>
      </c>
      <c r="E15" s="25" t="s">
        <v>129</v>
      </c>
      <c r="F15" s="26">
        <f>'2-products'!F23</f>
        <v>6160</v>
      </c>
      <c r="H15" s="3" t="str">
        <f t="shared" si="0"/>
        <v>0.4 X + 0.5 Y &lt;= 6160</v>
      </c>
    </row>
    <row r="17" spans="2:7" x14ac:dyDescent="0.25">
      <c r="C17" s="3" t="str">
        <f>C3</f>
        <v>X</v>
      </c>
      <c r="D17" s="3" t="str">
        <f>D3</f>
        <v>Y</v>
      </c>
    </row>
    <row r="18" spans="2:7" x14ac:dyDescent="0.25">
      <c r="B18" s="68" t="str">
        <f>B4</f>
        <v>profit</v>
      </c>
      <c r="C18">
        <v>0</v>
      </c>
      <c r="D18">
        <f>F4 / D4</f>
        <v>10936.993188599099</v>
      </c>
    </row>
    <row r="19" spans="2:7" x14ac:dyDescent="0.25">
      <c r="C19">
        <f>F4 / C4</f>
        <v>10823.081177047865</v>
      </c>
      <c r="D19">
        <v>0</v>
      </c>
    </row>
    <row r="20" spans="2:7" x14ac:dyDescent="0.25">
      <c r="B20" s="68" t="str">
        <f>B6</f>
        <v>minimum fruit</v>
      </c>
      <c r="C20">
        <v>6000</v>
      </c>
      <c r="D20" s="19">
        <v>0</v>
      </c>
      <c r="F20" s="19" t="s">
        <v>132</v>
      </c>
      <c r="G20" s="19" t="s">
        <v>133</v>
      </c>
    </row>
    <row r="21" spans="2:7" x14ac:dyDescent="0.25">
      <c r="C21">
        <v>6000</v>
      </c>
      <c r="D21">
        <v>12000</v>
      </c>
    </row>
    <row r="22" spans="2:7" x14ac:dyDescent="0.25">
      <c r="B22" s="68" t="str">
        <f>B7</f>
        <v>maximum fruit</v>
      </c>
      <c r="C22" s="26">
        <f>F7</f>
        <v>9511.3846153846152</v>
      </c>
      <c r="D22">
        <v>0</v>
      </c>
    </row>
    <row r="23" spans="2:7" x14ac:dyDescent="0.25">
      <c r="C23" s="26">
        <f>F7</f>
        <v>9511.3846153846152</v>
      </c>
      <c r="D23">
        <v>12000</v>
      </c>
    </row>
    <row r="24" spans="2:7" x14ac:dyDescent="0.25">
      <c r="B24" s="68" t="str">
        <f>B8</f>
        <v>minimum savory</v>
      </c>
      <c r="C24">
        <v>12000</v>
      </c>
      <c r="D24" s="26">
        <f>F8</f>
        <v>300</v>
      </c>
    </row>
    <row r="25" spans="2:7" x14ac:dyDescent="0.25">
      <c r="C25">
        <v>0</v>
      </c>
      <c r="D25" s="26">
        <f>F8</f>
        <v>300</v>
      </c>
    </row>
    <row r="26" spans="2:7" x14ac:dyDescent="0.25">
      <c r="B26" s="68" t="str">
        <f>B9</f>
        <v>maximum savory</v>
      </c>
      <c r="C26">
        <v>12000</v>
      </c>
      <c r="D26" s="26">
        <f>F9</f>
        <v>9159.1111111111113</v>
      </c>
    </row>
    <row r="27" spans="2:7" x14ac:dyDescent="0.25">
      <c r="C27">
        <v>0</v>
      </c>
      <c r="D27" s="26">
        <f>F9</f>
        <v>9159.1111111111113</v>
      </c>
    </row>
    <row r="28" spans="2:7" x14ac:dyDescent="0.25">
      <c r="B28" s="68" t="str">
        <f>B10</f>
        <v>staging</v>
      </c>
      <c r="C28">
        <v>0</v>
      </c>
      <c r="D28">
        <f>F10 / D10</f>
        <v>20160</v>
      </c>
      <c r="F28" s="19" t="s">
        <v>134</v>
      </c>
      <c r="G28" s="19" t="s">
        <v>136</v>
      </c>
    </row>
    <row r="29" spans="2:7" x14ac:dyDescent="0.25">
      <c r="C29">
        <f>F10 / C10</f>
        <v>20160</v>
      </c>
      <c r="D29">
        <v>0</v>
      </c>
      <c r="F29" s="19" t="s">
        <v>137</v>
      </c>
      <c r="G29" s="19" t="s">
        <v>138</v>
      </c>
    </row>
    <row r="30" spans="2:7" x14ac:dyDescent="0.25">
      <c r="B30" s="68" t="str">
        <f>B11</f>
        <v>assembling</v>
      </c>
      <c r="C30">
        <v>0</v>
      </c>
      <c r="D30">
        <f>F11 / D11</f>
        <v>13440</v>
      </c>
      <c r="F30" s="19" t="s">
        <v>139</v>
      </c>
      <c r="G30" s="19" t="s">
        <v>140</v>
      </c>
    </row>
    <row r="31" spans="2:7" x14ac:dyDescent="0.25">
      <c r="C31">
        <f>F11 / C11</f>
        <v>10080</v>
      </c>
      <c r="D31">
        <v>0</v>
      </c>
    </row>
    <row r="32" spans="2:7" x14ac:dyDescent="0.25">
      <c r="B32" s="68" t="str">
        <f>B12</f>
        <v>baking</v>
      </c>
      <c r="C32">
        <v>0</v>
      </c>
      <c r="D32">
        <f>F12 / D12</f>
        <v>10080</v>
      </c>
    </row>
    <row r="33" spans="2:7" x14ac:dyDescent="0.25">
      <c r="C33">
        <f>F12 / C12</f>
        <v>11200</v>
      </c>
      <c r="D33">
        <v>0</v>
      </c>
    </row>
    <row r="34" spans="2:7" x14ac:dyDescent="0.25">
      <c r="B34" s="68" t="str">
        <f>B13</f>
        <v>packaging</v>
      </c>
      <c r="C34">
        <v>0</v>
      </c>
      <c r="D34">
        <f>F13 / D13</f>
        <v>13440</v>
      </c>
    </row>
    <row r="35" spans="2:7" x14ac:dyDescent="0.25">
      <c r="C35">
        <f>F13 / C13</f>
        <v>13440</v>
      </c>
      <c r="D35">
        <v>0</v>
      </c>
    </row>
    <row r="36" spans="2:7" x14ac:dyDescent="0.25">
      <c r="B36" s="68" t="str">
        <f>B14</f>
        <v>dough</v>
      </c>
      <c r="C36">
        <v>0</v>
      </c>
      <c r="D36">
        <f>F14 / D14</f>
        <v>14300</v>
      </c>
      <c r="F36" s="19" t="s">
        <v>135</v>
      </c>
      <c r="G36" s="19" t="s">
        <v>102</v>
      </c>
    </row>
    <row r="37" spans="2:7" x14ac:dyDescent="0.25">
      <c r="C37">
        <f>F14 / C14</f>
        <v>11916.666666666668</v>
      </c>
      <c r="D37">
        <v>0</v>
      </c>
    </row>
    <row r="38" spans="2:7" x14ac:dyDescent="0.25">
      <c r="B38" s="68" t="str">
        <f>B15</f>
        <v>filling</v>
      </c>
      <c r="C38">
        <v>0</v>
      </c>
      <c r="D38" s="26">
        <f>F15 / D15</f>
        <v>12320</v>
      </c>
    </row>
    <row r="39" spans="2:7" x14ac:dyDescent="0.25">
      <c r="C39">
        <f>F15 / C15</f>
        <v>15400</v>
      </c>
      <c r="D39">
        <v>0</v>
      </c>
    </row>
    <row r="40" spans="2:7" x14ac:dyDescent="0.25">
      <c r="B40" s="46" t="s">
        <v>141</v>
      </c>
      <c r="C40" s="48">
        <f>'2-products'!C5</f>
        <v>7753.8461538461524</v>
      </c>
      <c r="D40">
        <v>0</v>
      </c>
      <c r="F40" s="19" t="s">
        <v>143</v>
      </c>
      <c r="G40" t="str">
        <f>"("&amp;ROUND(C40,0)&amp;", "&amp;ROUND(D42,0)&amp;")"</f>
        <v>(7754, 3102)</v>
      </c>
    </row>
    <row r="41" spans="2:7" x14ac:dyDescent="0.25">
      <c r="C41" s="48">
        <f>C40</f>
        <v>7753.8461538461524</v>
      </c>
      <c r="D41">
        <v>6000</v>
      </c>
    </row>
    <row r="42" spans="2:7" x14ac:dyDescent="0.25">
      <c r="B42" s="46" t="s">
        <v>142</v>
      </c>
      <c r="C42">
        <v>10000</v>
      </c>
      <c r="D42" s="48">
        <f>'2-products'!D5</f>
        <v>3101.5384615384628</v>
      </c>
    </row>
    <row r="43" spans="2:7" x14ac:dyDescent="0.25">
      <c r="C43">
        <v>0</v>
      </c>
      <c r="D43" s="48">
        <f>D42</f>
        <v>3101.5384615384628</v>
      </c>
    </row>
    <row r="44" spans="2:7" x14ac:dyDescent="0.25">
      <c r="B44" s="46" t="s">
        <v>143</v>
      </c>
      <c r="C44" s="48">
        <f>C40</f>
        <v>7753.8461538461524</v>
      </c>
      <c r="D44" s="48">
        <f>D42</f>
        <v>3101.5384615384628</v>
      </c>
    </row>
    <row r="46" spans="2:7" x14ac:dyDescent="0.25">
      <c r="B46" s="68" t="str">
        <f>"profit = 20000"</f>
        <v>profit = 20000</v>
      </c>
    </row>
    <row r="48" spans="2:7" x14ac:dyDescent="0.25">
      <c r="B48" s="68" t="s">
        <v>144</v>
      </c>
      <c r="C48" t="s">
        <v>46</v>
      </c>
      <c r="D48" t="s">
        <v>47</v>
      </c>
    </row>
    <row r="49" spans="2:8" x14ac:dyDescent="0.25">
      <c r="C49" s="23" t="s">
        <v>124</v>
      </c>
      <c r="D49" s="23" t="s">
        <v>125</v>
      </c>
      <c r="F49" s="23" t="s">
        <v>126</v>
      </c>
    </row>
    <row r="50" spans="2:8" x14ac:dyDescent="0.25">
      <c r="B50" s="70" t="str">
        <f>"profit = "&amp;ROUND(F50,0)</f>
        <v>profit = 20000</v>
      </c>
      <c r="C50" s="71">
        <f>C$4</f>
        <v>2.9811812355431213</v>
      </c>
      <c r="D50" s="71">
        <f>D$4</f>
        <v>2.9501313532323685</v>
      </c>
      <c r="E50" s="72" t="s">
        <v>127</v>
      </c>
      <c r="F50" s="71">
        <v>20000</v>
      </c>
      <c r="H50" s="3" t="str">
        <f>ROUND(C50,2)&amp;" "&amp;$C$3&amp;" + "&amp;ROUND(D50,2)&amp;" "&amp;$D$3&amp;" "&amp;E50&amp;" "&amp;ROUND(F50,2)</f>
        <v>2.98 X + 2.95 Y = 20000</v>
      </c>
    </row>
    <row r="51" spans="2:8" x14ac:dyDescent="0.25">
      <c r="C51">
        <v>0</v>
      </c>
      <c r="D51">
        <f>F50 / D50</f>
        <v>6779.3591556818692</v>
      </c>
    </row>
    <row r="52" spans="2:8" x14ac:dyDescent="0.25">
      <c r="C52">
        <f>F50 / C50</f>
        <v>6708.7501294956783</v>
      </c>
      <c r="D52">
        <v>0</v>
      </c>
    </row>
    <row r="53" spans="2:8" x14ac:dyDescent="0.25">
      <c r="B53" s="70" t="str">
        <f>"profit = "&amp;ROUND(F53,0)</f>
        <v>profit = 30000</v>
      </c>
      <c r="C53" s="71">
        <f>C$4</f>
        <v>2.9811812355431213</v>
      </c>
      <c r="D53" s="71">
        <f>D$4</f>
        <v>2.9501313532323685</v>
      </c>
      <c r="E53" s="72" t="s">
        <v>127</v>
      </c>
      <c r="F53" s="71">
        <v>30000</v>
      </c>
      <c r="H53" s="3" t="str">
        <f>ROUND(C53,2)&amp;" "&amp;$C$3&amp;" + "&amp;ROUND(D53,2)&amp;" "&amp;$D$3&amp;" "&amp;E53&amp;" "&amp;ROUND(F53,2)</f>
        <v>2.98 X + 2.95 Y = 30000</v>
      </c>
    </row>
    <row r="54" spans="2:8" x14ac:dyDescent="0.25">
      <c r="C54">
        <v>0</v>
      </c>
      <c r="D54">
        <f>F53 / D53</f>
        <v>10169.038733522804</v>
      </c>
    </row>
    <row r="55" spans="2:8" x14ac:dyDescent="0.25">
      <c r="C55">
        <f>F53 / C53</f>
        <v>10063.125194243517</v>
      </c>
      <c r="D55">
        <v>0</v>
      </c>
    </row>
    <row r="56" spans="2:8" x14ac:dyDescent="0.25">
      <c r="B56" s="70" t="str">
        <f>"profit = "&amp;ROUND(F56,0)</f>
        <v>profit = 40000</v>
      </c>
      <c r="C56" s="71">
        <f>C$4</f>
        <v>2.9811812355431213</v>
      </c>
      <c r="D56" s="71">
        <f>D$4</f>
        <v>2.9501313532323685</v>
      </c>
      <c r="E56" s="72" t="s">
        <v>127</v>
      </c>
      <c r="F56" s="71">
        <v>40000</v>
      </c>
      <c r="H56" s="3" t="str">
        <f>ROUND(C56,2)&amp;" "&amp;$C$3&amp;" + "&amp;ROUND(D56,2)&amp;" "&amp;$D$3&amp;" "&amp;E56&amp;" "&amp;ROUND(F56,2)</f>
        <v>2.98 X + 2.95 Y = 40000</v>
      </c>
    </row>
    <row r="57" spans="2:8" x14ac:dyDescent="0.25">
      <c r="C57">
        <v>0</v>
      </c>
      <c r="D57">
        <f>F56 / D56</f>
        <v>13558.718311363738</v>
      </c>
    </row>
    <row r="58" spans="2:8" x14ac:dyDescent="0.25">
      <c r="C58">
        <f>F56 / C56</f>
        <v>13417.500258991357</v>
      </c>
      <c r="D58"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92D7B-9F83-4402-AC88-B08E247AA4C9}">
  <dimension ref="B2:M28"/>
  <sheetViews>
    <sheetView zoomScale="90" zoomScaleNormal="90" workbookViewId="0">
      <selection activeCell="C12" sqref="C12"/>
    </sheetView>
  </sheetViews>
  <sheetFormatPr defaultRowHeight="15" x14ac:dyDescent="0.25"/>
  <cols>
    <col min="1" max="1" width="3.6328125" customWidth="1"/>
    <col min="2" max="2" width="21.08984375" customWidth="1"/>
    <col min="3" max="3" width="10.453125" customWidth="1"/>
    <col min="4" max="4" width="10.1796875" customWidth="1"/>
    <col min="5" max="5" width="11.1796875" customWidth="1"/>
    <col min="6" max="6" width="11.36328125" customWidth="1"/>
    <col min="12" max="12" width="15.90625" customWidth="1"/>
  </cols>
  <sheetData>
    <row r="2" spans="2:13" ht="17.399999999999999" x14ac:dyDescent="0.3">
      <c r="B2" s="64" t="s">
        <v>122</v>
      </c>
    </row>
    <row r="3" spans="2:13" ht="30" x14ac:dyDescent="0.3">
      <c r="B3" s="18" t="s">
        <v>66</v>
      </c>
      <c r="C3" s="49" t="s">
        <v>74</v>
      </c>
      <c r="D3" s="49" t="s">
        <v>75</v>
      </c>
      <c r="E3" s="49" t="s">
        <v>77</v>
      </c>
      <c r="F3" s="49" t="s">
        <v>76</v>
      </c>
      <c r="G3" s="50" t="s">
        <v>78</v>
      </c>
      <c r="H3" s="36"/>
    </row>
    <row r="4" spans="2:13" x14ac:dyDescent="0.25">
      <c r="B4" s="19" t="s">
        <v>39</v>
      </c>
      <c r="C4" s="36">
        <v>3</v>
      </c>
      <c r="D4" s="36">
        <v>7</v>
      </c>
      <c r="E4" s="36">
        <v>8</v>
      </c>
      <c r="F4" s="36">
        <v>2</v>
      </c>
      <c r="G4" s="36">
        <f>C4 * D4 * E4 * F4 *60</f>
        <v>20160</v>
      </c>
      <c r="H4" s="62" t="s">
        <v>120</v>
      </c>
      <c r="I4" s="63" t="str">
        <f ca="1">_xlfn.FORMULATEXT(G4)</f>
        <v>=C4 * D4 * E4 * F4 *60</v>
      </c>
      <c r="J4" s="63"/>
    </row>
    <row r="5" spans="2:13" x14ac:dyDescent="0.25">
      <c r="B5" s="19" t="s">
        <v>40</v>
      </c>
      <c r="C5" s="36">
        <v>3</v>
      </c>
      <c r="D5" s="36">
        <v>7</v>
      </c>
      <c r="E5" s="36">
        <v>8</v>
      </c>
      <c r="F5" s="36">
        <v>2</v>
      </c>
      <c r="G5" s="36">
        <f t="shared" ref="G5:G7" si="0">C5 * D5 * E5 * F5 *60</f>
        <v>20160</v>
      </c>
      <c r="H5" s="36"/>
    </row>
    <row r="6" spans="2:13" x14ac:dyDescent="0.25">
      <c r="B6" s="19" t="s">
        <v>41</v>
      </c>
      <c r="C6" s="36">
        <v>10</v>
      </c>
      <c r="D6" s="36">
        <v>7</v>
      </c>
      <c r="E6" s="36">
        <v>8</v>
      </c>
      <c r="F6" s="36">
        <v>3</v>
      </c>
      <c r="G6" s="36">
        <f t="shared" si="0"/>
        <v>100800</v>
      </c>
      <c r="H6" s="36"/>
    </row>
    <row r="7" spans="2:13" x14ac:dyDescent="0.25">
      <c r="B7" s="19" t="s">
        <v>42</v>
      </c>
      <c r="C7" s="36">
        <v>2</v>
      </c>
      <c r="D7" s="36">
        <v>7</v>
      </c>
      <c r="E7" s="36">
        <v>8</v>
      </c>
      <c r="F7" s="36">
        <v>2</v>
      </c>
      <c r="G7" s="36">
        <f t="shared" si="0"/>
        <v>13440</v>
      </c>
      <c r="H7" s="36"/>
    </row>
    <row r="8" spans="2:13" ht="15.6" x14ac:dyDescent="0.3">
      <c r="B8" s="1"/>
      <c r="F8" s="46" t="s">
        <v>108</v>
      </c>
      <c r="G8" s="51">
        <f>SUM(G4:G7)</f>
        <v>154560</v>
      </c>
      <c r="H8" s="62" t="s">
        <v>121</v>
      </c>
      <c r="I8" s="63" t="str">
        <f ca="1">_xlfn.FORMULATEXT(G8)</f>
        <v>=SUM(G4:G7)</v>
      </c>
      <c r="J8" s="63"/>
    </row>
    <row r="9" spans="2:13" ht="15.6" x14ac:dyDescent="0.3">
      <c r="B9" s="1"/>
      <c r="C9" s="37"/>
      <c r="F9" s="46"/>
      <c r="G9" s="37"/>
    </row>
    <row r="10" spans="2:13" ht="15.6" x14ac:dyDescent="0.3">
      <c r="B10" s="1"/>
      <c r="C10" s="33" t="s">
        <v>98</v>
      </c>
      <c r="D10" s="43"/>
      <c r="E10" s="33" t="s">
        <v>99</v>
      </c>
      <c r="F10" s="34"/>
      <c r="G10" s="36"/>
    </row>
    <row r="11" spans="2:13" ht="15.6" x14ac:dyDescent="0.3">
      <c r="B11" s="18" t="s">
        <v>65</v>
      </c>
      <c r="C11" s="35" t="s">
        <v>46</v>
      </c>
      <c r="D11" s="44" t="s">
        <v>47</v>
      </c>
      <c r="E11" s="35" t="s">
        <v>46</v>
      </c>
      <c r="F11" s="24" t="s">
        <v>47</v>
      </c>
      <c r="G11" s="36"/>
    </row>
    <row r="12" spans="2:13" x14ac:dyDescent="0.25">
      <c r="B12" s="19" t="s">
        <v>43</v>
      </c>
      <c r="C12" s="36">
        <f>margin!C27</f>
        <v>1.1315453111714529</v>
      </c>
      <c r="D12" s="45">
        <f>margin!D27</f>
        <v>1.1240097044552273</v>
      </c>
      <c r="E12" s="36">
        <f>C12 / SUM(C$12:C$13)</f>
        <v>0.6</v>
      </c>
      <c r="F12" s="37">
        <f>D12 / SUM(D$12:D$13)</f>
        <v>0.5</v>
      </c>
      <c r="G12" s="58" t="s">
        <v>118</v>
      </c>
      <c r="H12" s="59" t="str">
        <f ca="1">_xlfn.FORMULATEXT(C12)</f>
        <v>=margin!C27</v>
      </c>
      <c r="I12" s="55" t="s">
        <v>119</v>
      </c>
      <c r="J12" s="57" t="str">
        <f ca="1">_xlfn.FORMULATEXT(E12)</f>
        <v>=C12 / SUM(C$12:C$13)</v>
      </c>
      <c r="K12" s="56"/>
    </row>
    <row r="13" spans="2:13" x14ac:dyDescent="0.25">
      <c r="B13" s="19" t="s">
        <v>44</v>
      </c>
      <c r="C13" s="36">
        <f>margin!C28</f>
        <v>0.75436354078096857</v>
      </c>
      <c r="D13" s="45">
        <f>margin!D28</f>
        <v>1.1240097044552273</v>
      </c>
      <c r="E13" s="36">
        <f>C13 / SUM(C$12:C$13)</f>
        <v>0.4</v>
      </c>
      <c r="F13" s="37">
        <f>D13 / SUM(D$12:D$13)</f>
        <v>0.5</v>
      </c>
      <c r="G13" s="36"/>
    </row>
    <row r="15" spans="2:13" x14ac:dyDescent="0.25">
      <c r="C15" s="33" t="s">
        <v>101</v>
      </c>
      <c r="D15" s="34"/>
      <c r="E15" s="33" t="s">
        <v>104</v>
      </c>
      <c r="F15" s="34"/>
      <c r="G15" s="33" t="s">
        <v>100</v>
      </c>
      <c r="H15" s="34"/>
      <c r="I15" s="38" t="s">
        <v>100</v>
      </c>
      <c r="J15" s="33" t="s">
        <v>103</v>
      </c>
      <c r="K15" s="34"/>
      <c r="L15" s="40"/>
      <c r="M15" s="36"/>
    </row>
    <row r="16" spans="2:13" ht="15.6" x14ac:dyDescent="0.3">
      <c r="B16" s="18" t="s">
        <v>65</v>
      </c>
      <c r="C16" s="35" t="s">
        <v>46</v>
      </c>
      <c r="D16" s="24" t="s">
        <v>47</v>
      </c>
      <c r="E16" s="35" t="s">
        <v>46</v>
      </c>
      <c r="F16" s="24" t="s">
        <v>47</v>
      </c>
      <c r="G16" s="35" t="s">
        <v>46</v>
      </c>
      <c r="H16" s="24" t="s">
        <v>47</v>
      </c>
      <c r="I16" s="35" t="s">
        <v>108</v>
      </c>
      <c r="J16" s="35" t="s">
        <v>46</v>
      </c>
      <c r="K16" s="24" t="s">
        <v>47</v>
      </c>
      <c r="L16" s="39" t="s">
        <v>106</v>
      </c>
      <c r="M16" s="36"/>
    </row>
    <row r="17" spans="2:13" x14ac:dyDescent="0.25">
      <c r="B17" s="19" t="s">
        <v>43</v>
      </c>
      <c r="C17" s="36">
        <v>108</v>
      </c>
      <c r="D17" s="37">
        <v>42</v>
      </c>
      <c r="E17" s="36">
        <v>5000</v>
      </c>
      <c r="F17" s="37">
        <v>2000</v>
      </c>
      <c r="G17" s="36">
        <f>E12 *margin!C$19</f>
        <v>4861.2</v>
      </c>
      <c r="H17" s="37">
        <f>F12 *margin!D$19</f>
        <v>1133.5</v>
      </c>
      <c r="I17" s="36">
        <f>G17+H17</f>
        <v>5994.7</v>
      </c>
      <c r="J17" s="36">
        <f>C17 + E17 - G17</f>
        <v>246.80000000000018</v>
      </c>
      <c r="K17" s="37">
        <f t="shared" ref="K17:K18" si="1">D17 + F17 - H17</f>
        <v>908.5</v>
      </c>
      <c r="L17" s="40">
        <f>I17 + J17 + K17</f>
        <v>7150</v>
      </c>
      <c r="M17" s="36"/>
    </row>
    <row r="18" spans="2:13" x14ac:dyDescent="0.25">
      <c r="B18" s="19" t="s">
        <v>44</v>
      </c>
      <c r="C18" s="36">
        <v>98</v>
      </c>
      <c r="D18" s="37">
        <v>62</v>
      </c>
      <c r="E18" s="36">
        <v>4000</v>
      </c>
      <c r="F18" s="37">
        <v>2000</v>
      </c>
      <c r="G18" s="36">
        <f>E13 *margin!C$19</f>
        <v>3240.8</v>
      </c>
      <c r="H18" s="37">
        <f>F13 *margin!D$19</f>
        <v>1133.5</v>
      </c>
      <c r="I18" s="36">
        <f>G18+H18</f>
        <v>4374.3</v>
      </c>
      <c r="J18" s="36">
        <f t="shared" ref="J18" si="2">C18 + E18 - G18</f>
        <v>857.19999999999982</v>
      </c>
      <c r="K18" s="37">
        <f t="shared" si="1"/>
        <v>928.5</v>
      </c>
      <c r="L18" s="40">
        <f>I18 + J18 + K18</f>
        <v>6160</v>
      </c>
      <c r="M18" s="36"/>
    </row>
    <row r="20" spans="2:13" ht="15.6" x14ac:dyDescent="0.3">
      <c r="B20" s="18" t="str">
        <f>B3</f>
        <v>processing</v>
      </c>
      <c r="C20" s="35" t="s">
        <v>46</v>
      </c>
      <c r="D20" s="24" t="s">
        <v>47</v>
      </c>
      <c r="E20" s="36"/>
      <c r="G20" s="60" t="s">
        <v>114</v>
      </c>
      <c r="H20" s="52"/>
      <c r="I20" s="53" t="s">
        <v>115</v>
      </c>
      <c r="J20" s="60" t="s">
        <v>116</v>
      </c>
      <c r="K20" s="52"/>
      <c r="L20" s="53" t="s">
        <v>117</v>
      </c>
    </row>
    <row r="21" spans="2:13" x14ac:dyDescent="0.25">
      <c r="B21" s="19" t="s">
        <v>39</v>
      </c>
      <c r="C21" s="41">
        <v>1</v>
      </c>
      <c r="D21" s="25">
        <v>1</v>
      </c>
      <c r="E21" s="36"/>
      <c r="G21" s="61" t="str">
        <f ca="1">_xlfn.FORMULATEXT(G17)</f>
        <v>=E12 *margin!C$19</v>
      </c>
      <c r="H21" s="61"/>
      <c r="I21" s="53" t="str">
        <f ca="1">_xlfn.FORMULATEXT(I17)</f>
        <v>=G17+H17</v>
      </c>
      <c r="J21" s="61" t="str">
        <f ca="1">_xlfn.FORMULATEXT(J17)</f>
        <v>=C17 + E17 - G17</v>
      </c>
      <c r="K21" s="61"/>
      <c r="L21" s="53" t="str">
        <f ca="1">_xlfn.FORMULATEXT(L17)</f>
        <v>=I17 + J17 + K17</v>
      </c>
    </row>
    <row r="22" spans="2:13" x14ac:dyDescent="0.25">
      <c r="B22" s="19" t="s">
        <v>40</v>
      </c>
      <c r="C22" s="41">
        <v>2</v>
      </c>
      <c r="D22" s="25">
        <v>1.5</v>
      </c>
      <c r="E22" s="36"/>
      <c r="I22" s="19" t="s">
        <v>105</v>
      </c>
    </row>
    <row r="23" spans="2:13" x14ac:dyDescent="0.25">
      <c r="B23" s="19" t="s">
        <v>41</v>
      </c>
      <c r="C23" s="41">
        <v>9</v>
      </c>
      <c r="D23" s="25">
        <v>10</v>
      </c>
      <c r="E23" s="36"/>
    </row>
    <row r="24" spans="2:13" x14ac:dyDescent="0.25">
      <c r="B24" s="19" t="s">
        <v>42</v>
      </c>
      <c r="C24" s="41">
        <v>1</v>
      </c>
      <c r="D24" s="25">
        <v>1</v>
      </c>
      <c r="E24" s="36"/>
    </row>
    <row r="25" spans="2:13" x14ac:dyDescent="0.25">
      <c r="B25" s="19" t="s">
        <v>109</v>
      </c>
      <c r="C25" s="42">
        <f>SUM(C21:C24)</f>
        <v>13</v>
      </c>
      <c r="D25" s="26">
        <f>SUM(D21:D24)</f>
        <v>13.5</v>
      </c>
      <c r="E25" s="36"/>
      <c r="F25" s="54" t="str">
        <f ca="1">_xlfn.FORMULATEXT(C25)</f>
        <v>=SUM(C21:C24)</v>
      </c>
    </row>
    <row r="26" spans="2:13" x14ac:dyDescent="0.25">
      <c r="B26" s="19" t="s">
        <v>113</v>
      </c>
      <c r="C26" s="47">
        <f>$G$8 / C25</f>
        <v>11889.23076923077</v>
      </c>
      <c r="D26" s="48">
        <f>$G$8 / D25</f>
        <v>11448.888888888889</v>
      </c>
      <c r="E26" s="36"/>
      <c r="F26" s="54" t="str">
        <f ca="1">_xlfn.FORMULATEXT(C26)</f>
        <v>=$G$8 / C25</v>
      </c>
    </row>
    <row r="27" spans="2:13" x14ac:dyDescent="0.25">
      <c r="B27" s="19" t="s">
        <v>111</v>
      </c>
      <c r="C27" s="41">
        <v>0.8</v>
      </c>
      <c r="D27" s="25">
        <v>0.8</v>
      </c>
      <c r="E27" s="36"/>
    </row>
    <row r="28" spans="2:13" x14ac:dyDescent="0.25">
      <c r="B28" s="19" t="s">
        <v>110</v>
      </c>
      <c r="C28" s="36">
        <f>C27 * C26</f>
        <v>9511.3846153846152</v>
      </c>
      <c r="D28">
        <f>D27 * D26</f>
        <v>9159.1111111111113</v>
      </c>
      <c r="E28" s="36"/>
      <c r="F28" s="54" t="str">
        <f ca="1">_xlfn.FORMULATEXT(C28)</f>
        <v>=C27 * C26</v>
      </c>
    </row>
  </sheetData>
  <mergeCells count="10">
    <mergeCell ref="J21:K21"/>
    <mergeCell ref="G21:H21"/>
    <mergeCell ref="I4:J4"/>
    <mergeCell ref="I8:J8"/>
    <mergeCell ref="E10:F10"/>
    <mergeCell ref="C10:D10"/>
    <mergeCell ref="G15:H15"/>
    <mergeCell ref="C15:D15"/>
    <mergeCell ref="J15:K15"/>
    <mergeCell ref="E15:F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D908B-09F8-4175-8E7A-E5199E60A0D0}">
  <dimension ref="B4:G32"/>
  <sheetViews>
    <sheetView topLeftCell="A3" workbookViewId="0">
      <selection activeCell="G14" sqref="G14"/>
    </sheetView>
  </sheetViews>
  <sheetFormatPr defaultRowHeight="15" x14ac:dyDescent="0.25"/>
  <cols>
    <col min="2" max="2" width="22.7265625" customWidth="1"/>
    <col min="3" max="3" width="12.26953125" customWidth="1"/>
    <col min="4" max="4" width="12.08984375" customWidth="1"/>
  </cols>
  <sheetData>
    <row r="4" spans="2:4" ht="15.6" x14ac:dyDescent="0.3">
      <c r="C4" s="18" t="s">
        <v>46</v>
      </c>
      <c r="D4" s="18" t="s">
        <v>47</v>
      </c>
    </row>
    <row r="5" spans="2:4" ht="15.6" x14ac:dyDescent="0.3">
      <c r="B5" s="1" t="s">
        <v>79</v>
      </c>
      <c r="C5" s="20">
        <v>61991</v>
      </c>
      <c r="D5" s="20">
        <v>19601</v>
      </c>
    </row>
    <row r="6" spans="2:4" ht="15.6" x14ac:dyDescent="0.3">
      <c r="B6" s="1" t="s">
        <v>80</v>
      </c>
      <c r="C6" s="20"/>
      <c r="D6" s="20"/>
    </row>
    <row r="7" spans="2:4" x14ac:dyDescent="0.25">
      <c r="B7" t="s">
        <v>81</v>
      </c>
      <c r="C7" s="20">
        <v>15279.633518518518</v>
      </c>
      <c r="D7" s="20">
        <v>5096.26</v>
      </c>
    </row>
    <row r="8" spans="2:4" x14ac:dyDescent="0.25">
      <c r="B8" t="s">
        <v>82</v>
      </c>
      <c r="C8" s="20">
        <v>12535.957777777778</v>
      </c>
      <c r="D8" s="20">
        <v>4332.17</v>
      </c>
    </row>
    <row r="9" spans="2:4" x14ac:dyDescent="0.25">
      <c r="B9" t="s">
        <v>83</v>
      </c>
      <c r="C9" s="20">
        <v>3822.7783333333336</v>
      </c>
      <c r="D9" s="20">
        <v>1524.5222222222224</v>
      </c>
    </row>
    <row r="10" spans="2:4" x14ac:dyDescent="0.25">
      <c r="B10" t="s">
        <v>84</v>
      </c>
      <c r="C10" s="20">
        <v>6199.1</v>
      </c>
      <c r="D10" s="20">
        <v>1960.1000000000001</v>
      </c>
    </row>
    <row r="11" spans="2:4" ht="15.6" x14ac:dyDescent="0.3">
      <c r="B11" s="1" t="s">
        <v>85</v>
      </c>
      <c r="C11" s="66">
        <f>SUM(C7:C10)</f>
        <v>37837.469629629632</v>
      </c>
      <c r="D11" s="66">
        <f>SUM(D7:D10)</f>
        <v>12913.052222222223</v>
      </c>
    </row>
    <row r="12" spans="2:4" x14ac:dyDescent="0.25">
      <c r="C12" s="20"/>
      <c r="D12" s="20"/>
    </row>
    <row r="13" spans="2:4" ht="15.6" x14ac:dyDescent="0.3">
      <c r="B13" s="1" t="s">
        <v>86</v>
      </c>
      <c r="C13" s="20"/>
      <c r="D13" s="20"/>
    </row>
    <row r="14" spans="2:4" x14ac:dyDescent="0.25">
      <c r="B14" t="s">
        <v>87</v>
      </c>
      <c r="C14" s="20">
        <v>9687.83</v>
      </c>
      <c r="D14" s="20">
        <v>4330.6899999999996</v>
      </c>
    </row>
    <row r="15" spans="2:4" x14ac:dyDescent="0.25">
      <c r="B15" t="s">
        <v>88</v>
      </c>
      <c r="C15" s="20">
        <v>8577.7800000000007</v>
      </c>
      <c r="D15" s="20">
        <v>2277.7800000000002</v>
      </c>
    </row>
    <row r="16" spans="2:4" ht="15.6" x14ac:dyDescent="0.3">
      <c r="B16" s="1" t="s">
        <v>85</v>
      </c>
      <c r="C16" s="66">
        <f>SUM(C14:C15)</f>
        <v>18265.61</v>
      </c>
      <c r="D16" s="66">
        <f t="shared" ref="D16" si="0">SUM(D14:D15)</f>
        <v>6608.4699999999993</v>
      </c>
    </row>
    <row r="17" spans="2:7" x14ac:dyDescent="0.25">
      <c r="C17" s="20"/>
      <c r="D17" s="20"/>
    </row>
    <row r="18" spans="2:7" ht="15.6" x14ac:dyDescent="0.3">
      <c r="B18" s="1" t="s">
        <v>89</v>
      </c>
      <c r="C18" s="20">
        <f>C5-C11-C16</f>
        <v>5887.9203703703679</v>
      </c>
      <c r="D18" s="20">
        <f t="shared" ref="D18" si="1">D5-D11-D16</f>
        <v>79.477777777778101</v>
      </c>
    </row>
    <row r="19" spans="2:7" ht="15.6" x14ac:dyDescent="0.3">
      <c r="B19" s="1" t="s">
        <v>90</v>
      </c>
      <c r="C19" s="21">
        <v>8102</v>
      </c>
      <c r="D19" s="21">
        <v>2267</v>
      </c>
      <c r="F19" s="21"/>
      <c r="G19" s="21"/>
    </row>
    <row r="20" spans="2:7" ht="15.6" x14ac:dyDescent="0.3">
      <c r="B20" s="1" t="s">
        <v>91</v>
      </c>
      <c r="C20" s="65">
        <f>C18/C19</f>
        <v>0.72672431132687831</v>
      </c>
      <c r="D20" s="65">
        <f t="shared" ref="D20" si="2">D18/D19</f>
        <v>3.5058569818164138E-2</v>
      </c>
    </row>
    <row r="21" spans="2:7" x14ac:dyDescent="0.25">
      <c r="C21" s="20"/>
      <c r="D21" s="20"/>
    </row>
    <row r="22" spans="2:7" ht="15.6" x14ac:dyDescent="0.3">
      <c r="B22" s="1" t="s">
        <v>92</v>
      </c>
      <c r="C22" s="22">
        <f>C5/C19</f>
        <v>7.6513206615650455</v>
      </c>
      <c r="D22" s="22">
        <f t="shared" ref="D22" si="3">D5/D19</f>
        <v>8.6462284958094404</v>
      </c>
    </row>
    <row r="23" spans="2:7" ht="15.6" x14ac:dyDescent="0.3">
      <c r="B23" s="1" t="s">
        <v>93</v>
      </c>
      <c r="C23" s="22">
        <f>C11/C19</f>
        <v>4.6701394260219242</v>
      </c>
      <c r="D23" s="22">
        <f t="shared" ref="D23" si="4">D11/D19</f>
        <v>5.6960971425770719</v>
      </c>
    </row>
    <row r="24" spans="2:7" ht="15.6" x14ac:dyDescent="0.3">
      <c r="B24" s="1" t="s">
        <v>94</v>
      </c>
      <c r="C24" s="65">
        <f>C22-C23</f>
        <v>2.9811812355431213</v>
      </c>
      <c r="D24" s="65">
        <f t="shared" ref="D24" si="5">D22-D23</f>
        <v>2.9501313532323685</v>
      </c>
    </row>
    <row r="26" spans="2:7" ht="15.6" x14ac:dyDescent="0.3">
      <c r="B26" s="1" t="s">
        <v>95</v>
      </c>
    </row>
    <row r="27" spans="2:7" x14ac:dyDescent="0.25">
      <c r="B27" s="19" t="s">
        <v>96</v>
      </c>
      <c r="C27" s="20">
        <v>1.1315453111714529</v>
      </c>
      <c r="D27" s="20">
        <v>1.1240097044552273</v>
      </c>
    </row>
    <row r="28" spans="2:7" x14ac:dyDescent="0.25">
      <c r="B28" s="19" t="s">
        <v>97</v>
      </c>
      <c r="C28" s="67">
        <v>0.75436354078096857</v>
      </c>
      <c r="D28" s="67">
        <v>1.1240097044552273</v>
      </c>
    </row>
    <row r="30" spans="2:7" ht="15.6" x14ac:dyDescent="0.3">
      <c r="B30" s="1" t="s">
        <v>107</v>
      </c>
      <c r="C30" s="51">
        <v>6000</v>
      </c>
      <c r="D30" s="51">
        <v>300</v>
      </c>
    </row>
    <row r="31" spans="2:7" ht="15.6" x14ac:dyDescent="0.3">
      <c r="B31" s="7"/>
    </row>
    <row r="32" spans="2:7" x14ac:dyDescent="0.25">
      <c r="B32" s="1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9680B-2CD1-4BBB-BE8B-B7715716B64B}">
  <dimension ref="A1:H22"/>
  <sheetViews>
    <sheetView showGridLines="0" workbookViewId="0">
      <selection activeCell="J6" sqref="J6"/>
    </sheetView>
  </sheetViews>
  <sheetFormatPr defaultRowHeight="15" x14ac:dyDescent="0.25"/>
  <cols>
    <col min="1" max="1" width="2.1796875" customWidth="1"/>
    <col min="2" max="2" width="6.26953125" bestFit="1" customWidth="1"/>
    <col min="3" max="3" width="18.7265625" bestFit="1" customWidth="1"/>
    <col min="4" max="4" width="5.81640625" bestFit="1" customWidth="1"/>
    <col min="5" max="5" width="8.36328125" bestFit="1" customWidth="1"/>
    <col min="6" max="6" width="10.08984375" bestFit="1" customWidth="1"/>
    <col min="7" max="8" width="8.90625" bestFit="1" customWidth="1"/>
  </cols>
  <sheetData>
    <row r="1" spans="1:8" ht="15.6" x14ac:dyDescent="0.3">
      <c r="A1" s="1" t="s">
        <v>10</v>
      </c>
    </row>
    <row r="2" spans="1:8" ht="15.6" x14ac:dyDescent="0.3">
      <c r="A2" s="1" t="s">
        <v>53</v>
      </c>
    </row>
    <row r="3" spans="1:8" ht="15.6" x14ac:dyDescent="0.3">
      <c r="A3" s="1" t="s">
        <v>54</v>
      </c>
    </row>
    <row r="6" spans="1:8" ht="15.6" thickBot="1" x14ac:dyDescent="0.3">
      <c r="A6" t="s">
        <v>11</v>
      </c>
    </row>
    <row r="7" spans="1:8" ht="15.6" x14ac:dyDescent="0.3">
      <c r="B7" s="12"/>
      <c r="C7" s="12"/>
      <c r="D7" s="12" t="s">
        <v>14</v>
      </c>
      <c r="E7" s="12" t="s">
        <v>16</v>
      </c>
      <c r="F7" s="12" t="s">
        <v>18</v>
      </c>
      <c r="G7" s="12" t="s">
        <v>20</v>
      </c>
      <c r="H7" s="12" t="s">
        <v>20</v>
      </c>
    </row>
    <row r="8" spans="1:8" ht="16.2" thickBot="1" x14ac:dyDescent="0.35">
      <c r="B8" s="13" t="s">
        <v>12</v>
      </c>
      <c r="C8" s="13" t="s">
        <v>13</v>
      </c>
      <c r="D8" s="13" t="s">
        <v>15</v>
      </c>
      <c r="E8" s="13" t="s">
        <v>17</v>
      </c>
      <c r="F8" s="13" t="s">
        <v>19</v>
      </c>
      <c r="G8" s="13" t="s">
        <v>21</v>
      </c>
      <c r="H8" s="13" t="s">
        <v>22</v>
      </c>
    </row>
    <row r="9" spans="1:8" x14ac:dyDescent="0.25">
      <c r="B9" s="9" t="s">
        <v>28</v>
      </c>
      <c r="C9" s="9" t="s">
        <v>55</v>
      </c>
      <c r="D9" s="9">
        <v>1000</v>
      </c>
      <c r="E9" s="9">
        <v>-1.5899999999999999</v>
      </c>
      <c r="F9" s="9">
        <v>2.8499999999999996</v>
      </c>
      <c r="G9" s="9">
        <v>1.5899999999999999</v>
      </c>
      <c r="H9" s="9">
        <v>1E+30</v>
      </c>
    </row>
    <row r="10" spans="1:8" x14ac:dyDescent="0.25">
      <c r="B10" s="9" t="s">
        <v>29</v>
      </c>
      <c r="C10" s="9" t="s">
        <v>56</v>
      </c>
      <c r="D10" s="9">
        <v>399.99999999999989</v>
      </c>
      <c r="E10" s="9">
        <v>0</v>
      </c>
      <c r="F10" s="9">
        <v>3.7</v>
      </c>
      <c r="G10" s="9">
        <v>1E+30</v>
      </c>
      <c r="H10" s="9">
        <v>1.3250000000000002</v>
      </c>
    </row>
    <row r="11" spans="1:8" x14ac:dyDescent="0.25">
      <c r="B11" s="9" t="s">
        <v>30</v>
      </c>
      <c r="C11" s="9" t="s">
        <v>57</v>
      </c>
      <c r="D11" s="9">
        <v>0</v>
      </c>
      <c r="E11" s="9">
        <v>-3.4199999999999982</v>
      </c>
      <c r="F11" s="9">
        <v>2.5000000000000009</v>
      </c>
      <c r="G11" s="9">
        <v>3.4199999999999982</v>
      </c>
      <c r="H11" s="9">
        <v>1E+30</v>
      </c>
    </row>
    <row r="12" spans="1:8" ht="15.6" thickBot="1" x14ac:dyDescent="0.3">
      <c r="B12" s="10" t="s">
        <v>31</v>
      </c>
      <c r="C12" s="10" t="s">
        <v>58</v>
      </c>
      <c r="D12" s="10">
        <v>200</v>
      </c>
      <c r="E12" s="10">
        <v>1.5500000000000007</v>
      </c>
      <c r="F12" s="10">
        <v>1.5500000000000007</v>
      </c>
      <c r="G12" s="10">
        <v>1E+30</v>
      </c>
      <c r="H12" s="10">
        <v>1.5500000000000007</v>
      </c>
    </row>
    <row r="14" spans="1:8" ht="15.6" thickBot="1" x14ac:dyDescent="0.3">
      <c r="A14" t="s">
        <v>23</v>
      </c>
    </row>
    <row r="15" spans="1:8" ht="15.6" x14ac:dyDescent="0.3">
      <c r="B15" s="12"/>
      <c r="C15" s="12"/>
      <c r="D15" s="12" t="s">
        <v>14</v>
      </c>
      <c r="E15" s="12" t="s">
        <v>24</v>
      </c>
      <c r="F15" s="12" t="s">
        <v>26</v>
      </c>
      <c r="G15" s="12" t="s">
        <v>20</v>
      </c>
      <c r="H15" s="12" t="s">
        <v>20</v>
      </c>
    </row>
    <row r="16" spans="1:8" ht="16.2" thickBot="1" x14ac:dyDescent="0.35">
      <c r="B16" s="13" t="s">
        <v>12</v>
      </c>
      <c r="C16" s="13" t="s">
        <v>13</v>
      </c>
      <c r="D16" s="13" t="s">
        <v>15</v>
      </c>
      <c r="E16" s="13" t="s">
        <v>25</v>
      </c>
      <c r="F16" s="13" t="s">
        <v>27</v>
      </c>
      <c r="G16" s="13" t="s">
        <v>21</v>
      </c>
      <c r="H16" s="13" t="s">
        <v>22</v>
      </c>
    </row>
    <row r="17" spans="2:8" x14ac:dyDescent="0.25">
      <c r="B17" s="9" t="s">
        <v>32</v>
      </c>
      <c r="C17" s="9" t="s">
        <v>59</v>
      </c>
      <c r="D17" s="9">
        <v>1600</v>
      </c>
      <c r="E17" s="9">
        <v>0</v>
      </c>
      <c r="F17" s="9">
        <v>3600</v>
      </c>
      <c r="G17" s="9">
        <v>1E+30</v>
      </c>
      <c r="H17" s="9">
        <v>2000</v>
      </c>
    </row>
    <row r="18" spans="2:8" x14ac:dyDescent="0.25">
      <c r="B18" s="9" t="s">
        <v>33</v>
      </c>
      <c r="C18" s="9" t="s">
        <v>60</v>
      </c>
      <c r="D18" s="9">
        <v>2950</v>
      </c>
      <c r="E18" s="9">
        <v>0</v>
      </c>
      <c r="F18" s="9">
        <v>3600</v>
      </c>
      <c r="G18" s="9">
        <v>1E+30</v>
      </c>
      <c r="H18" s="9">
        <v>650.00000000000023</v>
      </c>
    </row>
    <row r="19" spans="2:8" x14ac:dyDescent="0.25">
      <c r="B19" s="9" t="s">
        <v>34</v>
      </c>
      <c r="C19" s="9" t="s">
        <v>61</v>
      </c>
      <c r="D19" s="9">
        <v>15000</v>
      </c>
      <c r="E19" s="9">
        <v>0</v>
      </c>
      <c r="F19" s="9">
        <v>20000</v>
      </c>
      <c r="G19" s="9">
        <v>1E+30</v>
      </c>
      <c r="H19" s="9">
        <v>5000.0000000000009</v>
      </c>
    </row>
    <row r="20" spans="2:8" x14ac:dyDescent="0.25">
      <c r="B20" s="9" t="s">
        <v>35</v>
      </c>
      <c r="C20" s="9" t="s">
        <v>62</v>
      </c>
      <c r="D20" s="9">
        <v>3340</v>
      </c>
      <c r="E20" s="9">
        <v>0</v>
      </c>
      <c r="F20" s="9">
        <v>3600</v>
      </c>
      <c r="G20" s="9">
        <v>1E+30</v>
      </c>
      <c r="H20" s="9">
        <v>260.00000000000034</v>
      </c>
    </row>
    <row r="21" spans="2:8" x14ac:dyDescent="0.25">
      <c r="B21" s="9" t="s">
        <v>36</v>
      </c>
      <c r="C21" s="9" t="s">
        <v>63</v>
      </c>
      <c r="D21" s="9">
        <v>800</v>
      </c>
      <c r="E21" s="9">
        <v>0</v>
      </c>
      <c r="F21" s="9">
        <v>1100</v>
      </c>
      <c r="G21" s="9">
        <v>1E+30</v>
      </c>
      <c r="H21" s="9">
        <v>300.00000000000006</v>
      </c>
    </row>
    <row r="22" spans="2:8" ht="15.6" thickBot="1" x14ac:dyDescent="0.3">
      <c r="B22" s="10" t="s">
        <v>37</v>
      </c>
      <c r="C22" s="10" t="s">
        <v>64</v>
      </c>
      <c r="D22" s="10">
        <v>800</v>
      </c>
      <c r="E22" s="10">
        <v>7.3999999999999986</v>
      </c>
      <c r="F22" s="10">
        <v>800</v>
      </c>
      <c r="G22" s="10">
        <v>50.000000000000071</v>
      </c>
      <c r="H22" s="10"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J23"/>
  <sheetViews>
    <sheetView zoomScale="93" workbookViewId="0">
      <selection activeCell="D28" sqref="D28"/>
    </sheetView>
  </sheetViews>
  <sheetFormatPr defaultRowHeight="15.6" x14ac:dyDescent="0.3"/>
  <cols>
    <col min="2" max="2" width="18.6328125" style="1" bestFit="1" customWidth="1"/>
    <col min="3" max="3" width="11.453125" customWidth="1"/>
    <col min="7" max="7" width="10.1796875" bestFit="1" customWidth="1"/>
    <col min="10" max="10" width="34" customWidth="1"/>
  </cols>
  <sheetData>
    <row r="2" spans="2:10" x14ac:dyDescent="0.3">
      <c r="B2" s="1" t="s">
        <v>52</v>
      </c>
    </row>
    <row r="4" spans="2:10" x14ac:dyDescent="0.3">
      <c r="C4" s="2" t="s">
        <v>46</v>
      </c>
      <c r="D4" s="2" t="s">
        <v>47</v>
      </c>
      <c r="E4" s="2" t="s">
        <v>48</v>
      </c>
      <c r="F4" s="2" t="s">
        <v>51</v>
      </c>
    </row>
    <row r="5" spans="2:10" x14ac:dyDescent="0.3">
      <c r="B5" s="1" t="s">
        <v>45</v>
      </c>
      <c r="C5" s="8">
        <v>1000</v>
      </c>
      <c r="D5" s="8">
        <v>399.99999999999989</v>
      </c>
      <c r="E5" s="8">
        <v>0</v>
      </c>
      <c r="F5" s="8">
        <v>200</v>
      </c>
    </row>
    <row r="6" spans="2:10" x14ac:dyDescent="0.3">
      <c r="B6" s="1" t="s">
        <v>0</v>
      </c>
      <c r="C6" s="2">
        <v>1000</v>
      </c>
      <c r="D6" s="2">
        <v>400</v>
      </c>
      <c r="E6" s="2">
        <v>0</v>
      </c>
      <c r="F6" s="2">
        <v>0</v>
      </c>
    </row>
    <row r="7" spans="2:10" x14ac:dyDescent="0.3">
      <c r="B7" s="1" t="s">
        <v>1</v>
      </c>
      <c r="C7" s="2">
        <v>99999</v>
      </c>
      <c r="D7" s="2">
        <v>500</v>
      </c>
      <c r="E7" s="2">
        <v>150</v>
      </c>
      <c r="F7" s="2">
        <v>200</v>
      </c>
      <c r="I7" s="3"/>
    </row>
    <row r="8" spans="2:10" x14ac:dyDescent="0.3">
      <c r="C8" s="2"/>
      <c r="D8" s="2"/>
      <c r="E8" s="2"/>
      <c r="F8" s="2"/>
    </row>
    <row r="9" spans="2:10" x14ac:dyDescent="0.3">
      <c r="B9" s="1" t="s">
        <v>6</v>
      </c>
      <c r="C9" s="4">
        <v>9</v>
      </c>
      <c r="D9" s="4">
        <v>8</v>
      </c>
      <c r="E9" s="4">
        <v>6</v>
      </c>
      <c r="F9" s="4">
        <v>2</v>
      </c>
    </row>
    <row r="10" spans="2:10" x14ac:dyDescent="0.3">
      <c r="B10" s="1" t="s">
        <v>7</v>
      </c>
      <c r="C10" s="4">
        <v>6.15</v>
      </c>
      <c r="D10" s="4">
        <v>4.3</v>
      </c>
      <c r="E10" s="4">
        <v>3.5</v>
      </c>
      <c r="F10" s="4">
        <v>0.45</v>
      </c>
    </row>
    <row r="11" spans="2:10" ht="16.2" thickBot="1" x14ac:dyDescent="0.35">
      <c r="B11" s="1" t="s">
        <v>8</v>
      </c>
      <c r="C11" s="5">
        <f>C9-C10</f>
        <v>2.8499999999999996</v>
      </c>
      <c r="D11" s="5">
        <f>D9-D10</f>
        <v>3.7</v>
      </c>
      <c r="E11" s="5">
        <f>E9-E10</f>
        <v>2.5</v>
      </c>
      <c r="F11" s="5">
        <f>F9-F10</f>
        <v>1.55</v>
      </c>
      <c r="J11" s="16" t="str">
        <f ca="1">_xlfn.FORMULATEXT(C11)</f>
        <v>=C9-C10</v>
      </c>
    </row>
    <row r="12" spans="2:10" ht="16.8" thickTop="1" thickBot="1" x14ac:dyDescent="0.35"/>
    <row r="13" spans="2:10" ht="16.8" thickTop="1" thickBot="1" x14ac:dyDescent="0.35">
      <c r="B13" s="1" t="s">
        <v>5</v>
      </c>
      <c r="C13" s="15">
        <f>SUMPRODUCT(C11:F11,$C$5:$F$5)</f>
        <v>4639.9999999999991</v>
      </c>
      <c r="J13" s="16" t="str">
        <f ca="1">_xlfn.FORMULATEXT(C13)</f>
        <v>=SUMPRODUCT(C11:F11,$C$5:$F$5)</v>
      </c>
    </row>
    <row r="14" spans="2:10" ht="16.2" thickTop="1" x14ac:dyDescent="0.3"/>
    <row r="15" spans="2:10" x14ac:dyDescent="0.3">
      <c r="B15" s="1" t="s">
        <v>38</v>
      </c>
      <c r="C15" s="11" t="s">
        <v>49</v>
      </c>
      <c r="D15" s="11"/>
      <c r="E15" s="11"/>
      <c r="F15" s="11"/>
      <c r="G15" s="2" t="s">
        <v>3</v>
      </c>
      <c r="H15" s="2" t="s">
        <v>4</v>
      </c>
    </row>
    <row r="16" spans="2:10" x14ac:dyDescent="0.3">
      <c r="B16" s="1" t="s">
        <v>39</v>
      </c>
      <c r="C16" s="6">
        <v>1</v>
      </c>
      <c r="D16" s="6">
        <v>1</v>
      </c>
      <c r="E16" s="6">
        <v>1</v>
      </c>
      <c r="F16" s="6">
        <v>1</v>
      </c>
      <c r="G16" s="14">
        <f>SUMPRODUCT(C16:F16,$C$5:$F$5)</f>
        <v>1600</v>
      </c>
      <c r="H16" s="2">
        <v>3600</v>
      </c>
      <c r="J16" s="16" t="str">
        <f ca="1">_xlfn.FORMULATEXT(G16)</f>
        <v>=SUMPRODUCT(C16:F16,$C$5:$F$5)</v>
      </c>
    </row>
    <row r="17" spans="1:10" x14ac:dyDescent="0.3">
      <c r="B17" s="1" t="s">
        <v>40</v>
      </c>
      <c r="C17" s="6">
        <v>2</v>
      </c>
      <c r="D17" s="6">
        <v>1.5</v>
      </c>
      <c r="E17" s="6">
        <v>1</v>
      </c>
      <c r="F17" s="6">
        <v>1.75</v>
      </c>
      <c r="G17" s="14">
        <f>SUMPRODUCT(C17:F17,$C$5:$F$5)</f>
        <v>2950</v>
      </c>
      <c r="H17" s="2">
        <v>3600</v>
      </c>
      <c r="J17" s="16" t="str">
        <f t="shared" ref="J17:J19" ca="1" si="0">_xlfn.FORMULATEXT(G17)</f>
        <v>=SUMPRODUCT(C17:F17,$C$5:$F$5)</v>
      </c>
    </row>
    <row r="18" spans="1:10" x14ac:dyDescent="0.3">
      <c r="A18" t="s">
        <v>9</v>
      </c>
      <c r="B18" s="1" t="s">
        <v>41</v>
      </c>
      <c r="C18" s="6">
        <v>10</v>
      </c>
      <c r="D18" s="6">
        <v>9</v>
      </c>
      <c r="E18" s="6">
        <v>9</v>
      </c>
      <c r="F18" s="6">
        <v>7</v>
      </c>
      <c r="G18" s="14">
        <f>SUMPRODUCT(C18:F18,$C$5:$F$5)</f>
        <v>15000</v>
      </c>
      <c r="H18" s="2">
        <v>20000</v>
      </c>
      <c r="J18" s="16" t="str">
        <f t="shared" ca="1" si="0"/>
        <v>=SUMPRODUCT(C18:F18,$C$5:$F$5)</v>
      </c>
    </row>
    <row r="19" spans="1:10" x14ac:dyDescent="0.3">
      <c r="B19" s="1" t="s">
        <v>42</v>
      </c>
      <c r="C19" s="6">
        <v>2.5</v>
      </c>
      <c r="D19" s="6">
        <v>1.6</v>
      </c>
      <c r="E19" s="6">
        <v>1.25</v>
      </c>
      <c r="F19" s="6">
        <v>1</v>
      </c>
      <c r="G19" s="14">
        <f>SUMPRODUCT(C19:F19,$C$5:$F$5)</f>
        <v>3340</v>
      </c>
      <c r="H19" s="2">
        <v>3600</v>
      </c>
      <c r="J19" s="16" t="str">
        <f t="shared" ca="1" si="0"/>
        <v>=SUMPRODUCT(C19:F19,$C$5:$F$5)</v>
      </c>
    </row>
    <row r="20" spans="1:10" x14ac:dyDescent="0.3">
      <c r="C20" s="1"/>
      <c r="D20" s="1"/>
      <c r="E20" s="1"/>
      <c r="F20" s="1"/>
      <c r="H20" s="1"/>
    </row>
    <row r="21" spans="1:10" x14ac:dyDescent="0.3">
      <c r="B21" s="1" t="s">
        <v>2</v>
      </c>
      <c r="C21" s="11" t="s">
        <v>50</v>
      </c>
      <c r="D21" s="11"/>
      <c r="E21" s="11"/>
      <c r="F21" s="11"/>
      <c r="G21" s="2" t="s">
        <v>3</v>
      </c>
      <c r="H21" s="2" t="s">
        <v>4</v>
      </c>
    </row>
    <row r="22" spans="1:10" x14ac:dyDescent="0.3">
      <c r="B22" s="1" t="s">
        <v>43</v>
      </c>
      <c r="C22" s="6">
        <v>0.4</v>
      </c>
      <c r="D22" s="6">
        <v>0.5</v>
      </c>
      <c r="E22" s="6">
        <v>0.2</v>
      </c>
      <c r="F22" s="6">
        <v>1</v>
      </c>
      <c r="G22" s="14">
        <f>SUMPRODUCT(C22:F22,$C$5:$F$5)</f>
        <v>800</v>
      </c>
      <c r="H22" s="2">
        <v>1100</v>
      </c>
      <c r="J22" s="16" t="str">
        <f t="shared" ref="J22:J23" ca="1" si="1">_xlfn.FORMULATEXT(G22)</f>
        <v>=SUMPRODUCT(C22:F22,$C$5:$F$5)</v>
      </c>
    </row>
    <row r="23" spans="1:10" x14ac:dyDescent="0.3">
      <c r="B23" s="1" t="s">
        <v>44</v>
      </c>
      <c r="C23" s="6">
        <v>0.6</v>
      </c>
      <c r="D23" s="6">
        <v>0.5</v>
      </c>
      <c r="E23" s="6">
        <v>0.8</v>
      </c>
      <c r="F23" s="6">
        <v>0</v>
      </c>
      <c r="G23" s="14">
        <f>SUMPRODUCT(C23:F23,$C$5:$F$5)</f>
        <v>800</v>
      </c>
      <c r="H23" s="2">
        <v>800</v>
      </c>
      <c r="J23" s="16" t="str">
        <f t="shared" ca="1" si="1"/>
        <v>=SUMPRODUCT(C23:F23,$C$5:$F$5)</v>
      </c>
    </row>
  </sheetData>
  <mergeCells count="2">
    <mergeCell ref="C15:F15"/>
    <mergeCell ref="C21:F2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2-products</vt:lpstr>
      <vt:lpstr>equations</vt:lpstr>
      <vt:lpstr>availability</vt:lpstr>
      <vt:lpstr>margin</vt:lpstr>
      <vt:lpstr>Sensitivity Report 1</vt:lpstr>
      <vt:lpstr>4-products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2021-04-02T04:44:25Z</dcterms:created>
  <dcterms:modified xsi:type="dcterms:W3CDTF">2021-04-02T17:04:55Z</dcterms:modified>
</cp:coreProperties>
</file>