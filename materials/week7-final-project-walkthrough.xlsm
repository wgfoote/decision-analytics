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4.xml" ContentType="application/inkml+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gfoo\Downloads\"/>
    </mc:Choice>
  </mc:AlternateContent>
  <xr:revisionPtr revIDLastSave="0" documentId="13_ncr:1_{7FF88A7A-DD71-49A8-963D-952CF9A91750}" xr6:coauthVersionLast="47" xr6:coauthVersionMax="47" xr10:uidLastSave="{00000000-0000-0000-0000-000000000000}"/>
  <bookViews>
    <workbookView xWindow="-108" yWindow="-108" windowWidth="23256" windowHeight="12576" xr2:uid="{BCCBB29B-B14D-48BA-9A38-51DBAAF735F5}"/>
  </bookViews>
  <sheets>
    <sheet name="case" sheetId="19" r:id="rId1"/>
    <sheet name="rubric" sheetId="20" r:id="rId2"/>
    <sheet name="results" sheetId="17" r:id="rId3"/>
    <sheet name="fund-claims" sheetId="7" r:id="rId4"/>
    <sheet name="fund-allocation" sheetId="11" r:id="rId5"/>
    <sheet name="fund-simulation-short-term" sheetId="9" r:id="rId6"/>
    <sheet name="fund-simulation-all" sheetId="14" r:id="rId7"/>
    <sheet name="&gt;&gt;GPD&gt;&gt;" sheetId="18" r:id="rId8"/>
    <sheet name="data" sheetId="1" r:id="rId9"/>
    <sheet name="eda" sheetId="2" r:id="rId10"/>
    <sheet name="mean-excess-over-threshold" sheetId="6" r:id="rId11"/>
    <sheet name="grid-setup" sheetId="3" r:id="rId12"/>
    <sheet name="grid-approx" sheetId="5" r:id="rId13"/>
    <sheet name="xi-sigma-grid" sheetId="4" r:id="rId14"/>
    <sheet name="xi-sigma-sim" sheetId="8" r:id="rId15"/>
    <sheet name="eda-sim-short-term" sheetId="12" r:id="rId16"/>
    <sheet name="control" sheetId="13" r:id="rId17"/>
    <sheet name="Sheet2" sheetId="15" r:id="rId18"/>
    <sheet name="Sheet3" sheetId="16" r:id="rId19"/>
  </sheets>
  <externalReferences>
    <externalReference r:id="rId20"/>
    <externalReference r:id="rId21"/>
  </externalReferences>
  <definedNames>
    <definedName name="_xlnm._FilterDatabase" localSheetId="8" hidden="1">data!$B$2:$C$2</definedName>
    <definedName name="_xlnm._FilterDatabase" localSheetId="10" hidden="1">'mean-excess-over-threshold'!$E$2:$F$2</definedName>
    <definedName name="_Key1" localSheetId="4" hidden="1">#REF!</definedName>
    <definedName name="_Key1" hidden="1">#REF!</definedName>
    <definedName name="_Order1" hidden="1">255</definedName>
    <definedName name="A_1_2">'fund-simulation-short-term'!$B$7:$B$106</definedName>
    <definedName name="A_1_2_">'fund-simulation-short-term'!$B$7:$B$106</definedName>
    <definedName name="A_1_2_all">'fund-simulation-all'!$B$7:$B$106</definedName>
    <definedName name="A_1_2_short_term">'fund-simulation-short-term'!$B$7:$B$106</definedName>
    <definedName name="A_2_3">'fund-simulation-short-term'!$F$7:$F$106</definedName>
    <definedName name="A_2_3_">'fund-simulation-short-term'!$F$7:$F$106</definedName>
    <definedName name="A_3_4">'fund-simulation-short-term'!$G$7:$G$106</definedName>
    <definedName name="A_3_4_">'fund-simulation-short-term'!$G$7:$G$106</definedName>
    <definedName name="A_4_5">'fund-simulation-short-term'!$I$7:$I$106</definedName>
    <definedName name="A_4_5_">'fund-simulation-short-term'!$I$7:$I$106</definedName>
    <definedName name="A_5_6">'fund-simulation-short-term'!$K$7:$K$106</definedName>
    <definedName name="A_5_6_">'fund-simulation-short-term'!$K$7:$K$106</definedName>
    <definedName name="A_6_7">'fund-simulation-short-term'!$M$7:$M$106</definedName>
    <definedName name="A_6_7_">'fund-simulation-short-term'!$M$7:$M$106</definedName>
    <definedName name="B_1_3">'fund-simulation-short-term'!$C$7:$C$106</definedName>
    <definedName name="B_1_3_">'fund-simulation-short-term'!$C$7:$C$106</definedName>
    <definedName name="B_3_5">'fund-simulation-short-term'!$H$7:$H$106</definedName>
    <definedName name="B_3_5_">'fund-simulation-short-term'!$H$7:$H$106</definedName>
    <definedName name="B_5_7">'fund-simulation-short-term'!$L$7:$L$106</definedName>
    <definedName name="B_5_7_">'fund-simulation-short-term'!$L$7:$L$106</definedName>
    <definedName name="C_1_4">'fund-simulation-short-term'!$D$7:$D$106</definedName>
    <definedName name="C_1_4_">'fund-simulation-short-term'!$D$7:$D$106</definedName>
    <definedName name="C_4_7">'fund-simulation-short-term'!$J$7:$J$106</definedName>
    <definedName name="C_4_7_">'fund-simulation-short-term'!$J$7:$J$106</definedName>
    <definedName name="calculation_claims">'xi-sigma-sim'!$U$4:$Y$9</definedName>
    <definedName name="calculation_fund">#REF!</definedName>
    <definedName name="capital_yr1">'fund-simulation-short-term'!$N$7:$N$106</definedName>
    <definedName name="capital_yr1_all">'fund-simulation-all'!$N$7:$N$106</definedName>
    <definedName name="capital_yr1_short_term">'fund-simulation-short-term'!$N$6:$N$106</definedName>
    <definedName name="claims">data!$F$3:$F$14</definedName>
    <definedName name="claims_constraint">#REF!</definedName>
    <definedName name="claims_yr2">'fund-simulation-short-term'!$O$7:$O$106</definedName>
    <definedName name="claims_yr3">'fund-simulation-short-term'!$P$7:$P$106</definedName>
    <definedName name="claims_yr4">'fund-simulation-short-term'!$Q$7:$Q$106</definedName>
    <definedName name="claims_yr5">'fund-simulation-short-term'!$R$7:$R$106</definedName>
    <definedName name="claims_yr6">'fund-simulation-short-term'!$S$7:$S$106</definedName>
    <definedName name="claims_yr7">'fund-simulation-short-term'!$T$7:$T$106</definedName>
    <definedName name="coin_cuttype" localSheetId="4" hidden="1">1</definedName>
    <definedName name="coin_dualtol" localSheetId="4" hidden="1">0.0000001</definedName>
    <definedName name="coin_heurs" localSheetId="4" hidden="1">1</definedName>
    <definedName name="coin_integerpresolve" localSheetId="4" hidden="1">1</definedName>
    <definedName name="coin_presolve1" localSheetId="4" hidden="1">1</definedName>
    <definedName name="coin_primaltol" localSheetId="4" hidden="1">0.0000001</definedName>
    <definedName name="count_wait">'eda-sim-short-term'!$C$8</definedName>
    <definedName name="cov_xi__sigma">'xi-sigma-sim'!$Q$7</definedName>
    <definedName name="D_1_7">'fund-simulation-short-term'!$E$7:$E$106</definedName>
    <definedName name="D_1_7_">'fund-simulation-short-term'!$E$7:$E$106</definedName>
    <definedName name="DATA" localSheetId="4">#REF!</definedName>
    <definedName name="DATA">#REF!</definedName>
    <definedName name="gpa">data!$E$3:$E$7</definedName>
    <definedName name="grb_bariter" localSheetId="4" hidden="1">1E+100</definedName>
    <definedName name="grb_bartol" localSheetId="4" hidden="1">0.00000001</definedName>
    <definedName name="grb_crossover" localSheetId="4" hidden="1">-1</definedName>
    <definedName name="grb_cutoff" localSheetId="4" hidden="1">1E+100</definedName>
    <definedName name="grb_cuts" localSheetId="4" hidden="1">-1</definedName>
    <definedName name="grb_focus" localSheetId="4" hidden="1">0</definedName>
    <definedName name="grb_heur" localSheetId="4" hidden="1">0.05</definedName>
    <definedName name="grb_infeas" localSheetId="4" hidden="1">0.000001</definedName>
    <definedName name="grb_inttol" localSheetId="4" hidden="1">0.00001</definedName>
    <definedName name="grb_method" localSheetId="4" hidden="1">1</definedName>
    <definedName name="grb_nodefilestart" localSheetId="4" hidden="1">1E+100</definedName>
    <definedName name="grb_optimal" localSheetId="4" hidden="1">0.000001</definedName>
    <definedName name="grb_order" localSheetId="4" hidden="1">-1</definedName>
    <definedName name="grb_presolve" localSheetId="4" hidden="1">-1</definedName>
    <definedName name="grb_pricing" localSheetId="4" hidden="1">-1</definedName>
    <definedName name="grb_relmip" localSheetId="4" hidden="1">0.0001</definedName>
    <definedName name="grb_rootmethod" localSheetId="4" hidden="1">1</definedName>
    <definedName name="grb_submip" localSheetId="4" hidden="1">500</definedName>
    <definedName name="grb_symmetry" localSheetId="4" hidden="1">-1</definedName>
    <definedName name="grb_threads" localSheetId="4" hidden="1">0</definedName>
    <definedName name="grb_var" localSheetId="4" hidden="1">-1</definedName>
    <definedName name="interface">'fund-simulation-short-term'!$B$4:$T$4</definedName>
    <definedName name="interval_mu_h">'grid-setup'!$C$5</definedName>
    <definedName name="interval_sigma_h">'grid-setup'!$C$12</definedName>
    <definedName name="key">'grid-approx'!$W$5:$W$29</definedName>
    <definedName name="list_final">control!$D$3:$D$7</definedName>
    <definedName name="max_mu">'eda-sim-short-term'!$C$4</definedName>
    <definedName name="max_mu_h">'grid-setup'!$C$3</definedName>
    <definedName name="max_sigma_h">'grid-setup'!$C$10</definedName>
    <definedName name="min_mu">'eda-sim-short-term'!$C$5</definedName>
    <definedName name="min_mu_h">'grid-setup'!$C$4</definedName>
    <definedName name="min_sigma_h">'grid-setup'!$C$11</definedName>
    <definedName name="mu_h" localSheetId="12">'grid-setup'!$E$3:$E$7</definedName>
    <definedName name="mu_h" localSheetId="11">'grid-setup'!$E$3:$E$7</definedName>
    <definedName name="mu_sigma">'xi-sigma-sim'!$Q$4</definedName>
    <definedName name="mu_thres">'grid-setup'!$C$15</definedName>
    <definedName name="mu_wait">'eda-sim-short-term'!$C$17</definedName>
    <definedName name="mu_xi">'xi-sigma-sim'!$Q$3</definedName>
    <definedName name="n_eateries">'[1]simulation-a-b'!$C$11</definedName>
    <definedName name="n_visits">'[1]simulation-a-b'!$C$10</definedName>
    <definedName name="param_cuthi" localSheetId="4" hidden="1">2E+30</definedName>
    <definedName name="param_cutlo" localSheetId="4" hidden="1">-2E+30</definedName>
    <definedName name="param_epstep" localSheetId="4" hidden="1">0.000001</definedName>
    <definedName name="param_iisbnd" localSheetId="4" hidden="1">0</definedName>
    <definedName name="Pr_h___d">'grid-approx'!$U$5:$U$29</definedName>
    <definedName name="required_return">#REF!</definedName>
    <definedName name="rho">'xi-sigma-sim'!$Q$8</definedName>
    <definedName name="sig_sigma">'xi-sigma-sim'!$Q$6</definedName>
    <definedName name="sig_wait">'eda-sim-short-term'!$C$18</definedName>
    <definedName name="sig_xi">'xi-sigma-sim'!$Q$5</definedName>
    <definedName name="sigma_h" localSheetId="12">'grid-setup'!$E$10:$E$14</definedName>
    <definedName name="sigma_h" localSheetId="11">'grid-setup'!$E$10:$E$14</definedName>
    <definedName name="sim_list">control!$B$3:$B$20</definedName>
    <definedName name="simulation">'fund-simulation-short-term'!$B$6:$T$6</definedName>
    <definedName name="solver_acc" localSheetId="4" hidden="1">0.001</definedName>
    <definedName name="solver_adj" localSheetId="4" hidden="1">'fund-allocation'!$E$7:$E$18</definedName>
    <definedName name="solver_adj" localSheetId="5" hidden="1">'fund-simulation-short-term'!$F$7:$F$18</definedName>
    <definedName name="solver_adj_ob" localSheetId="4" hidden="1">1</definedName>
    <definedName name="solver_adj_ob1" localSheetId="4" hidden="1">1</definedName>
    <definedName name="solver_ars" localSheetId="4" hidden="1">1</definedName>
    <definedName name="solver_bigm" localSheetId="4" hidden="1">1000000</definedName>
    <definedName name="solver_bnd" localSheetId="4" hidden="1">1</definedName>
    <definedName name="solver_cha" localSheetId="4" hidden="1">0</definedName>
    <definedName name="solver_chc1" localSheetId="4" hidden="1">0</definedName>
    <definedName name="solver_chc2" localSheetId="4" hidden="1">0</definedName>
    <definedName name="solver_chc5" localSheetId="4" hidden="1">0</definedName>
    <definedName name="solver_chc6" localSheetId="4" hidden="1">0</definedName>
    <definedName name="solver_chn" localSheetId="4" hidden="1">4</definedName>
    <definedName name="solver_chp1" localSheetId="4" hidden="1">0</definedName>
    <definedName name="solver_chp2" localSheetId="4" hidden="1">0</definedName>
    <definedName name="solver_chp5" localSheetId="4" hidden="1">0</definedName>
    <definedName name="solver_chp6" localSheetId="4" hidden="1">0</definedName>
    <definedName name="solver_cht" localSheetId="4" hidden="1">0</definedName>
    <definedName name="solver_cir1" localSheetId="4" hidden="1">1</definedName>
    <definedName name="solver_cir2" localSheetId="4" hidden="1">1</definedName>
    <definedName name="solver_cir5" localSheetId="4" hidden="1">1</definedName>
    <definedName name="solver_cir6" localSheetId="4" hidden="1">1</definedName>
    <definedName name="solver_con1" localSheetId="4" hidden="1">" "</definedName>
    <definedName name="solver_con2" localSheetId="4" hidden="1">" "</definedName>
    <definedName name="solver_con5" localSheetId="4" hidden="1">" "</definedName>
    <definedName name="solver_con6" localSheetId="4" hidden="1">" "</definedName>
    <definedName name="solver_corr" hidden="1">1</definedName>
    <definedName name="solver_ctp1" hidden="1">0</definedName>
    <definedName name="solver_ctp2" hidden="1">0</definedName>
    <definedName name="solver_cvg" localSheetId="4" hidden="1">0.0001</definedName>
    <definedName name="solver_cvg" localSheetId="5" hidden="1">0.0001</definedName>
    <definedName name="solver_dia" localSheetId="4" hidden="1">5</definedName>
    <definedName name="solver_disp" hidden="1">0</definedName>
    <definedName name="solver_drv" localSheetId="4" hidden="1">1</definedName>
    <definedName name="solver_drv" localSheetId="5" hidden="1">2</definedName>
    <definedName name="solver_eng" localSheetId="4" hidden="1">2</definedName>
    <definedName name="solver_eng" localSheetId="5" hidden="1">2</definedName>
    <definedName name="solver_est" localSheetId="4" hidden="1">1</definedName>
    <definedName name="solver_est" localSheetId="5" hidden="1">1</definedName>
    <definedName name="solver_eval" hidden="1">0</definedName>
    <definedName name="solver_fea" localSheetId="4" hidden="1">0.000001</definedName>
    <definedName name="solver_fns" localSheetId="4" hidden="1">0</definedName>
    <definedName name="solver_gap" localSheetId="4" hidden="1">0.0000001</definedName>
    <definedName name="solver_glb" localSheetId="4" hidden="1">-1E+30</definedName>
    <definedName name="solver_gub" localSheetId="4" hidden="1">1E+30</definedName>
    <definedName name="solver_iao" localSheetId="4" hidden="1">0</definedName>
    <definedName name="solver_ibd" localSheetId="4" hidden="1">2</definedName>
    <definedName name="solver_inc" localSheetId="4" hidden="1">0</definedName>
    <definedName name="solver_int" localSheetId="4" hidden="1">0</definedName>
    <definedName name="solver_ipd" localSheetId="4" hidden="1">3</definedName>
    <definedName name="solver_ipi" localSheetId="4" hidden="1">1</definedName>
    <definedName name="solver_ips" localSheetId="4" hidden="1">0.99</definedName>
    <definedName name="solver_irs" localSheetId="4" hidden="1">0</definedName>
    <definedName name="solver_ism" localSheetId="4" hidden="1">0</definedName>
    <definedName name="solver_itr" localSheetId="4" hidden="1">2147483647</definedName>
    <definedName name="solver_itr" localSheetId="5" hidden="1">2147483647</definedName>
    <definedName name="solver_lcens" hidden="1">-1E+30</definedName>
    <definedName name="solver_lcut" hidden="1">-1E+30</definedName>
    <definedName name="solver_lhs_ob1" localSheetId="4" hidden="1">0</definedName>
    <definedName name="solver_lhs_ob2" localSheetId="4" hidden="1">0</definedName>
    <definedName name="solver_lhs_ob5" localSheetId="4" hidden="1">0</definedName>
    <definedName name="solver_lhs_ob6" localSheetId="4" hidden="1">0</definedName>
    <definedName name="solver_lhs1" localSheetId="4" hidden="1">'fund-allocation'!$H$19:$M$19</definedName>
    <definedName name="solver_lhs1" localSheetId="5" hidden="1">'fund-simulation-short-term'!$I$19:$N$19</definedName>
    <definedName name="solver_lhs10" localSheetId="5" hidden="1">'fund-simulation-short-term'!#REF!</definedName>
    <definedName name="solver_lhs11" localSheetId="5" hidden="1">'fund-simulation-short-term'!#REF!</definedName>
    <definedName name="solver_lhs12" localSheetId="5" hidden="1">'fund-simulation-short-term'!#REF!</definedName>
    <definedName name="solver_lhs13" localSheetId="5" hidden="1">'fund-simulation-short-term'!#REF!</definedName>
    <definedName name="solver_lhs14" localSheetId="5" hidden="1">'fund-simulation-short-term'!#REF!</definedName>
    <definedName name="solver_lhs15" localSheetId="5" hidden="1">'fund-simulation-short-term'!#REF!</definedName>
    <definedName name="solver_lhs16" localSheetId="5" hidden="1">'fund-simulation-short-term'!#REF!</definedName>
    <definedName name="solver_lhs17" localSheetId="5" hidden="1">'fund-simulation-short-term'!#REF!</definedName>
    <definedName name="solver_lhs18" localSheetId="5" hidden="1">'fund-simulation-short-term'!#REF!</definedName>
    <definedName name="solver_lhs19" localSheetId="5" hidden="1">'fund-simulation-short-term'!#REF!</definedName>
    <definedName name="solver_lhs2" localSheetId="4" hidden="1">'fund-allocation'!$H$19:$M$19</definedName>
    <definedName name="solver_lhs2" localSheetId="5" hidden="1">'fund-simulation-short-term'!$I$19:$N$19</definedName>
    <definedName name="solver_lhs20" localSheetId="5" hidden="1">'fund-simulation-short-term'!#REF!</definedName>
    <definedName name="solver_lhs21" localSheetId="5" hidden="1">'fund-simulation-short-term'!#REF!</definedName>
    <definedName name="solver_lhs22" localSheetId="5" hidden="1">'fund-simulation-short-term'!#REF!</definedName>
    <definedName name="solver_lhs23" localSheetId="5" hidden="1">'fund-simulation-short-term'!#REF!</definedName>
    <definedName name="solver_lhs24" localSheetId="5" hidden="1">'fund-simulation-short-term'!#REF!</definedName>
    <definedName name="solver_lhs25" localSheetId="5" hidden="1">'fund-simulation-short-term'!#REF!</definedName>
    <definedName name="solver_lhs26" localSheetId="5" hidden="1">'fund-simulation-short-term'!#REF!</definedName>
    <definedName name="solver_lhs27" localSheetId="5" hidden="1">'fund-simulation-short-term'!$I$19:$N$19</definedName>
    <definedName name="solver_lhs28" localSheetId="5" hidden="1">'fund-simulation-short-term'!$I$19:$N$19</definedName>
    <definedName name="solver_lhs29" localSheetId="5" hidden="1">'fund-simulation-short-term'!$I$19:$N$19</definedName>
    <definedName name="solver_lhs3" localSheetId="5" hidden="1">'fund-simulation-short-term'!$I$19:$N$19</definedName>
    <definedName name="solver_lhs30" localSheetId="5" hidden="1">'fund-simulation-short-term'!$I$19:$N$19</definedName>
    <definedName name="solver_lhs31" localSheetId="5" hidden="1">'fund-simulation-short-term'!$I$19:$N$19</definedName>
    <definedName name="solver_lhs32" localSheetId="5" hidden="1">'fund-simulation-short-term'!$I$19:$N$19</definedName>
    <definedName name="solver_lhs33" localSheetId="5" hidden="1">'fund-simulation-short-term'!$I$19:$N$19</definedName>
    <definedName name="solver_lhs34" localSheetId="5" hidden="1">'fund-simulation-short-term'!$I$19:$N$19</definedName>
    <definedName name="solver_lhs35" localSheetId="5" hidden="1">'fund-simulation-short-term'!$I$19:$N$19</definedName>
    <definedName name="solver_lhs36" localSheetId="5" hidden="1">'fund-simulation-short-term'!$I$19:$N$19</definedName>
    <definedName name="solver_lhs37" localSheetId="5" hidden="1">'fund-simulation-short-term'!$I$19:$N$19</definedName>
    <definedName name="solver_lhs38" localSheetId="5" hidden="1">'fund-simulation-short-term'!$I$19:$N$19</definedName>
    <definedName name="solver_lhs4" localSheetId="5" hidden="1">'fund-simulation-short-term'!$I$19:$N$19</definedName>
    <definedName name="solver_lhs5" localSheetId="4" hidden="1">'fund-allocation'!$E$7:$E$18</definedName>
    <definedName name="solver_lhs5" localSheetId="5" hidden="1">'fund-simulation-short-term'!#REF!</definedName>
    <definedName name="solver_lhs6" localSheetId="4" hidden="1">'fund-allocation'!$H$19:$M$19</definedName>
    <definedName name="solver_lhs6" localSheetId="5" hidden="1">'fund-simulation-short-term'!#REF!</definedName>
    <definedName name="solver_lhs7" localSheetId="5" hidden="1">'fund-simulation-short-term'!#REF!</definedName>
    <definedName name="solver_lhs8" localSheetId="5" hidden="1">'fund-simulation-short-term'!#REF!</definedName>
    <definedName name="solver_lhs9" localSheetId="5" hidden="1">'fund-simulation-short-term'!#REF!</definedName>
    <definedName name="solver_lin" localSheetId="4" hidden="1">1</definedName>
    <definedName name="solver_loc" localSheetId="4" hidden="1">4</definedName>
    <definedName name="solver_log" localSheetId="4" hidden="1">1</definedName>
    <definedName name="solver_lpp" localSheetId="4" hidden="1">0</definedName>
    <definedName name="solver_lpt" localSheetId="4" hidden="1">0</definedName>
    <definedName name="solver_lva" localSheetId="4" hidden="1">0</definedName>
    <definedName name="solver_mda" localSheetId="4" hidden="1">4</definedName>
    <definedName name="solver_met" localSheetId="4" hidden="1">1</definedName>
    <definedName name="solver_mip" localSheetId="4" hidden="1">2147483647</definedName>
    <definedName name="solver_mip" localSheetId="5" hidden="1">2147483647</definedName>
    <definedName name="solver_mni" localSheetId="4" hidden="1">30</definedName>
    <definedName name="solver_mni" localSheetId="5" hidden="1">30</definedName>
    <definedName name="solver_mod" localSheetId="4" hidden="1">1</definedName>
    <definedName name="solver_mrt" localSheetId="4" hidden="1">0.075</definedName>
    <definedName name="solver_mrt" localSheetId="5" hidden="1">0.075</definedName>
    <definedName name="solver_msl" localSheetId="4" hidden="1">2</definedName>
    <definedName name="solver_msl" localSheetId="5" hidden="1">2</definedName>
    <definedName name="solver_neg" localSheetId="4" hidden="1">1</definedName>
    <definedName name="solver_neg" localSheetId="5" hidden="1">1</definedName>
    <definedName name="solver_nod" localSheetId="4" hidden="1">2147483647</definedName>
    <definedName name="solver_nod" localSheetId="5" hidden="1">2147483647</definedName>
    <definedName name="solver_nopt" localSheetId="4" hidden="1">1</definedName>
    <definedName name="solver_nsim" hidden="1">1</definedName>
    <definedName name="solver_ntr" localSheetId="4" hidden="1">0</definedName>
    <definedName name="solver_ntri" hidden="1">1000</definedName>
    <definedName name="solver_num" localSheetId="4" hidden="1">1</definedName>
    <definedName name="solver_num" localSheetId="5" hidden="1">4</definedName>
    <definedName name="solver_nwt" localSheetId="4" hidden="1">1</definedName>
    <definedName name="solver_nwt" localSheetId="5" hidden="1">1</definedName>
    <definedName name="solver_ofx" localSheetId="4" hidden="1">2</definedName>
    <definedName name="solver_opt" localSheetId="4" hidden="1">'fund-allocation'!$E$19</definedName>
    <definedName name="solver_opt" localSheetId="5" hidden="1">'fund-simulation-short-term'!$F$19</definedName>
    <definedName name="solver_piv" localSheetId="4" hidden="1">0.000001</definedName>
    <definedName name="solver_pre" localSheetId="4" hidden="1">0.000001</definedName>
    <definedName name="solver_pre" localSheetId="5" hidden="1">0.000001</definedName>
    <definedName name="solver_pro" localSheetId="4" hidden="1">2</definedName>
    <definedName name="solver_psi" localSheetId="4" hidden="1">0</definedName>
    <definedName name="solver_rbv" localSheetId="4" hidden="1">1</definedName>
    <definedName name="solver_rbv" localSheetId="5" hidden="1">2</definedName>
    <definedName name="solver_rdp" localSheetId="4" hidden="1">1</definedName>
    <definedName name="solver_red" localSheetId="4" hidden="1">0.000001</definedName>
    <definedName name="solver_rel1" localSheetId="4" hidden="1">2</definedName>
    <definedName name="solver_rel1" localSheetId="5" hidden="1">2</definedName>
    <definedName name="solver_rel10" localSheetId="5" hidden="1">2</definedName>
    <definedName name="solver_rel11" localSheetId="5" hidden="1">2</definedName>
    <definedName name="solver_rel12" localSheetId="5" hidden="1">2</definedName>
    <definedName name="solver_rel13" localSheetId="5" hidden="1">2</definedName>
    <definedName name="solver_rel14" localSheetId="5" hidden="1">2</definedName>
    <definedName name="solver_rel15" localSheetId="5" hidden="1">2</definedName>
    <definedName name="solver_rel16" localSheetId="5" hidden="1">2</definedName>
    <definedName name="solver_rel17" localSheetId="5" hidden="1">2</definedName>
    <definedName name="solver_rel18" localSheetId="5" hidden="1">2</definedName>
    <definedName name="solver_rel19" localSheetId="5" hidden="1">2</definedName>
    <definedName name="solver_rel2" localSheetId="4" hidden="1">2</definedName>
    <definedName name="solver_rel2" localSheetId="5" hidden="1">2</definedName>
    <definedName name="solver_rel20" localSheetId="5" hidden="1">2</definedName>
    <definedName name="solver_rel21" localSheetId="5" hidden="1">2</definedName>
    <definedName name="solver_rel22" localSheetId="5" hidden="1">2</definedName>
    <definedName name="solver_rel23" localSheetId="5" hidden="1">2</definedName>
    <definedName name="solver_rel24" localSheetId="5" hidden="1">2</definedName>
    <definedName name="solver_rel25" localSheetId="5" hidden="1">2</definedName>
    <definedName name="solver_rel26" localSheetId="5" hidden="1">2</definedName>
    <definedName name="solver_rel27" localSheetId="5" hidden="1">2</definedName>
    <definedName name="solver_rel28" localSheetId="5" hidden="1">2</definedName>
    <definedName name="solver_rel29" localSheetId="5" hidden="1">2</definedName>
    <definedName name="solver_rel3" localSheetId="5" hidden="1">2</definedName>
    <definedName name="solver_rel30" localSheetId="5" hidden="1">2</definedName>
    <definedName name="solver_rel31" localSheetId="5" hidden="1">2</definedName>
    <definedName name="solver_rel32" localSheetId="5" hidden="1">2</definedName>
    <definedName name="solver_rel33" localSheetId="5" hidden="1">2</definedName>
    <definedName name="solver_rel34" localSheetId="5" hidden="1">2</definedName>
    <definedName name="solver_rel35" localSheetId="5" hidden="1">2</definedName>
    <definedName name="solver_rel36" localSheetId="5" hidden="1">2</definedName>
    <definedName name="solver_rel37" localSheetId="5" hidden="1">2</definedName>
    <definedName name="solver_rel38" localSheetId="5" hidden="1">2</definedName>
    <definedName name="solver_rel4" localSheetId="5" hidden="1">2</definedName>
    <definedName name="solver_rel5" localSheetId="4" hidden="1">3</definedName>
    <definedName name="solver_rel5" localSheetId="5" hidden="1">2</definedName>
    <definedName name="solver_rel6" localSheetId="4" hidden="1">2</definedName>
    <definedName name="solver_rel6" localSheetId="5" hidden="1">2</definedName>
    <definedName name="solver_rel7" localSheetId="5" hidden="1">2</definedName>
    <definedName name="solver_rel8" localSheetId="5" hidden="1">2</definedName>
    <definedName name="solver_rel9" localSheetId="5" hidden="1">2</definedName>
    <definedName name="solver_reo" localSheetId="4" hidden="1">2</definedName>
    <definedName name="solver_rep" localSheetId="4" hidden="1">0</definedName>
    <definedName name="solver_res" localSheetId="4" hidden="1">0.05</definedName>
    <definedName name="solver_rhs1" localSheetId="4" hidden="1">'fund-allocation'!$H$20:$M$20</definedName>
    <definedName name="solver_rhs1" localSheetId="5" hidden="1">'fund-simulation-short-term'!$I$20:$N$20</definedName>
    <definedName name="solver_rhs10" localSheetId="5" hidden="1">'fund-simulation-short-term'!#REF!</definedName>
    <definedName name="solver_rhs11" localSheetId="5" hidden="1">'fund-simulation-short-term'!#REF!</definedName>
    <definedName name="solver_rhs12" localSheetId="5" hidden="1">'fund-simulation-short-term'!#REF!</definedName>
    <definedName name="solver_rhs13" localSheetId="5" hidden="1">'fund-simulation-short-term'!#REF!</definedName>
    <definedName name="solver_rhs14" localSheetId="5" hidden="1">'fund-simulation-short-term'!#REF!</definedName>
    <definedName name="solver_rhs15" localSheetId="5" hidden="1">'fund-simulation-short-term'!#REF!</definedName>
    <definedName name="solver_rhs16" localSheetId="5" hidden="1">'fund-simulation-short-term'!#REF!</definedName>
    <definedName name="solver_rhs17" localSheetId="5" hidden="1">'fund-simulation-short-term'!#REF!</definedName>
    <definedName name="solver_rhs18" localSheetId="5" hidden="1">'fund-simulation-short-term'!#REF!</definedName>
    <definedName name="solver_rhs19" localSheetId="5" hidden="1">'fund-simulation-short-term'!#REF!</definedName>
    <definedName name="solver_rhs2" localSheetId="4" hidden="1">'fund-allocation'!$H$20:$M$20</definedName>
    <definedName name="solver_rhs2" localSheetId="5" hidden="1">claims_constraint</definedName>
    <definedName name="solver_rhs20" localSheetId="5" hidden="1">'fund-simulation-short-term'!#REF!</definedName>
    <definedName name="solver_rhs21" localSheetId="5" hidden="1">'fund-simulation-short-term'!#REF!</definedName>
    <definedName name="solver_rhs22" localSheetId="5" hidden="1">'fund-simulation-short-term'!#REF!</definedName>
    <definedName name="solver_rhs23" localSheetId="5" hidden="1">'fund-simulation-short-term'!#REF!</definedName>
    <definedName name="solver_rhs24" localSheetId="5" hidden="1">'fund-simulation-short-term'!#REF!</definedName>
    <definedName name="solver_rhs25" localSheetId="5" hidden="1">'fund-simulation-short-term'!#REF!</definedName>
    <definedName name="solver_rhs26" localSheetId="5" hidden="1">'fund-simulation-short-term'!#REF!</definedName>
    <definedName name="solver_rhs27" localSheetId="5" hidden="1">'fund-simulation-short-term'!$I$20:$N$20</definedName>
    <definedName name="solver_rhs28" localSheetId="5" hidden="1">'fund-simulation-short-term'!$I$20:$N$20</definedName>
    <definedName name="solver_rhs29" localSheetId="5" hidden="1">'fund-simulation-short-term'!$I$20:$N$20</definedName>
    <definedName name="solver_rhs3" localSheetId="5" hidden="1">claims_constraint</definedName>
    <definedName name="solver_rhs30" localSheetId="5" hidden="1">'fund-simulation-short-term'!$I$20:$N$20</definedName>
    <definedName name="solver_rhs31" localSheetId="5" hidden="1">'fund-simulation-short-term'!$I$20:$N$20</definedName>
    <definedName name="solver_rhs32" localSheetId="5" hidden="1">'fund-simulation-short-term'!$I$20:$N$20</definedName>
    <definedName name="solver_rhs33" localSheetId="5" hidden="1">'fund-simulation-short-term'!$I$20:$N$20</definedName>
    <definedName name="solver_rhs34" localSheetId="5" hidden="1">'fund-simulation-short-term'!$I$20:$N$20</definedName>
    <definedName name="solver_rhs35" localSheetId="5" hidden="1">'fund-simulation-short-term'!$I$20:$N$20</definedName>
    <definedName name="solver_rhs36" localSheetId="5" hidden="1">'fund-simulation-short-term'!$I$20:$N$20</definedName>
    <definedName name="solver_rhs37" localSheetId="5" hidden="1">'fund-simulation-short-term'!$I$20:$N$20</definedName>
    <definedName name="solver_rhs38" localSheetId="5" hidden="1">'fund-simulation-short-term'!$I$20:$N$20</definedName>
    <definedName name="solver_rhs4" localSheetId="5" hidden="1">claims_constraint</definedName>
    <definedName name="solver_rhs5" localSheetId="4" hidden="1">0</definedName>
    <definedName name="solver_rhs5" localSheetId="5" hidden="1">'fund-simulation-short-term'!#REF!</definedName>
    <definedName name="solver_rhs6" localSheetId="4" hidden="1">'fund-allocation'!$H$20:$M$20</definedName>
    <definedName name="solver_rhs6" localSheetId="5" hidden="1">'fund-simulation-short-term'!#REF!</definedName>
    <definedName name="solver_rhs7" localSheetId="5" hidden="1">'fund-simulation-short-term'!#REF!</definedName>
    <definedName name="solver_rhs8" localSheetId="5" hidden="1">'fund-simulation-short-term'!#REF!</definedName>
    <definedName name="solver_rhs9" localSheetId="5" hidden="1">'fund-simulation-short-term'!#REF!</definedName>
    <definedName name="solver_rlx" localSheetId="4" hidden="1">2</definedName>
    <definedName name="solver_rlx" localSheetId="5" hidden="1">2</definedName>
    <definedName name="solver_rsd" localSheetId="4" hidden="1">0</definedName>
    <definedName name="solver_rsd" localSheetId="5" hidden="1">0</definedName>
    <definedName name="solver_rsmp" hidden="1">2</definedName>
    <definedName name="solver_rtr" localSheetId="4" hidden="1">0</definedName>
    <definedName name="solver_rxc1" localSheetId="4" hidden="1">1</definedName>
    <definedName name="solver_rxc2" localSheetId="4" hidden="1">1</definedName>
    <definedName name="solver_rxc5" localSheetId="4" hidden="1">1</definedName>
    <definedName name="solver_rxc6" localSheetId="4" hidden="1">1</definedName>
    <definedName name="solver_scl" localSheetId="4" hidden="1">1</definedName>
    <definedName name="solver_scl" localSheetId="5" hidden="1">2</definedName>
    <definedName name="solver_seed" hidden="1">0</definedName>
    <definedName name="solver_sel" localSheetId="4" hidden="1">1</definedName>
    <definedName name="solver_sho" localSheetId="4" hidden="1">2</definedName>
    <definedName name="solver_sho" localSheetId="5" hidden="1">2</definedName>
    <definedName name="solver_slv" localSheetId="4" hidden="1">0</definedName>
    <definedName name="solver_slvu" localSheetId="4" hidden="1">0</definedName>
    <definedName name="solver_soc" localSheetId="4" hidden="1">0</definedName>
    <definedName name="solver_ssz" localSheetId="4" hidden="1">100</definedName>
    <definedName name="solver_ssz" localSheetId="5" hidden="1">100</definedName>
    <definedName name="solver_sta" localSheetId="4" hidden="1">0</definedName>
    <definedName name="solver_std" localSheetId="4" hidden="1">0</definedName>
    <definedName name="solver_sthr" hidden="1">0</definedName>
    <definedName name="solver_thr" localSheetId="4" hidden="1">0</definedName>
    <definedName name="solver_tim" localSheetId="4" hidden="1">2147483647</definedName>
    <definedName name="solver_tim" localSheetId="5" hidden="1">2147483647</definedName>
    <definedName name="solver_tms" localSheetId="4" hidden="1">0</definedName>
    <definedName name="solver_tol" localSheetId="4" hidden="1">0.01</definedName>
    <definedName name="solver_tol" localSheetId="5" hidden="1">0.01</definedName>
    <definedName name="solver_tree_a" localSheetId="4" hidden="1">1</definedName>
    <definedName name="solver_tree_b" localSheetId="4" hidden="1">1</definedName>
    <definedName name="solver_tree_ce" localSheetId="4" hidden="1">1</definedName>
    <definedName name="solver_tree_dn" localSheetId="4" hidden="1">1</definedName>
    <definedName name="solver_tree_rt" localSheetId="4" hidden="1">999999999999</definedName>
    <definedName name="solver_typ" localSheetId="4" hidden="1">2</definedName>
    <definedName name="solver_typ" localSheetId="5" hidden="1">2</definedName>
    <definedName name="solver_ubigm" localSheetId="4" hidden="1">1000000</definedName>
    <definedName name="solver_ucens" hidden="1">1E+30</definedName>
    <definedName name="solver_ucut" hidden="1">1E+30</definedName>
    <definedName name="solver_umod" localSheetId="4" hidden="1">1</definedName>
    <definedName name="solver_urs" localSheetId="4" hidden="1">0</definedName>
    <definedName name="solver_val" localSheetId="4" hidden="1">0</definedName>
    <definedName name="solver_val" localSheetId="5" hidden="1">0</definedName>
    <definedName name="solver_ver" localSheetId="4" hidden="1">2</definedName>
    <definedName name="solver_ver" localSheetId="5" hidden="1">3</definedName>
    <definedName name="solver_vol" localSheetId="4" hidden="1">0</definedName>
    <definedName name="sum">'grid-approx'!$T$3</definedName>
    <definedName name="sum_pmf">'eda-sim-short-term'!$N$24</definedName>
    <definedName name="sum_pr_xi_sigma">'xi-sigma-sim'!$L$9</definedName>
    <definedName name="Toggle">[2]!Toggle</definedName>
    <definedName name="u">'mean-excess-over-threshold'!$V$3:$V$14</definedName>
    <definedName name="wages">data!$F$3:$F$14</definedName>
    <definedName name="width_mu">'eda-sim-short-term'!$C$7</definedName>
    <definedName name="width_mu_h">'grid-setup'!$C$6</definedName>
    <definedName name="width_sigma_h">'grid-setup'!$C$13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 i="7" l="1"/>
  <c r="D11" i="11" s="1"/>
  <c r="E12" i="7"/>
  <c r="D12" i="11" s="1"/>
  <c r="E13" i="7"/>
  <c r="D13" i="11" s="1"/>
  <c r="E14" i="7"/>
  <c r="D14" i="11" s="1"/>
  <c r="E15" i="7"/>
  <c r="D15" i="11" s="1"/>
  <c r="E16" i="7"/>
  <c r="D16" i="11" s="1"/>
  <c r="E17" i="7"/>
  <c r="D17" i="11" s="1"/>
  <c r="E18" i="7"/>
  <c r="D18" i="11" s="1"/>
  <c r="E7" i="7"/>
  <c r="D7" i="11" s="1"/>
  <c r="D18" i="7"/>
  <c r="C18" i="11" s="1"/>
  <c r="D17" i="7"/>
  <c r="C17" i="11" s="1"/>
  <c r="D16" i="7"/>
  <c r="C16" i="11" s="1"/>
  <c r="D15" i="7"/>
  <c r="C15" i="11" s="1"/>
  <c r="D14" i="7"/>
  <c r="C14" i="11" s="1"/>
  <c r="D13" i="7"/>
  <c r="C13" i="11" s="1"/>
  <c r="D12" i="7"/>
  <c r="C12" i="11" s="1"/>
  <c r="D11" i="7"/>
  <c r="C11" i="11" s="1"/>
  <c r="E10" i="7"/>
  <c r="D10" i="11" s="1"/>
  <c r="D10" i="7"/>
  <c r="C10" i="11" s="1"/>
  <c r="E9" i="7"/>
  <c r="D9" i="11" s="1"/>
  <c r="D9" i="7"/>
  <c r="C9" i="11" s="1"/>
  <c r="E8" i="7"/>
  <c r="D8" i="11" s="1"/>
  <c r="D8" i="7"/>
  <c r="C8" i="11" s="1"/>
  <c r="D7" i="7"/>
  <c r="C7" i="11" s="1"/>
  <c r="E69" i="17"/>
  <c r="E68" i="17"/>
  <c r="D62" i="17"/>
  <c r="E67" i="17"/>
  <c r="D69" i="17"/>
  <c r="D68" i="17"/>
  <c r="D61" i="17"/>
  <c r="D67" i="17"/>
  <c r="E66" i="17"/>
  <c r="E63" i="17"/>
  <c r="D60" i="17"/>
  <c r="E60" i="17"/>
  <c r="D63" i="17"/>
  <c r="D66" i="17"/>
  <c r="E61" i="17"/>
  <c r="D59" i="17"/>
  <c r="D65" i="17"/>
  <c r="E65" i="17"/>
  <c r="E62" i="17"/>
  <c r="E59" i="17"/>
  <c r="E64" i="17" l="1"/>
  <c r="D64" i="17"/>
  <c r="A8" i="14"/>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T6" i="14"/>
  <c r="S6" i="14"/>
  <c r="R6" i="14"/>
  <c r="Q6" i="14"/>
  <c r="P6" i="14"/>
  <c r="O6" i="14"/>
  <c r="M6" i="14"/>
  <c r="L6" i="14"/>
  <c r="K6" i="14"/>
  <c r="J6" i="14"/>
  <c r="I6" i="14"/>
  <c r="H6" i="14"/>
  <c r="G6" i="14"/>
  <c r="F6" i="14"/>
  <c r="E6" i="14"/>
  <c r="D6" i="14"/>
  <c r="C6" i="14"/>
  <c r="H11" i="11"/>
  <c r="G8" i="11"/>
  <c r="C39" i="11" l="1"/>
  <c r="C38" i="11"/>
  <c r="C37" i="11"/>
  <c r="C36" i="11"/>
  <c r="C35" i="11"/>
  <c r="C34" i="11"/>
  <c r="C33" i="11"/>
  <c r="C32" i="11"/>
  <c r="C31" i="11"/>
  <c r="C30" i="11"/>
  <c r="C29" i="11"/>
  <c r="C28" i="11"/>
  <c r="AA4" i="8"/>
  <c r="T3" i="12"/>
  <c r="B7" i="12"/>
  <c r="T6" i="12"/>
  <c r="C6" i="12"/>
  <c r="T5" i="12"/>
  <c r="B5" i="12"/>
  <c r="G4" i="12"/>
  <c r="G5" i="12" s="1"/>
  <c r="G6" i="12" s="1"/>
  <c r="G7" i="12" s="1"/>
  <c r="G8" i="12" s="1"/>
  <c r="G9" i="12" s="1"/>
  <c r="G10" i="12" s="1"/>
  <c r="G11" i="12" s="1"/>
  <c r="G12" i="12" s="1"/>
  <c r="G13" i="12" s="1"/>
  <c r="G14" i="12" s="1"/>
  <c r="G15" i="12" s="1"/>
  <c r="G16" i="12" s="1"/>
  <c r="G17" i="12" s="1"/>
  <c r="G18" i="12" s="1"/>
  <c r="G19" i="12" s="1"/>
  <c r="G20" i="12" s="1"/>
  <c r="G21" i="12" s="1"/>
  <c r="G22" i="12" s="1"/>
  <c r="G23" i="12" s="1"/>
  <c r="G3" i="12"/>
  <c r="B3" i="12"/>
  <c r="E5" i="12"/>
  <c r="O26" i="12"/>
  <c r="N26" i="12"/>
  <c r="P26" i="12"/>
  <c r="E19" i="12"/>
  <c r="P28" i="12"/>
  <c r="E17" i="12"/>
  <c r="E6" i="12"/>
  <c r="G28" i="12"/>
  <c r="E14" i="12"/>
  <c r="J26" i="12"/>
  <c r="E10" i="12"/>
  <c r="M26" i="12"/>
  <c r="E11" i="12"/>
  <c r="I28" i="12"/>
  <c r="E16" i="12"/>
  <c r="E12" i="12"/>
  <c r="H26" i="12"/>
  <c r="E13" i="12"/>
  <c r="E21" i="12"/>
  <c r="K26" i="12"/>
  <c r="I26" i="12"/>
  <c r="E15" i="12"/>
  <c r="E20" i="12"/>
  <c r="G26" i="12"/>
  <c r="E18" i="12"/>
  <c r="H28" i="12"/>
  <c r="L26" i="12"/>
  <c r="E7" i="12"/>
  <c r="E4" i="12"/>
  <c r="E8" i="12"/>
  <c r="K28" i="12"/>
  <c r="B6" i="12" l="1"/>
  <c r="B4" i="12"/>
  <c r="C10" i="12"/>
  <c r="B8" i="12"/>
  <c r="B18" i="12" l="1"/>
  <c r="B17" i="12"/>
  <c r="A9" i="9" l="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8" i="9"/>
  <c r="S20" i="11"/>
  <c r="T3" i="9"/>
  <c r="T6" i="9" s="1"/>
  <c r="S3" i="9"/>
  <c r="S6" i="9" s="1"/>
  <c r="R3" i="9"/>
  <c r="R6" i="9" s="1"/>
  <c r="Q3" i="9"/>
  <c r="Q6" i="9" s="1"/>
  <c r="P3" i="9"/>
  <c r="P6" i="9" s="1"/>
  <c r="O3" i="9"/>
  <c r="O6" i="9" s="1"/>
  <c r="W33" i="11"/>
  <c r="V33" i="11"/>
  <c r="U33" i="11"/>
  <c r="T33" i="11"/>
  <c r="S33" i="11"/>
  <c r="R33" i="11"/>
  <c r="E33" i="11" a="1"/>
  <c r="E33" i="11" s="1"/>
  <c r="B3" i="9" s="1"/>
  <c r="B6" i="9" s="1"/>
  <c r="J31" i="11"/>
  <c r="T4" i="9" s="1"/>
  <c r="I31" i="11"/>
  <c r="S4" i="9" s="1"/>
  <c r="H31" i="11"/>
  <c r="R4" i="9" s="1"/>
  <c r="G31" i="11"/>
  <c r="Q4" i="9" s="1"/>
  <c r="F31" i="11"/>
  <c r="P4" i="9" s="1"/>
  <c r="E31" i="11"/>
  <c r="O4" i="9" s="1"/>
  <c r="I6" i="11"/>
  <c r="J6" i="11" s="1"/>
  <c r="K6" i="11" s="1"/>
  <c r="L6" i="11" s="1"/>
  <c r="M6" i="11" s="1"/>
  <c r="H6" i="11"/>
  <c r="V6" i="9"/>
  <c r="B28" i="11"/>
  <c r="R35" i="11"/>
  <c r="P19" i="11"/>
  <c r="E32" i="11"/>
  <c r="E35" i="11"/>
  <c r="E34" i="11"/>
  <c r="E30" i="11"/>
  <c r="V4" i="9"/>
  <c r="V3" i="9"/>
  <c r="H33" i="11" l="1"/>
  <c r="E3" i="9" s="1"/>
  <c r="E6" i="9" s="1"/>
  <c r="O33" i="11"/>
  <c r="L3" i="9" s="1"/>
  <c r="L6" i="9" s="1"/>
  <c r="F33" i="11"/>
  <c r="C3" i="9" s="1"/>
  <c r="C6" i="9" s="1"/>
  <c r="L33" i="11"/>
  <c r="I3" i="9" s="1"/>
  <c r="I6" i="9" s="1"/>
  <c r="K33" i="11"/>
  <c r="H3" i="9" s="1"/>
  <c r="H6" i="9" s="1"/>
  <c r="J33" i="11"/>
  <c r="G3" i="9" s="1"/>
  <c r="G6" i="9" s="1"/>
  <c r="Q33" i="11"/>
  <c r="N3" i="9" s="1"/>
  <c r="N6" i="9" s="1"/>
  <c r="I33" i="11"/>
  <c r="F3" i="9" s="1"/>
  <c r="F6" i="9" s="1"/>
  <c r="P33" i="11"/>
  <c r="M3" i="9" s="1"/>
  <c r="M6" i="9" s="1"/>
  <c r="G33" i="11"/>
  <c r="D3" i="9" s="1"/>
  <c r="D6" i="9" s="1"/>
  <c r="N33" i="11"/>
  <c r="K3" i="9" s="1"/>
  <c r="K6" i="9" s="1"/>
  <c r="M33" i="11"/>
  <c r="J3" i="9" s="1"/>
  <c r="J6" i="9" s="1"/>
  <c r="C19" i="12"/>
  <c r="C21" i="12"/>
  <c r="C17" i="12"/>
  <c r="C15" i="12"/>
  <c r="C14" i="12"/>
  <c r="C4" i="12"/>
  <c r="C13" i="12"/>
  <c r="C11" i="12"/>
  <c r="C18" i="12"/>
  <c r="C5" i="12"/>
  <c r="C12" i="12"/>
  <c r="C20" i="12"/>
  <c r="C7" i="12" l="1"/>
  <c r="H3" i="12"/>
  <c r="C16" i="12"/>
  <c r="B3" i="13" a="1"/>
  <c r="B15" i="13" s="1"/>
  <c r="E19" i="11"/>
  <c r="E29" i="11" s="1" a="1"/>
  <c r="M18" i="11"/>
  <c r="L18" i="11"/>
  <c r="K18" i="11"/>
  <c r="J18" i="11"/>
  <c r="I18" i="11"/>
  <c r="G18" i="11"/>
  <c r="M17" i="11"/>
  <c r="L17" i="11"/>
  <c r="K17" i="11"/>
  <c r="J17" i="11"/>
  <c r="I17" i="11"/>
  <c r="G17" i="11"/>
  <c r="M16" i="11"/>
  <c r="L16" i="11"/>
  <c r="K16" i="11"/>
  <c r="J16" i="11"/>
  <c r="I16" i="11"/>
  <c r="G16" i="11"/>
  <c r="M15" i="11"/>
  <c r="L15" i="11"/>
  <c r="K15" i="11"/>
  <c r="J15" i="11"/>
  <c r="I15" i="11"/>
  <c r="H15" i="11"/>
  <c r="G15" i="11"/>
  <c r="M14" i="11"/>
  <c r="L14" i="11"/>
  <c r="K14" i="11"/>
  <c r="J14" i="11"/>
  <c r="I14" i="11"/>
  <c r="H14" i="11"/>
  <c r="G14" i="11"/>
  <c r="M13" i="11"/>
  <c r="L13" i="11"/>
  <c r="K13" i="11"/>
  <c r="J13" i="11"/>
  <c r="I13" i="11"/>
  <c r="H13" i="11"/>
  <c r="G13" i="11"/>
  <c r="M12" i="11"/>
  <c r="L12" i="11"/>
  <c r="K12" i="11"/>
  <c r="J12" i="11"/>
  <c r="I12" i="11"/>
  <c r="G12" i="11"/>
  <c r="M11" i="11"/>
  <c r="L11" i="11"/>
  <c r="K11" i="11"/>
  <c r="J11" i="11"/>
  <c r="I11" i="11"/>
  <c r="G11" i="11"/>
  <c r="M10" i="11"/>
  <c r="L10" i="11"/>
  <c r="K10" i="11"/>
  <c r="J10" i="11"/>
  <c r="I10" i="11"/>
  <c r="H10" i="11"/>
  <c r="G10" i="11"/>
  <c r="M9" i="11"/>
  <c r="L9" i="11"/>
  <c r="K9" i="11"/>
  <c r="J9" i="11"/>
  <c r="I9" i="11"/>
  <c r="G9" i="11"/>
  <c r="M8" i="11"/>
  <c r="L8" i="11"/>
  <c r="K8" i="11"/>
  <c r="J8" i="11"/>
  <c r="I8" i="11"/>
  <c r="M7" i="11"/>
  <c r="L7" i="11"/>
  <c r="K7" i="11"/>
  <c r="J7" i="11"/>
  <c r="I7" i="11"/>
  <c r="H7" i="11"/>
  <c r="G7" i="11"/>
  <c r="H16" i="11"/>
  <c r="U5" i="8"/>
  <c r="U6" i="8"/>
  <c r="U7" i="8" s="1"/>
  <c r="U8" i="8" s="1"/>
  <c r="U9" i="8" s="1"/>
  <c r="S19" i="11"/>
  <c r="O7" i="11"/>
  <c r="O6" i="11"/>
  <c r="O10" i="11"/>
  <c r="I3" i="12" l="1"/>
  <c r="J3" i="12" s="1"/>
  <c r="B8" i="13"/>
  <c r="B6" i="13"/>
  <c r="B13" i="13"/>
  <c r="B17" i="13"/>
  <c r="B12" i="13"/>
  <c r="B11" i="13"/>
  <c r="B18" i="13"/>
  <c r="B7" i="13"/>
  <c r="B14" i="13"/>
  <c r="B20" i="13"/>
  <c r="B10" i="13"/>
  <c r="B19" i="13"/>
  <c r="B5" i="13"/>
  <c r="B3" i="13"/>
  <c r="B4" i="13"/>
  <c r="B16" i="13"/>
  <c r="B9" i="13"/>
  <c r="F29" i="11"/>
  <c r="C4" i="9" s="1"/>
  <c r="I29" i="11"/>
  <c r="F4" i="9" s="1"/>
  <c r="O29" i="11"/>
  <c r="L4" i="9" s="1"/>
  <c r="H29" i="11"/>
  <c r="E4" i="9" s="1"/>
  <c r="E29" i="11"/>
  <c r="B4" i="9" s="1"/>
  <c r="P29" i="11"/>
  <c r="M4" i="9" s="1"/>
  <c r="L29" i="11"/>
  <c r="I4" i="9" s="1"/>
  <c r="J29" i="11"/>
  <c r="G4" i="9" s="1"/>
  <c r="G29" i="11"/>
  <c r="D4" i="9" s="1"/>
  <c r="Q29" i="11"/>
  <c r="N4" i="9" s="1"/>
  <c r="N29" i="11"/>
  <c r="K4" i="9" s="1"/>
  <c r="M29" i="11"/>
  <c r="J4" i="9" s="1"/>
  <c r="K29" i="11"/>
  <c r="H4" i="9" s="1"/>
  <c r="I19" i="11"/>
  <c r="J19" i="11"/>
  <c r="M19" i="11"/>
  <c r="K19" i="11"/>
  <c r="L19" i="11"/>
  <c r="H12" i="11"/>
  <c r="H18" i="11"/>
  <c r="H9" i="11"/>
  <c r="H17" i="11"/>
  <c r="H8" i="11"/>
  <c r="H4" i="12" l="1"/>
  <c r="H19" i="11"/>
  <c r="K3" i="12"/>
  <c r="I4" i="12" l="1"/>
  <c r="J4" i="12" s="1"/>
  <c r="H5" i="12" l="1"/>
  <c r="M12" i="8"/>
  <c r="S8" i="8"/>
  <c r="W12" i="8"/>
  <c r="V12" i="8"/>
  <c r="H12" i="8"/>
  <c r="J12" i="8"/>
  <c r="D12" i="8"/>
  <c r="I12" i="8"/>
  <c r="C12" i="8"/>
  <c r="S5" i="8"/>
  <c r="K4" i="12"/>
  <c r="S7" i="8"/>
  <c r="Y12" i="8"/>
  <c r="S6" i="8"/>
  <c r="B12" i="8"/>
  <c r="N12" i="8"/>
  <c r="G12" i="8"/>
  <c r="E12" i="8"/>
  <c r="S3" i="8"/>
  <c r="S4" i="8"/>
  <c r="L12" i="8"/>
  <c r="I5" i="12" l="1"/>
  <c r="J5" i="12" s="1"/>
  <c r="H6" i="12" l="1"/>
  <c r="C18" i="6"/>
  <c r="E14" i="6"/>
  <c r="E13" i="6"/>
  <c r="E12" i="6"/>
  <c r="E11" i="6"/>
  <c r="E10" i="6"/>
  <c r="E9" i="6"/>
  <c r="E8" i="6"/>
  <c r="E7" i="6"/>
  <c r="E6" i="6"/>
  <c r="E5" i="6"/>
  <c r="E4" i="6"/>
  <c r="E3" i="6"/>
  <c r="V3" i="6"/>
  <c r="V4" i="6" s="1"/>
  <c r="V5" i="6" s="1"/>
  <c r="T6" i="6"/>
  <c r="E2" i="6"/>
  <c r="B4" i="4"/>
  <c r="I3" i="4"/>
  <c r="B3" i="8" s="1"/>
  <c r="V19" i="6"/>
  <c r="K5" i="12"/>
  <c r="D34" i="5"/>
  <c r="G19" i="6"/>
  <c r="G23" i="6"/>
  <c r="C18" i="2"/>
  <c r="C17" i="2"/>
  <c r="C19" i="2"/>
  <c r="G21" i="6"/>
  <c r="F19" i="6"/>
  <c r="C34" i="5"/>
  <c r="I6" i="12" l="1"/>
  <c r="J6" i="12" s="1"/>
  <c r="V6" i="6"/>
  <c r="V7" i="6" s="1"/>
  <c r="V8" i="6" s="1"/>
  <c r="V9" i="6" s="1"/>
  <c r="V10" i="6" s="1"/>
  <c r="V11" i="6" s="1"/>
  <c r="V12" i="6" s="1"/>
  <c r="V13" i="6" s="1"/>
  <c r="V14" i="6" s="1"/>
  <c r="F15" i="6" a="1"/>
  <c r="H15" i="6" s="1"/>
  <c r="H3" i="6" s="1"/>
  <c r="G4" i="5" a="1"/>
  <c r="H4" i="5" s="1"/>
  <c r="T4" i="5"/>
  <c r="E5" i="5"/>
  <c r="F5" i="5"/>
  <c r="E6" i="5"/>
  <c r="F6" i="5"/>
  <c r="E7" i="5"/>
  <c r="F7" i="5"/>
  <c r="E8" i="5"/>
  <c r="F8" i="5"/>
  <c r="E9" i="5"/>
  <c r="F9" i="5"/>
  <c r="E10" i="5"/>
  <c r="F10" i="5"/>
  <c r="E11" i="5"/>
  <c r="F11" i="5"/>
  <c r="E12" i="5"/>
  <c r="F12" i="5"/>
  <c r="E13" i="5"/>
  <c r="F13" i="5"/>
  <c r="E14" i="5"/>
  <c r="F14" i="5"/>
  <c r="E15" i="5"/>
  <c r="F15" i="5"/>
  <c r="E16" i="5"/>
  <c r="F16" i="5"/>
  <c r="E17" i="5"/>
  <c r="F17" i="5"/>
  <c r="E18" i="5"/>
  <c r="F18" i="5"/>
  <c r="E19" i="5"/>
  <c r="F19" i="5"/>
  <c r="E20" i="5"/>
  <c r="F20" i="5"/>
  <c r="E21" i="5"/>
  <c r="F21" i="5"/>
  <c r="E22" i="5"/>
  <c r="F22" i="5"/>
  <c r="E23" i="5"/>
  <c r="F23" i="5"/>
  <c r="E24" i="5"/>
  <c r="F24" i="5"/>
  <c r="E25" i="5"/>
  <c r="F25" i="5"/>
  <c r="E26" i="5"/>
  <c r="F26" i="5"/>
  <c r="E27" i="5"/>
  <c r="F27" i="5"/>
  <c r="E28" i="5"/>
  <c r="F28" i="5"/>
  <c r="E29" i="5"/>
  <c r="F29" i="5"/>
  <c r="C3" i="2"/>
  <c r="C13" i="3"/>
  <c r="C6" i="3"/>
  <c r="E10" i="3"/>
  <c r="D5" i="5" s="1"/>
  <c r="E9" i="3"/>
  <c r="E3" i="3"/>
  <c r="C5" i="5" s="1"/>
  <c r="E2" i="3"/>
  <c r="B6" i="3"/>
  <c r="B5" i="3"/>
  <c r="B4" i="3"/>
  <c r="B3" i="3"/>
  <c r="B13" i="3"/>
  <c r="B12" i="3"/>
  <c r="B11" i="3"/>
  <c r="B10" i="3"/>
  <c r="W34" i="5"/>
  <c r="F31" i="5"/>
  <c r="C5" i="2"/>
  <c r="D14" i="4"/>
  <c r="I16" i="4"/>
  <c r="C10" i="2"/>
  <c r="F16" i="4"/>
  <c r="C4" i="2"/>
  <c r="C7" i="2"/>
  <c r="U31" i="5"/>
  <c r="T33" i="5"/>
  <c r="E31" i="5"/>
  <c r="D31" i="5"/>
  <c r="C11" i="2"/>
  <c r="S31" i="5"/>
  <c r="T31" i="5"/>
  <c r="D12" i="4"/>
  <c r="C8" i="2"/>
  <c r="C12" i="4"/>
  <c r="G31" i="5"/>
  <c r="C6" i="2"/>
  <c r="C31" i="5"/>
  <c r="M31" i="5"/>
  <c r="H7" i="12" l="1"/>
  <c r="J15" i="6"/>
  <c r="J8" i="6" s="1"/>
  <c r="M15" i="6"/>
  <c r="M7" i="6" s="1"/>
  <c r="F15" i="6"/>
  <c r="G15" i="6"/>
  <c r="G13" i="6" s="1"/>
  <c r="I15" i="6"/>
  <c r="I10" i="6" s="1"/>
  <c r="O15" i="6"/>
  <c r="O13" i="6" s="1"/>
  <c r="K15" i="6"/>
  <c r="K12" i="6" s="1"/>
  <c r="N15" i="6"/>
  <c r="N3" i="6" s="1"/>
  <c r="P15" i="6"/>
  <c r="P12" i="6" s="1"/>
  <c r="Q15" i="6"/>
  <c r="Q6" i="6" s="1"/>
  <c r="L15" i="6"/>
  <c r="L7" i="6" s="1"/>
  <c r="H4" i="6"/>
  <c r="I7" i="6"/>
  <c r="H13" i="6"/>
  <c r="H6" i="6"/>
  <c r="H9" i="6"/>
  <c r="H2" i="6"/>
  <c r="H8" i="6"/>
  <c r="H10" i="6"/>
  <c r="H7" i="6"/>
  <c r="I14" i="6"/>
  <c r="H11" i="6"/>
  <c r="H14" i="6"/>
  <c r="G12" i="6"/>
  <c r="H5" i="6"/>
  <c r="H12" i="6"/>
  <c r="H5" i="5"/>
  <c r="W5" i="5"/>
  <c r="O4" i="5"/>
  <c r="O5" i="5" s="1"/>
  <c r="N4" i="5"/>
  <c r="N5" i="5" s="1"/>
  <c r="M4" i="5"/>
  <c r="M5" i="5" s="1"/>
  <c r="L4" i="5"/>
  <c r="L5" i="5" s="1"/>
  <c r="K4" i="5"/>
  <c r="K5" i="5" s="1"/>
  <c r="G4" i="5"/>
  <c r="G5" i="5" s="1"/>
  <c r="R4" i="5"/>
  <c r="R5" i="5" s="1"/>
  <c r="J4" i="5"/>
  <c r="J5" i="5" s="1"/>
  <c r="Q4" i="5"/>
  <c r="Q5" i="5" s="1"/>
  <c r="I4" i="5"/>
  <c r="I5" i="5" s="1"/>
  <c r="P4" i="5"/>
  <c r="P5" i="5" s="1"/>
  <c r="B20" i="3"/>
  <c r="I7" i="3"/>
  <c r="K6" i="12"/>
  <c r="I14" i="3"/>
  <c r="B18" i="3"/>
  <c r="O6" i="6" l="1"/>
  <c r="I7" i="12"/>
  <c r="J7" i="12" s="1"/>
  <c r="I9" i="6"/>
  <c r="I5" i="6"/>
  <c r="I13" i="6"/>
  <c r="I12" i="6"/>
  <c r="L2" i="6"/>
  <c r="J12" i="6"/>
  <c r="L6" i="6"/>
  <c r="L10" i="6"/>
  <c r="Q5" i="6"/>
  <c r="M13" i="6"/>
  <c r="M12" i="6"/>
  <c r="L3" i="6"/>
  <c r="G5" i="6"/>
  <c r="G7" i="6"/>
  <c r="G3" i="6"/>
  <c r="J9" i="6"/>
  <c r="P8" i="6"/>
  <c r="G6" i="6"/>
  <c r="G11" i="6"/>
  <c r="G2" i="6"/>
  <c r="G9" i="6"/>
  <c r="L9" i="6"/>
  <c r="L14" i="6"/>
  <c r="L5" i="6"/>
  <c r="L12" i="6"/>
  <c r="M11" i="6"/>
  <c r="I11" i="6"/>
  <c r="M6" i="6"/>
  <c r="L13" i="6"/>
  <c r="L11" i="6"/>
  <c r="K7" i="6"/>
  <c r="I3" i="6"/>
  <c r="P11" i="6"/>
  <c r="L4" i="6"/>
  <c r="L8" i="6"/>
  <c r="O9" i="6"/>
  <c r="K9" i="6"/>
  <c r="J7" i="6"/>
  <c r="J10" i="6"/>
  <c r="J3" i="6"/>
  <c r="J4" i="6"/>
  <c r="J11" i="6"/>
  <c r="G10" i="6"/>
  <c r="G4" i="6"/>
  <c r="G14" i="6"/>
  <c r="G8" i="6"/>
  <c r="J2" i="6"/>
  <c r="P5" i="6"/>
  <c r="P13" i="6"/>
  <c r="J14" i="6"/>
  <c r="K4" i="6"/>
  <c r="K3" i="6"/>
  <c r="K13" i="6"/>
  <c r="N7" i="6"/>
  <c r="K2" i="6"/>
  <c r="O14" i="6"/>
  <c r="N5" i="6"/>
  <c r="N8" i="6"/>
  <c r="K5" i="6"/>
  <c r="O7" i="6"/>
  <c r="K8" i="6"/>
  <c r="K14" i="6"/>
  <c r="O4" i="6"/>
  <c r="K6" i="6"/>
  <c r="K11" i="6"/>
  <c r="N6" i="6"/>
  <c r="N10" i="6"/>
  <c r="N14" i="6"/>
  <c r="K10" i="6"/>
  <c r="M2" i="6"/>
  <c r="Q13" i="6"/>
  <c r="M4" i="6"/>
  <c r="O5" i="6"/>
  <c r="O12" i="6"/>
  <c r="M5" i="6"/>
  <c r="O3" i="6"/>
  <c r="I4" i="6"/>
  <c r="N12" i="6"/>
  <c r="N13" i="6"/>
  <c r="Q7" i="6"/>
  <c r="J6" i="6"/>
  <c r="P9" i="6"/>
  <c r="Q12" i="6"/>
  <c r="Q11" i="6"/>
  <c r="O8" i="6"/>
  <c r="Q3" i="6"/>
  <c r="P14" i="6"/>
  <c r="M9" i="6"/>
  <c r="P3" i="6"/>
  <c r="P7" i="6"/>
  <c r="I8" i="6"/>
  <c r="N11" i="6"/>
  <c r="Q14" i="6"/>
  <c r="Q4" i="6"/>
  <c r="M8" i="6"/>
  <c r="O11" i="6"/>
  <c r="P6" i="6"/>
  <c r="J13" i="6"/>
  <c r="I2" i="6"/>
  <c r="P4" i="6"/>
  <c r="P10" i="6"/>
  <c r="M10" i="6"/>
  <c r="O10" i="6"/>
  <c r="Q9" i="6"/>
  <c r="N2" i="6"/>
  <c r="Q8" i="6"/>
  <c r="J5" i="6"/>
  <c r="P2" i="6"/>
  <c r="M14" i="6"/>
  <c r="O2" i="6"/>
  <c r="Q2" i="6"/>
  <c r="N9" i="6"/>
  <c r="I6" i="6"/>
  <c r="N4" i="6"/>
  <c r="Q10" i="6"/>
  <c r="F2" i="6"/>
  <c r="F7" i="6"/>
  <c r="F13" i="6"/>
  <c r="F4" i="6"/>
  <c r="F9" i="6"/>
  <c r="F11" i="6"/>
  <c r="F6" i="6"/>
  <c r="F8" i="6"/>
  <c r="F12" i="6"/>
  <c r="F10" i="6"/>
  <c r="F14" i="6"/>
  <c r="F3" i="6"/>
  <c r="F5" i="6"/>
  <c r="M3" i="6"/>
  <c r="H16" i="6"/>
  <c r="S5" i="5"/>
  <c r="T5" i="5" s="1"/>
  <c r="F14" i="3"/>
  <c r="F11" i="3"/>
  <c r="F12" i="3"/>
  <c r="F6" i="3"/>
  <c r="F5" i="3"/>
  <c r="F4" i="3"/>
  <c r="F3" i="3"/>
  <c r="F10" i="3"/>
  <c r="F13" i="3"/>
  <c r="F7" i="3"/>
  <c r="H8" i="12" l="1"/>
  <c r="G16" i="6"/>
  <c r="L16" i="6"/>
  <c r="K16" i="6"/>
  <c r="O16" i="6"/>
  <c r="N16" i="6"/>
  <c r="F16" i="6"/>
  <c r="J16" i="6"/>
  <c r="I16" i="6"/>
  <c r="M16" i="6"/>
  <c r="Q16" i="6"/>
  <c r="P16" i="6"/>
  <c r="C4" i="4"/>
  <c r="C4" i="8" s="1"/>
  <c r="E11" i="3"/>
  <c r="E4" i="3"/>
  <c r="K7" i="12"/>
  <c r="I8" i="12" l="1"/>
  <c r="J8" i="12" s="1"/>
  <c r="E12" i="3"/>
  <c r="E13" i="3" s="1"/>
  <c r="E14" i="3" s="1"/>
  <c r="C6" i="5" s="1" a="1"/>
  <c r="C6" i="5" s="1"/>
  <c r="E5" i="3"/>
  <c r="C5" i="4"/>
  <c r="C5" i="8" s="1"/>
  <c r="H9" i="12" l="1"/>
  <c r="D6" i="5" a="1"/>
  <c r="D6" i="5" s="1"/>
  <c r="W6" i="5" s="1"/>
  <c r="D3" i="4" a="1"/>
  <c r="E6" i="3"/>
  <c r="C6" i="4"/>
  <c r="C6" i="8" s="1"/>
  <c r="K8" i="12"/>
  <c r="I9" i="12" l="1"/>
  <c r="J9" i="12" s="1"/>
  <c r="Q6" i="5"/>
  <c r="N6" i="5"/>
  <c r="L6" i="5"/>
  <c r="O6" i="5"/>
  <c r="G6" i="5"/>
  <c r="H6" i="5"/>
  <c r="I6" i="5"/>
  <c r="P6" i="5"/>
  <c r="K6" i="5"/>
  <c r="J6" i="5"/>
  <c r="M6" i="5"/>
  <c r="R6" i="5"/>
  <c r="D7" i="5" a="1"/>
  <c r="D7" i="5" s="1"/>
  <c r="C7" i="5" a="1"/>
  <c r="C7" i="5" s="1"/>
  <c r="E3" i="4"/>
  <c r="G3" i="4"/>
  <c r="F3" i="4"/>
  <c r="D3" i="4"/>
  <c r="H3" i="4"/>
  <c r="E7" i="3"/>
  <c r="C8" i="4" s="1"/>
  <c r="C8" i="8" s="1"/>
  <c r="C7" i="4"/>
  <c r="C7" i="8" s="1"/>
  <c r="H10" i="12" l="1"/>
  <c r="H4" i="8" a="1"/>
  <c r="W7" i="5"/>
  <c r="R7" i="5"/>
  <c r="P7" i="5"/>
  <c r="H7" i="5"/>
  <c r="N7" i="5"/>
  <c r="K7" i="5"/>
  <c r="J7" i="5"/>
  <c r="M7" i="5"/>
  <c r="L7" i="5"/>
  <c r="I7" i="5"/>
  <c r="Q7" i="5"/>
  <c r="O7" i="5"/>
  <c r="G7" i="5"/>
  <c r="D8" i="5" a="1"/>
  <c r="D8" i="5" s="1"/>
  <c r="C8" i="5" a="1"/>
  <c r="C8" i="5" s="1"/>
  <c r="S6" i="5"/>
  <c r="T6" i="5" s="1"/>
  <c r="K9" i="12"/>
  <c r="I10" i="12" l="1"/>
  <c r="J10" i="12" s="1"/>
  <c r="H7" i="8"/>
  <c r="H4" i="8"/>
  <c r="H6" i="8"/>
  <c r="H8" i="8"/>
  <c r="H5" i="8"/>
  <c r="L8" i="5"/>
  <c r="R8" i="5"/>
  <c r="J8" i="5"/>
  <c r="H8" i="5"/>
  <c r="O8" i="5"/>
  <c r="N8" i="5"/>
  <c r="Q8" i="5"/>
  <c r="I8" i="5"/>
  <c r="P8" i="5"/>
  <c r="G8" i="5"/>
  <c r="K8" i="5"/>
  <c r="M8" i="5"/>
  <c r="W8" i="5"/>
  <c r="C9" i="5" a="1"/>
  <c r="C9" i="5" s="1"/>
  <c r="D9" i="5" a="1"/>
  <c r="D9" i="5" s="1"/>
  <c r="S7" i="5"/>
  <c r="T7" i="5" s="1"/>
  <c r="H11" i="12" l="1"/>
  <c r="K9" i="5"/>
  <c r="R9" i="5"/>
  <c r="P9" i="5"/>
  <c r="H9" i="5"/>
  <c r="N9" i="5"/>
  <c r="M9" i="5"/>
  <c r="L9" i="5"/>
  <c r="J9" i="5"/>
  <c r="I9" i="5"/>
  <c r="G9" i="5"/>
  <c r="O9" i="5"/>
  <c r="Q9" i="5"/>
  <c r="W9" i="5"/>
  <c r="D10" i="5" a="1"/>
  <c r="D10" i="5" s="1"/>
  <c r="C10" i="5" a="1"/>
  <c r="C10" i="5" s="1"/>
  <c r="S8" i="5"/>
  <c r="T8" i="5" s="1"/>
  <c r="K10" i="12"/>
  <c r="I11" i="12" l="1"/>
  <c r="J11" i="12" s="1"/>
  <c r="W10" i="5"/>
  <c r="N10" i="5"/>
  <c r="L10" i="5"/>
  <c r="R10" i="5"/>
  <c r="J10" i="5"/>
  <c r="H10" i="5"/>
  <c r="O10" i="5"/>
  <c r="Q10" i="5"/>
  <c r="I10" i="5"/>
  <c r="P10" i="5"/>
  <c r="G10" i="5"/>
  <c r="M10" i="5"/>
  <c r="K10" i="5"/>
  <c r="C11" i="5" a="1"/>
  <c r="C11" i="5" s="1"/>
  <c r="D11" i="5" a="1"/>
  <c r="D11" i="5" s="1"/>
  <c r="S9" i="5"/>
  <c r="T9" i="5" s="1"/>
  <c r="H12" i="12" l="1"/>
  <c r="W11" i="5"/>
  <c r="K11" i="5"/>
  <c r="P11" i="5"/>
  <c r="H11" i="5"/>
  <c r="N11" i="5"/>
  <c r="L11" i="5"/>
  <c r="J11" i="5"/>
  <c r="M11" i="5"/>
  <c r="R11" i="5"/>
  <c r="Q11" i="5"/>
  <c r="O11" i="5"/>
  <c r="I11" i="5"/>
  <c r="G11" i="5"/>
  <c r="S10" i="5"/>
  <c r="T10" i="5" s="1"/>
  <c r="C12" i="5" a="1"/>
  <c r="C12" i="5" s="1"/>
  <c r="D12" i="5" a="1"/>
  <c r="D12" i="5" s="1"/>
  <c r="K11" i="12"/>
  <c r="I12" i="12" l="1"/>
  <c r="J12" i="12" s="1"/>
  <c r="N12" i="5"/>
  <c r="L12" i="5"/>
  <c r="R12" i="5"/>
  <c r="J12" i="5"/>
  <c r="H12" i="5"/>
  <c r="O12" i="5"/>
  <c r="Q12" i="5"/>
  <c r="I12" i="5"/>
  <c r="P12" i="5"/>
  <c r="G12" i="5"/>
  <c r="K12" i="5"/>
  <c r="M12" i="5"/>
  <c r="W12" i="5"/>
  <c r="S11" i="5"/>
  <c r="T11" i="5" s="1"/>
  <c r="D13" i="5" a="1"/>
  <c r="D13" i="5" s="1"/>
  <c r="C13" i="5" a="1"/>
  <c r="C13" i="5" s="1"/>
  <c r="H13" i="12" l="1"/>
  <c r="L13" i="5"/>
  <c r="P13" i="5"/>
  <c r="H13" i="5"/>
  <c r="N13" i="5"/>
  <c r="J13" i="5"/>
  <c r="M13" i="5"/>
  <c r="K13" i="5"/>
  <c r="R13" i="5"/>
  <c r="Q13" i="5"/>
  <c r="O13" i="5"/>
  <c r="I13" i="5"/>
  <c r="G13" i="5"/>
  <c r="W13" i="5"/>
  <c r="S12" i="5"/>
  <c r="T12" i="5" s="1"/>
  <c r="C14" i="5" a="1"/>
  <c r="C14" i="5" s="1"/>
  <c r="D14" i="5" a="1"/>
  <c r="D14" i="5" s="1"/>
  <c r="K12" i="12"/>
  <c r="I13" i="12" l="1"/>
  <c r="J13" i="12" s="1"/>
  <c r="O14" i="5"/>
  <c r="N14" i="5"/>
  <c r="L14" i="5"/>
  <c r="R14" i="5"/>
  <c r="J14" i="5"/>
  <c r="P14" i="5"/>
  <c r="H14" i="5"/>
  <c r="G14" i="5"/>
  <c r="Q14" i="5"/>
  <c r="I14" i="5"/>
  <c r="M14" i="5"/>
  <c r="K14" i="5"/>
  <c r="W14" i="5"/>
  <c r="D15" i="5" a="1"/>
  <c r="D15" i="5" s="1"/>
  <c r="C15" i="5" a="1"/>
  <c r="C15" i="5" s="1"/>
  <c r="S13" i="5"/>
  <c r="T13" i="5" s="1"/>
  <c r="H14" i="12" l="1"/>
  <c r="W15" i="5"/>
  <c r="P15" i="5"/>
  <c r="H15" i="5"/>
  <c r="N15" i="5"/>
  <c r="J15" i="5"/>
  <c r="M15" i="5"/>
  <c r="L15" i="5"/>
  <c r="K15" i="5"/>
  <c r="R15" i="5"/>
  <c r="I15" i="5"/>
  <c r="Q15" i="5"/>
  <c r="O15" i="5"/>
  <c r="G15" i="5"/>
  <c r="C16" i="5" a="1"/>
  <c r="C16" i="5" s="1"/>
  <c r="D16" i="5" a="1"/>
  <c r="D16" i="5" s="1"/>
  <c r="S14" i="5"/>
  <c r="T14" i="5" s="1"/>
  <c r="K13" i="12"/>
  <c r="I14" i="12" l="1"/>
  <c r="J14" i="12" s="1"/>
  <c r="L16" i="5"/>
  <c r="R16" i="5"/>
  <c r="J16" i="5"/>
  <c r="H16" i="5"/>
  <c r="G16" i="5"/>
  <c r="N16" i="5"/>
  <c r="Q16" i="5"/>
  <c r="I16" i="5"/>
  <c r="P16" i="5"/>
  <c r="O16" i="5"/>
  <c r="M16" i="5"/>
  <c r="K16" i="5"/>
  <c r="S15" i="5"/>
  <c r="T15" i="5" s="1"/>
  <c r="W16" i="5"/>
  <c r="C17" i="5" a="1"/>
  <c r="C17" i="5" s="1"/>
  <c r="D17" i="5" a="1"/>
  <c r="D17" i="5" s="1"/>
  <c r="H15" i="12" l="1"/>
  <c r="K17" i="5"/>
  <c r="R17" i="5"/>
  <c r="P17" i="5"/>
  <c r="H17" i="5"/>
  <c r="N17" i="5"/>
  <c r="L17" i="5"/>
  <c r="M17" i="5"/>
  <c r="J17" i="5"/>
  <c r="I17" i="5"/>
  <c r="G17" i="5"/>
  <c r="O17" i="5"/>
  <c r="Q17" i="5"/>
  <c r="W17" i="5"/>
  <c r="S16" i="5"/>
  <c r="T16" i="5" s="1"/>
  <c r="D18" i="5" a="1"/>
  <c r="D18" i="5" s="1"/>
  <c r="C18" i="5" a="1"/>
  <c r="C18" i="5" s="1"/>
  <c r="K14" i="12"/>
  <c r="I15" i="12" l="1"/>
  <c r="J15" i="12" s="1"/>
  <c r="L18" i="5"/>
  <c r="R18" i="5"/>
  <c r="J18" i="5"/>
  <c r="P18" i="5"/>
  <c r="G18" i="5"/>
  <c r="N18" i="5"/>
  <c r="Q18" i="5"/>
  <c r="I18" i="5"/>
  <c r="H18" i="5"/>
  <c r="O18" i="5"/>
  <c r="M18" i="5"/>
  <c r="K18" i="5"/>
  <c r="W18" i="5"/>
  <c r="S17" i="5"/>
  <c r="T17" i="5" s="1"/>
  <c r="C19" i="5" a="1"/>
  <c r="C19" i="5" s="1"/>
  <c r="D19" i="5" a="1"/>
  <c r="D19" i="5" s="1"/>
  <c r="H16" i="12" l="1"/>
  <c r="R19" i="5"/>
  <c r="P19" i="5"/>
  <c r="H19" i="5"/>
  <c r="N19" i="5"/>
  <c r="K19" i="5"/>
  <c r="M19" i="5"/>
  <c r="L19" i="5"/>
  <c r="J19" i="5"/>
  <c r="Q19" i="5"/>
  <c r="I19" i="5"/>
  <c r="G19" i="5"/>
  <c r="O19" i="5"/>
  <c r="S18" i="5"/>
  <c r="T18" i="5" s="1"/>
  <c r="W19" i="5"/>
  <c r="C20" i="5" a="1"/>
  <c r="C20" i="5" s="1"/>
  <c r="D20" i="5" a="1"/>
  <c r="D20" i="5" s="1"/>
  <c r="K15" i="12"/>
  <c r="I16" i="12" l="1"/>
  <c r="J16" i="12" s="1"/>
  <c r="W20" i="5"/>
  <c r="L20" i="5"/>
  <c r="R20" i="5"/>
  <c r="J20" i="5"/>
  <c r="P20" i="5"/>
  <c r="H20" i="5"/>
  <c r="O20" i="5"/>
  <c r="Q20" i="5"/>
  <c r="I20" i="5"/>
  <c r="G20" i="5"/>
  <c r="N20" i="5"/>
  <c r="M20" i="5"/>
  <c r="K20" i="5"/>
  <c r="D21" i="5" a="1"/>
  <c r="D21" i="5" s="1"/>
  <c r="C21" i="5" a="1"/>
  <c r="C21" i="5" s="1"/>
  <c r="S19" i="5"/>
  <c r="T19" i="5" s="1"/>
  <c r="H17" i="12" l="1"/>
  <c r="W21" i="5"/>
  <c r="K21" i="5"/>
  <c r="Q21" i="5"/>
  <c r="P21" i="5"/>
  <c r="H21" i="5"/>
  <c r="N21" i="5"/>
  <c r="J21" i="5"/>
  <c r="M21" i="5"/>
  <c r="L21" i="5"/>
  <c r="R21" i="5"/>
  <c r="O21" i="5"/>
  <c r="I21" i="5"/>
  <c r="G21" i="5"/>
  <c r="S20" i="5"/>
  <c r="T20" i="5" s="1"/>
  <c r="C22" i="5" a="1"/>
  <c r="C22" i="5" s="1"/>
  <c r="D22" i="5" a="1"/>
  <c r="D22" i="5" s="1"/>
  <c r="K16" i="12"/>
  <c r="I17" i="12" l="1"/>
  <c r="J17" i="12" s="1"/>
  <c r="M22" i="5"/>
  <c r="L22" i="5"/>
  <c r="R22" i="5"/>
  <c r="J22" i="5"/>
  <c r="H22" i="5"/>
  <c r="O22" i="5"/>
  <c r="N22" i="5"/>
  <c r="Q22" i="5"/>
  <c r="I22" i="5"/>
  <c r="P22" i="5"/>
  <c r="G22" i="5"/>
  <c r="K22" i="5"/>
  <c r="W22" i="5"/>
  <c r="S21" i="5"/>
  <c r="T21" i="5" s="1"/>
  <c r="D23" i="5" a="1"/>
  <c r="D23" i="5" s="1"/>
  <c r="C23" i="5" a="1"/>
  <c r="C23" i="5" s="1"/>
  <c r="H18" i="12" l="1"/>
  <c r="J23" i="5"/>
  <c r="P23" i="5"/>
  <c r="H23" i="5"/>
  <c r="N23" i="5"/>
  <c r="L23" i="5"/>
  <c r="M23" i="5"/>
  <c r="K23" i="5"/>
  <c r="R23" i="5"/>
  <c r="I23" i="5"/>
  <c r="G23" i="5"/>
  <c r="O23" i="5"/>
  <c r="Q23" i="5"/>
  <c r="W23" i="5"/>
  <c r="C24" i="5" a="1"/>
  <c r="C24" i="5" s="1"/>
  <c r="D24" i="5" a="1"/>
  <c r="D24" i="5" s="1"/>
  <c r="S22" i="5"/>
  <c r="T22" i="5" s="1"/>
  <c r="K17" i="12"/>
  <c r="I18" i="12" l="1"/>
  <c r="J18" i="12" s="1"/>
  <c r="O24" i="5"/>
  <c r="M24" i="5"/>
  <c r="L24" i="5"/>
  <c r="R24" i="5"/>
  <c r="J24" i="5"/>
  <c r="P24" i="5"/>
  <c r="G24" i="5"/>
  <c r="N24" i="5"/>
  <c r="Q24" i="5"/>
  <c r="I24" i="5"/>
  <c r="H24" i="5"/>
  <c r="K24" i="5"/>
  <c r="W24" i="5"/>
  <c r="S23" i="5"/>
  <c r="T23" i="5" s="1"/>
  <c r="C25" i="5" a="1"/>
  <c r="C25" i="5" s="1"/>
  <c r="D25" i="5" a="1"/>
  <c r="D25" i="5" s="1"/>
  <c r="H19" i="12" l="1"/>
  <c r="W25" i="5"/>
  <c r="R25" i="5"/>
  <c r="Q25" i="5"/>
  <c r="I25" i="5"/>
  <c r="P25" i="5"/>
  <c r="H25" i="5"/>
  <c r="N25" i="5"/>
  <c r="J25" i="5"/>
  <c r="M25" i="5"/>
  <c r="L25" i="5"/>
  <c r="K25" i="5"/>
  <c r="O25" i="5"/>
  <c r="G25" i="5"/>
  <c r="S24" i="5"/>
  <c r="T24" i="5" s="1"/>
  <c r="D26" i="5" a="1"/>
  <c r="D26" i="5" s="1"/>
  <c r="C26" i="5" a="1"/>
  <c r="C26" i="5" s="1"/>
  <c r="K18" i="12"/>
  <c r="I19" i="12" l="1"/>
  <c r="J19" i="12" s="1"/>
  <c r="M26" i="5"/>
  <c r="L26" i="5"/>
  <c r="R26" i="5"/>
  <c r="J26" i="5"/>
  <c r="H26" i="5"/>
  <c r="G26" i="5"/>
  <c r="Q26" i="5"/>
  <c r="I26" i="5"/>
  <c r="P26" i="5"/>
  <c r="O26" i="5"/>
  <c r="N26" i="5"/>
  <c r="K26" i="5"/>
  <c r="W26" i="5"/>
  <c r="C27" i="5" a="1"/>
  <c r="C27" i="5" s="1"/>
  <c r="D27" i="5" a="1"/>
  <c r="D27" i="5" s="1"/>
  <c r="S25" i="5"/>
  <c r="T25" i="5" s="1"/>
  <c r="H20" i="12" l="1"/>
  <c r="L27" i="5"/>
  <c r="Q27" i="5"/>
  <c r="I27" i="5"/>
  <c r="P27" i="5"/>
  <c r="H27" i="5"/>
  <c r="N27" i="5"/>
  <c r="K27" i="5"/>
  <c r="J27" i="5"/>
  <c r="M27" i="5"/>
  <c r="R27" i="5"/>
  <c r="O27" i="5"/>
  <c r="G27" i="5"/>
  <c r="W27" i="5"/>
  <c r="C28" i="5" a="1"/>
  <c r="C28" i="5" s="1"/>
  <c r="D28" i="5" a="1"/>
  <c r="D28" i="5" s="1"/>
  <c r="S26" i="5"/>
  <c r="T26" i="5" s="1"/>
  <c r="K19" i="12"/>
  <c r="I20" i="12" l="1"/>
  <c r="J20" i="12" s="1"/>
  <c r="O28" i="5"/>
  <c r="N28" i="5"/>
  <c r="M28" i="5"/>
  <c r="L28" i="5"/>
  <c r="R28" i="5"/>
  <c r="J28" i="5"/>
  <c r="H28" i="5"/>
  <c r="Q28" i="5"/>
  <c r="I28" i="5"/>
  <c r="P28" i="5"/>
  <c r="G28" i="5"/>
  <c r="K28" i="5"/>
  <c r="W28" i="5"/>
  <c r="C29" i="5" a="1"/>
  <c r="C29" i="5" s="1"/>
  <c r="D29" i="5" a="1"/>
  <c r="D29" i="5" s="1"/>
  <c r="S27" i="5"/>
  <c r="T27" i="5" s="1"/>
  <c r="H21" i="12" l="1"/>
  <c r="Q29" i="5"/>
  <c r="I29" i="5"/>
  <c r="P29" i="5"/>
  <c r="H29" i="5"/>
  <c r="O29" i="5"/>
  <c r="G29" i="5"/>
  <c r="N29" i="5"/>
  <c r="L29" i="5"/>
  <c r="K29" i="5"/>
  <c r="R29" i="5"/>
  <c r="M29" i="5"/>
  <c r="J29" i="5"/>
  <c r="W29" i="5"/>
  <c r="S28" i="5"/>
  <c r="T28" i="5" s="1"/>
  <c r="K20" i="12"/>
  <c r="I21" i="12" l="1"/>
  <c r="J21" i="12" s="1"/>
  <c r="S29" i="5"/>
  <c r="T29" i="5" s="1"/>
  <c r="K21" i="12"/>
  <c r="H22" i="12" l="1"/>
  <c r="T3" i="5"/>
  <c r="I22" i="12" l="1"/>
  <c r="J22" i="12" s="1"/>
  <c r="U5" i="5"/>
  <c r="D4" i="4" s="1"/>
  <c r="L4" i="8" s="1"/>
  <c r="U6" i="5"/>
  <c r="E4" i="4" s="1"/>
  <c r="U7" i="5"/>
  <c r="F4" i="4" s="1"/>
  <c r="U8" i="5"/>
  <c r="G4" i="4" s="1"/>
  <c r="U9" i="5"/>
  <c r="H4" i="4" s="1"/>
  <c r="U10" i="5"/>
  <c r="D5" i="4" s="1"/>
  <c r="U11" i="5"/>
  <c r="E5" i="4" s="1"/>
  <c r="L5" i="8" s="1"/>
  <c r="U12" i="5"/>
  <c r="F5" i="4" s="1"/>
  <c r="U13" i="5"/>
  <c r="G5" i="4" s="1"/>
  <c r="U14" i="5"/>
  <c r="H5" i="4" s="1"/>
  <c r="U15" i="5"/>
  <c r="D6" i="4" s="1"/>
  <c r="U17" i="5"/>
  <c r="F6" i="4" s="1"/>
  <c r="L6" i="8" s="1"/>
  <c r="U16" i="5"/>
  <c r="E6" i="4" s="1"/>
  <c r="U18" i="5"/>
  <c r="G6" i="4" s="1"/>
  <c r="U19" i="5"/>
  <c r="H6" i="4" s="1"/>
  <c r="U21" i="5"/>
  <c r="E7" i="4" s="1"/>
  <c r="U20" i="5"/>
  <c r="U22" i="5"/>
  <c r="U23" i="5"/>
  <c r="U24" i="5"/>
  <c r="H7" i="4" s="1"/>
  <c r="U25" i="5"/>
  <c r="D8" i="4" s="1"/>
  <c r="U26" i="5"/>
  <c r="U27" i="5"/>
  <c r="U28" i="5"/>
  <c r="G8" i="4" s="1"/>
  <c r="U29" i="5"/>
  <c r="H23" i="12" l="1"/>
  <c r="F8" i="4"/>
  <c r="E8" i="4"/>
  <c r="E9" i="4" s="1"/>
  <c r="G7" i="4"/>
  <c r="L7" i="8" s="1"/>
  <c r="F7" i="4"/>
  <c r="H8" i="4"/>
  <c r="L8" i="8" s="1"/>
  <c r="D7" i="4"/>
  <c r="I5" i="4"/>
  <c r="B5" i="8" s="1"/>
  <c r="I6" i="4"/>
  <c r="B6" i="8" s="1"/>
  <c r="I4" i="4"/>
  <c r="B4" i="8" s="1"/>
  <c r="K22" i="12"/>
  <c r="I23" i="12" l="1"/>
  <c r="L9" i="8"/>
  <c r="G9" i="4"/>
  <c r="H9" i="4"/>
  <c r="C12" i="2"/>
  <c r="F9" i="4"/>
  <c r="I7" i="4"/>
  <c r="B7" i="8" s="1"/>
  <c r="D9" i="4"/>
  <c r="I8" i="4"/>
  <c r="B8" i="8" s="1"/>
  <c r="C9" i="2"/>
  <c r="C15" i="2" s="1"/>
  <c r="K23" i="12"/>
  <c r="C8" i="12" l="1"/>
  <c r="J23" i="12"/>
  <c r="Q3" i="8"/>
  <c r="D4" i="8" s="1" a="1"/>
  <c r="D4" i="8" s="1"/>
  <c r="E4" i="8" s="1"/>
  <c r="M8" i="8"/>
  <c r="M5" i="8"/>
  <c r="M6" i="8"/>
  <c r="M4" i="8"/>
  <c r="G4" i="8" a="1"/>
  <c r="M7" i="8"/>
  <c r="C13" i="2"/>
  <c r="C14" i="2"/>
  <c r="C16" i="2"/>
  <c r="L3" i="12" l="1"/>
  <c r="M3" i="12" s="1"/>
  <c r="L4" i="12"/>
  <c r="L6" i="12"/>
  <c r="L5" i="12"/>
  <c r="L7" i="12"/>
  <c r="L8" i="12"/>
  <c r="L9" i="12"/>
  <c r="L10" i="12"/>
  <c r="L11" i="12"/>
  <c r="L12" i="12"/>
  <c r="L13" i="12"/>
  <c r="L14" i="12"/>
  <c r="L15" i="12"/>
  <c r="L16" i="12"/>
  <c r="L17" i="12"/>
  <c r="L18" i="12"/>
  <c r="L19" i="12"/>
  <c r="L20" i="12"/>
  <c r="L21" i="12"/>
  <c r="L22" i="12"/>
  <c r="L23" i="12"/>
  <c r="D8" i="8" a="1"/>
  <c r="D8" i="8" s="1"/>
  <c r="D7" i="8" a="1"/>
  <c r="D7" i="8" s="1"/>
  <c r="E7" i="8" s="1"/>
  <c r="D6" i="8" a="1"/>
  <c r="D6" i="8" s="1"/>
  <c r="E6" i="8" s="1"/>
  <c r="D5" i="8" a="1"/>
  <c r="D5" i="8" s="1"/>
  <c r="E5" i="8" s="1"/>
  <c r="G7" i="8"/>
  <c r="G6" i="8"/>
  <c r="G5" i="8"/>
  <c r="G8" i="8"/>
  <c r="G4" i="8"/>
  <c r="E8" i="8"/>
  <c r="M4" i="12" l="1"/>
  <c r="M5" i="12" s="1"/>
  <c r="M6" i="12" s="1"/>
  <c r="M7" i="12" s="1"/>
  <c r="M8" i="12" s="1"/>
  <c r="M9" i="12" s="1"/>
  <c r="M10" i="12" s="1"/>
  <c r="M11" i="12" s="1"/>
  <c r="M12" i="12" s="1"/>
  <c r="M13" i="12" s="1"/>
  <c r="M14" i="12" s="1"/>
  <c r="M15" i="12" s="1"/>
  <c r="M16" i="12" s="1"/>
  <c r="M17" i="12" s="1"/>
  <c r="M18" i="12" s="1"/>
  <c r="M19" i="12" s="1"/>
  <c r="M20" i="12" s="1"/>
  <c r="M21" i="12" s="1"/>
  <c r="M22" i="12" s="1"/>
  <c r="M23" i="12" s="1"/>
  <c r="Q5" i="8"/>
  <c r="V9" i="8" s="1"/>
  <c r="Q4" i="8"/>
  <c r="N3" i="12" l="1"/>
  <c r="N4" i="12"/>
  <c r="N5" i="12"/>
  <c r="N6" i="12"/>
  <c r="N7" i="12"/>
  <c r="N8" i="12"/>
  <c r="N9" i="12"/>
  <c r="N10" i="12"/>
  <c r="N11" i="12"/>
  <c r="N12" i="12"/>
  <c r="N13" i="12"/>
  <c r="N14" i="12"/>
  <c r="N15" i="12"/>
  <c r="N16" i="12"/>
  <c r="N17" i="12"/>
  <c r="N18" i="12"/>
  <c r="N19" i="12"/>
  <c r="N20" i="12"/>
  <c r="N21" i="12"/>
  <c r="N23" i="12"/>
  <c r="N22" i="12"/>
  <c r="V5" i="8"/>
  <c r="V4" i="8"/>
  <c r="V7" i="8"/>
  <c r="V8" i="8"/>
  <c r="V6" i="8"/>
  <c r="I8" i="8"/>
  <c r="I5" i="8"/>
  <c r="I7" i="8"/>
  <c r="I6" i="8"/>
  <c r="I4" i="8"/>
  <c r="N24" i="12" l="1"/>
  <c r="O10" i="12" s="1"/>
  <c r="J8" i="8"/>
  <c r="N8" i="8"/>
  <c r="J7" i="8"/>
  <c r="N7" i="8"/>
  <c r="J6" i="8"/>
  <c r="N6" i="8"/>
  <c r="J5" i="8"/>
  <c r="N5" i="8"/>
  <c r="O11" i="12" l="1"/>
  <c r="O13" i="12"/>
  <c r="O21" i="12"/>
  <c r="O6" i="12"/>
  <c r="O4" i="12"/>
  <c r="O14" i="12"/>
  <c r="O9" i="12"/>
  <c r="O5" i="12"/>
  <c r="O18" i="12"/>
  <c r="O7" i="12"/>
  <c r="O19" i="12"/>
  <c r="O15" i="12"/>
  <c r="O8" i="12"/>
  <c r="O16" i="12"/>
  <c r="O23" i="12"/>
  <c r="O12" i="12"/>
  <c r="O17" i="12"/>
  <c r="O20" i="12"/>
  <c r="O22" i="12"/>
  <c r="O3" i="12"/>
  <c r="P3" i="12" l="1"/>
  <c r="P4" i="12" s="1"/>
  <c r="P5" i="12" s="1"/>
  <c r="P6" i="12" s="1"/>
  <c r="P7" i="12" s="1"/>
  <c r="P8" i="12" s="1"/>
  <c r="P9" i="12" s="1"/>
  <c r="P10" i="12" s="1"/>
  <c r="P11" i="12" s="1"/>
  <c r="P12" i="12" s="1"/>
  <c r="P13" i="12" s="1"/>
  <c r="P14" i="12" s="1"/>
  <c r="P15" i="12" s="1"/>
  <c r="P16" i="12" s="1"/>
  <c r="P17" i="12" s="1"/>
  <c r="P18" i="12" s="1"/>
  <c r="P19" i="12" s="1"/>
  <c r="P20" i="12" s="1"/>
  <c r="P21" i="12" s="1"/>
  <c r="P22" i="12" s="1"/>
  <c r="P23" i="12" s="1"/>
  <c r="J4" i="8" l="1"/>
  <c r="Q6" i="8" s="1"/>
  <c r="N4" i="8"/>
  <c r="Q7" i="8" s="1"/>
  <c r="Q8" i="8" l="1"/>
  <c r="W9" i="8" l="1"/>
  <c r="Y9" i="8" s="1"/>
  <c r="W6" i="8"/>
  <c r="Y6" i="8" s="1"/>
  <c r="W4" i="8"/>
  <c r="Y4" i="8" s="1"/>
  <c r="W5" i="8"/>
  <c r="Y5" i="8" s="1"/>
  <c r="W7" i="8"/>
  <c r="Y7" i="8" s="1"/>
  <c r="W8" i="8"/>
  <c r="Y8" i="8" s="1"/>
  <c r="Z15" i="8" l="1" a="1"/>
  <c r="Z15" i="8" s="1"/>
  <c r="AE15" i="8" l="1"/>
  <c r="AD15" i="8"/>
  <c r="AC15" i="8"/>
  <c r="AB15" i="8"/>
  <c r="AA1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E7" authorId="0" shapeId="0" xr:uid="{9DFC1F81-87B0-469D-8B56-811E60200BE5}">
      <text>
        <r>
          <rPr>
            <sz val="8"/>
            <color rgb="FF000000"/>
            <rFont val="Tahoma"/>
            <family val="2"/>
          </rPr>
          <t>Variable cell</t>
        </r>
      </text>
    </comment>
    <comment ref="E8" authorId="0" shapeId="0" xr:uid="{AA946F2E-99FA-4E9C-914D-F5575E1C07DF}">
      <text>
        <r>
          <rPr>
            <sz val="8"/>
            <color indexed="81"/>
            <rFont val="Tahoma"/>
            <family val="2"/>
          </rPr>
          <t>Variable cell</t>
        </r>
      </text>
    </comment>
    <comment ref="E9" authorId="0" shapeId="0" xr:uid="{0F20F87F-EC43-4849-9E98-8D4074289A0F}">
      <text>
        <r>
          <rPr>
            <sz val="8"/>
            <color indexed="81"/>
            <rFont val="Tahoma"/>
            <family val="2"/>
          </rPr>
          <t>Variable cell</t>
        </r>
      </text>
    </comment>
    <comment ref="E10" authorId="0" shapeId="0" xr:uid="{0DCFE873-6142-452D-8E9E-318772B85BE7}">
      <text>
        <r>
          <rPr>
            <sz val="8"/>
            <color rgb="FF000000"/>
            <rFont val="Tahoma"/>
            <family val="2"/>
          </rPr>
          <t>Variable cell</t>
        </r>
      </text>
    </comment>
    <comment ref="E11" authorId="0" shapeId="0" xr:uid="{A0F0F45C-DC47-443A-826A-671354AD7B26}">
      <text>
        <r>
          <rPr>
            <sz val="8"/>
            <color indexed="81"/>
            <rFont val="Tahoma"/>
            <family val="2"/>
          </rPr>
          <t>Variable cell</t>
        </r>
      </text>
    </comment>
    <comment ref="E12" authorId="0" shapeId="0" xr:uid="{66A8E2E8-7F7D-4B69-8FB4-5E7339A0CFDC}">
      <text>
        <r>
          <rPr>
            <sz val="8"/>
            <color indexed="81"/>
            <rFont val="Tahoma"/>
            <family val="2"/>
          </rPr>
          <t>Variable cell</t>
        </r>
      </text>
    </comment>
    <comment ref="E13" authorId="0" shapeId="0" xr:uid="{956D6A24-E05C-4506-B05E-BA3E0522646B}">
      <text>
        <r>
          <rPr>
            <sz val="8"/>
            <color indexed="81"/>
            <rFont val="Tahoma"/>
            <family val="2"/>
          </rPr>
          <t>Variable cell</t>
        </r>
      </text>
    </comment>
    <comment ref="E14" authorId="0" shapeId="0" xr:uid="{DD780B33-36F1-4E5C-A195-598FAB7AEBDA}">
      <text>
        <r>
          <rPr>
            <sz val="8"/>
            <color indexed="81"/>
            <rFont val="Tahoma"/>
            <family val="2"/>
          </rPr>
          <t>Variable cell</t>
        </r>
      </text>
    </comment>
    <comment ref="E15" authorId="0" shapeId="0" xr:uid="{9139ED49-ECFC-456F-B358-A6B0192C0B18}">
      <text>
        <r>
          <rPr>
            <sz val="8"/>
            <color indexed="81"/>
            <rFont val="Tahoma"/>
            <family val="2"/>
          </rPr>
          <t>Variable cell</t>
        </r>
      </text>
    </comment>
    <comment ref="E16" authorId="0" shapeId="0" xr:uid="{F4C9B417-5A37-4561-A32C-4BB17F58BD3F}">
      <text>
        <r>
          <rPr>
            <sz val="8"/>
            <color indexed="81"/>
            <rFont val="Tahoma"/>
            <family val="2"/>
          </rPr>
          <t>Variable cell</t>
        </r>
      </text>
    </comment>
    <comment ref="E17" authorId="0" shapeId="0" xr:uid="{1B898CB2-9935-4E9A-A81E-EB75D429281B}">
      <text>
        <r>
          <rPr>
            <sz val="8"/>
            <color indexed="81"/>
            <rFont val="Tahoma"/>
            <family val="2"/>
          </rPr>
          <t>Variable cell</t>
        </r>
      </text>
    </comment>
    <comment ref="E18" authorId="0" shapeId="0" xr:uid="{E488F486-1B7F-43D9-97AF-F50A513524B8}">
      <text>
        <r>
          <rPr>
            <sz val="8"/>
            <color indexed="81"/>
            <rFont val="Tahoma"/>
            <family val="2"/>
          </rPr>
          <t>Variable cell</t>
        </r>
      </text>
    </comment>
    <comment ref="E19" authorId="0" shapeId="0" xr:uid="{7A805568-FD2D-40E6-88FB-D04DDC113EC6}">
      <text>
        <r>
          <rPr>
            <sz val="8"/>
            <color rgb="FF000000"/>
            <rFont val="Tahoma"/>
            <family val="2"/>
          </rPr>
          <t>Objective cell</t>
        </r>
      </text>
    </comment>
    <comment ref="H19" authorId="0" shapeId="0" xr:uid="{3382195F-5A25-4358-A1A3-3A632103C0C3}">
      <text>
        <r>
          <rPr>
            <sz val="8"/>
            <color rgb="FF000000"/>
            <rFont val="Tahoma"/>
            <family val="2"/>
          </rPr>
          <t>Constraint cell</t>
        </r>
      </text>
    </comment>
    <comment ref="I19" authorId="0" shapeId="0" xr:uid="{0AF82637-5C01-48F7-9F7D-51CFFCF22E0E}">
      <text>
        <r>
          <rPr>
            <sz val="8"/>
            <color indexed="81"/>
            <rFont val="Tahoma"/>
            <family val="2"/>
          </rPr>
          <t>Constraint cell</t>
        </r>
      </text>
    </comment>
    <comment ref="J19" authorId="0" shapeId="0" xr:uid="{217D4F8C-23EC-4662-B3E2-D23F6F6EE5D1}">
      <text>
        <r>
          <rPr>
            <sz val="8"/>
            <color indexed="81"/>
            <rFont val="Tahoma"/>
            <family val="2"/>
          </rPr>
          <t>Constraint cell</t>
        </r>
      </text>
    </comment>
    <comment ref="K19" authorId="0" shapeId="0" xr:uid="{95867AA6-0C30-4A18-B8AC-16199E8080AA}">
      <text>
        <r>
          <rPr>
            <sz val="8"/>
            <color indexed="81"/>
            <rFont val="Tahoma"/>
            <family val="2"/>
          </rPr>
          <t>Constraint cell</t>
        </r>
      </text>
    </comment>
    <comment ref="L19" authorId="0" shapeId="0" xr:uid="{69A61069-693B-4C65-9833-B4DD1F0001D5}">
      <text>
        <r>
          <rPr>
            <sz val="8"/>
            <color indexed="81"/>
            <rFont val="Tahoma"/>
            <family val="2"/>
          </rPr>
          <t>Constraint cell</t>
        </r>
      </text>
    </comment>
    <comment ref="M19" authorId="0" shapeId="0" xr:uid="{919BFA35-D265-4C38-B047-A8AB3269BE06}">
      <text>
        <r>
          <rPr>
            <sz val="8"/>
            <color indexed="81"/>
            <rFont val="Tahoma"/>
            <family val="2"/>
          </rPr>
          <t>Constraint cell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<sst xmlns="http://schemas.openxmlformats.org/spreadsheetml/2006/main" count="284" uniqueCount="175">
  <si>
    <t>min</t>
  </si>
  <si>
    <t>max</t>
  </si>
  <si>
    <t>IQR</t>
  </si>
  <si>
    <t>mean</t>
  </si>
  <si>
    <t>sd</t>
  </si>
  <si>
    <t>sigma</t>
  </si>
  <si>
    <t>25-fence</t>
  </si>
  <si>
    <t>75-fence</t>
  </si>
  <si>
    <t>sigma_h</t>
  </si>
  <si>
    <t>c6:</t>
  </si>
  <si>
    <t>L5:</t>
  </si>
  <si>
    <t>M5:</t>
  </si>
  <si>
    <t>Pr(sigma)</t>
  </si>
  <si>
    <t>Pr(d | h)</t>
  </si>
  <si>
    <t>sum</t>
  </si>
  <si>
    <t>Pr(h | d)</t>
  </si>
  <si>
    <t>key</t>
  </si>
  <si>
    <t>AF4:</t>
  </si>
  <si>
    <t>D5:</t>
  </si>
  <si>
    <t>F9:</t>
  </si>
  <si>
    <t>I5:</t>
  </si>
  <si>
    <t>D3:</t>
  </si>
  <si>
    <t>C4:</t>
  </si>
  <si>
    <t>c13:</t>
  </si>
  <si>
    <t>C5:</t>
  </si>
  <si>
    <t>E5:</t>
  </si>
  <si>
    <t>F5:</t>
  </si>
  <si>
    <t>G4:</t>
  </si>
  <si>
    <t>S5:</t>
  </si>
  <si>
    <t>T5:</t>
  </si>
  <si>
    <t>U5:</t>
  </si>
  <si>
    <t>T3:</t>
  </si>
  <si>
    <t>h = hypotheses</t>
  </si>
  <si>
    <t>d = data = wages</t>
  </si>
  <si>
    <t>claims</t>
  </si>
  <si>
    <t>xi</t>
  </si>
  <si>
    <t>xi_h</t>
  </si>
  <si>
    <t>mu_thres</t>
  </si>
  <si>
    <t>u</t>
  </si>
  <si>
    <t>title</t>
  </si>
  <si>
    <t>x-axis</t>
  </si>
  <si>
    <t>y-axis</t>
  </si>
  <si>
    <t>Time Series of Workers Compensation Claims</t>
  </si>
  <si>
    <t>year</t>
  </si>
  <si>
    <t>Mean Excess Over Threshold</t>
  </si>
  <si>
    <t>thresholds</t>
  </si>
  <si>
    <t>mean excess over threshold</t>
  </si>
  <si>
    <t>threshold u grid</t>
  </si>
  <si>
    <t>intervals</t>
  </si>
  <si>
    <t>width</t>
  </si>
  <si>
    <t>max Pr(xi, sigma)</t>
  </si>
  <si>
    <t>xi_max</t>
  </si>
  <si>
    <t>sigma_max</t>
  </si>
  <si>
    <t>gross_claims</t>
  </si>
  <si>
    <t>lowest to highest</t>
  </si>
  <si>
    <t>F4:</t>
  </si>
  <si>
    <t>G16:</t>
  </si>
  <si>
    <t>G17:</t>
  </si>
  <si>
    <t>G18:</t>
  </si>
  <si>
    <t>V16:</t>
  </si>
  <si>
    <t>D6:</t>
  </si>
  <si>
    <t>C6:</t>
  </si>
  <si>
    <t>skew</t>
  </si>
  <si>
    <t>kurtosis</t>
  </si>
  <si>
    <t>count</t>
  </si>
  <si>
    <t>Pr(xi)</t>
  </si>
  <si>
    <t>cov(xi, sigma)</t>
  </si>
  <si>
    <t>mu_xi</t>
  </si>
  <si>
    <t>sig_sigma</t>
  </si>
  <si>
    <t>mu_sigma</t>
  </si>
  <si>
    <t>sig_xi</t>
  </si>
  <si>
    <t>rho</t>
  </si>
  <si>
    <t>dev</t>
  </si>
  <si>
    <t>dev^2</t>
  </si>
  <si>
    <t>Pr(xi_i,sigma_i)</t>
  </si>
  <si>
    <t>normalized</t>
  </si>
  <si>
    <t>dev_xi*dev_sigma</t>
  </si>
  <si>
    <t>Claims (000)</t>
  </si>
  <si>
    <t>fund</t>
  </si>
  <si>
    <t>inflow</t>
  </si>
  <si>
    <t>outflow</t>
  </si>
  <si>
    <t>return</t>
  </si>
  <si>
    <t>A</t>
  </si>
  <si>
    <t>B</t>
  </si>
  <si>
    <t>C</t>
  </si>
  <si>
    <t>D</t>
  </si>
  <si>
    <t>year of cash flow</t>
  </si>
  <si>
    <t>Y4:</t>
  </si>
  <si>
    <t>H4:</t>
  </si>
  <si>
    <t>I4:</t>
  </si>
  <si>
    <t>J4:</t>
  </si>
  <si>
    <t>L4:</t>
  </si>
  <si>
    <t>M4:</t>
  </si>
  <si>
    <t>N4:</t>
  </si>
  <si>
    <t>B4:</t>
  </si>
  <si>
    <t>D4:</t>
  </si>
  <si>
    <t>E4:</t>
  </si>
  <si>
    <t>sum_pr_xi_sigma</t>
  </si>
  <si>
    <t>T4:</t>
  </si>
  <si>
    <t>U4:</t>
  </si>
  <si>
    <t xml:space="preserve">Vegan Workers Insurance Fund </t>
  </si>
  <si>
    <t>year of casl flow</t>
  </si>
  <si>
    <t>cash flow per year</t>
  </si>
  <si>
    <t>capital</t>
  </si>
  <si>
    <t>capital invested in year 1</t>
  </si>
  <si>
    <t>surplus</t>
  </si>
  <si>
    <t>M</t>
  </si>
  <si>
    <t>claims_sim</t>
  </si>
  <si>
    <t>capital_yr1</t>
  </si>
  <si>
    <t>cut and paste into fund-allocation constraint</t>
  </si>
  <si>
    <t>copy and paste special values to fund-simulation</t>
  </si>
  <si>
    <t>E19:</t>
  </si>
  <si>
    <t>M19:</t>
  </si>
  <si>
    <t>M20:</t>
  </si>
  <si>
    <t>run</t>
  </si>
  <si>
    <t>interval</t>
  </si>
  <si>
    <t>begin</t>
  </si>
  <si>
    <t>end</t>
  </si>
  <si>
    <t>mid</t>
  </si>
  <si>
    <t>frequency</t>
  </si>
  <si>
    <t>relative frequency</t>
  </si>
  <si>
    <t>cumulative relative prequency</t>
  </si>
  <si>
    <t>y1-axis</t>
  </si>
  <si>
    <t>y2-axis</t>
  </si>
  <si>
    <t>mad</t>
  </si>
  <si>
    <t>skewness</t>
  </si>
  <si>
    <t>kurtosis (+3)</t>
  </si>
  <si>
    <t>G3:</t>
  </si>
  <si>
    <t>H3:</t>
  </si>
  <si>
    <t>I3:</t>
  </si>
  <si>
    <t>J3:</t>
  </si>
  <si>
    <t>K3:</t>
  </si>
  <si>
    <t>L3:</t>
  </si>
  <si>
    <t>M3:</t>
  </si>
  <si>
    <t>N3:</t>
  </si>
  <si>
    <t>K23:</t>
  </si>
  <si>
    <t>sim_list</t>
  </si>
  <si>
    <t>max_claim</t>
  </si>
  <si>
    <t>$ amount</t>
  </si>
  <si>
    <t>GPD pdf</t>
  </si>
  <si>
    <t>Raw GPD pmf</t>
  </si>
  <si>
    <t>sum_pmf</t>
  </si>
  <si>
    <t>N3</t>
  </si>
  <si>
    <t>O3</t>
  </si>
  <si>
    <t>N4</t>
  </si>
  <si>
    <t>claims_yr2</t>
  </si>
  <si>
    <t>GDF cdf</t>
  </si>
  <si>
    <t>capital_yr1_all</t>
  </si>
  <si>
    <t>list_final</t>
  </si>
  <si>
    <t>capital_yr1_short_term</t>
  </si>
  <si>
    <t>A_1_2_short_term</t>
  </si>
  <si>
    <t>A_1_2_all</t>
  </si>
  <si>
    <t>2. Sensitivity Analysis.</t>
  </si>
  <si>
    <t>3. Provisional Recommendations.</t>
  </si>
  <si>
    <t>Based on the scenario sensitivity analysis detail your recommendations concerning the funding of the self-insurance plan n the text box below.</t>
  </si>
  <si>
    <t>Vegan Workers Insurance Plan</t>
  </si>
  <si>
    <t>1. Model Development.</t>
  </si>
  <si>
    <t>Scenario 1. Use short (1 year) and long-term (multiple years) funding vehicles</t>
  </si>
  <si>
    <t>Scenario 2. Use only short-term (1 year) funding vehicles</t>
  </si>
  <si>
    <t>Go to the fund-allocation worksheet and run the optimization once to check that only fund A decisions are implemented.</t>
  </si>
  <si>
    <t>The results for scenario 1 are already deposited from another model in the fund-simulation-all worksheet. Locate the capital_yr1 column and name the range.</t>
  </si>
  <si>
    <t>In the text box below, describe the decisions, objective, and constraints for the short-term funding vehicle scenario.</t>
  </si>
  <si>
    <t>Compare and contrast the two funding sceenarios in the table below and describe your findings in the textbox to the right.</t>
  </si>
  <si>
    <t>(The Monte Carlo optimizaton results for scenario 1 are deposited in the fund-allocation-all-sim worksheet already.)</t>
  </si>
  <si>
    <t>In the fund-allocation worksheet run the model 100 times (this may take several minutes --you might  get a beverage!).</t>
  </si>
  <si>
    <t>The results will be deposited into the fund-simulation-short-term worksheet. Locate the capital_yr1 column of 100 runs and name the range.</t>
  </si>
  <si>
    <t>Model the scenario 2 funding vehicles by inserting starting inflows and ending outflows for one year terms only (A funds) using thte scenario 1 flows as a guide.</t>
  </si>
  <si>
    <t>Enter appropriate short-term flows in the yellow area. Leave the other flows blank.</t>
  </si>
  <si>
    <t>Write the named ranges of first year capital for the short-term scenario and the all-funding vehicles scenarios in the header.</t>
  </si>
  <si>
    <t>Compute the summary statistics  below the header using appropriate spreadsheet functions.</t>
  </si>
  <si>
    <t>Vegan Workers Insurance Fund</t>
  </si>
  <si>
    <t>Note: GPD stands for the Generalized Pareto Distribution.</t>
  </si>
  <si>
    <t>√</t>
  </si>
  <si>
    <t>√ I named it capital yr_1</t>
  </si>
  <si>
    <t>√ I named it capital yr_1_all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</si>
</sst>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164" formatCode="0.0000"/>
    <numFmt numFmtId="165" formatCode="0.000"/>
    <numFmt numFmtId="166" formatCode="0.000000"/>
    <numFmt numFmtId="167" formatCode="General_)"/>
    <numFmt numFmtId="168" formatCode="0.0%"/>
    <numFmt numFmtId="169" formatCode="&quot;$&quot;#,##0.000_);\(&quot;$&quot;#,##0.000\)"/>
    <numFmt numFmtId="170" formatCode="0.0"/>
  </numFmts>
  <fonts count="17"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8"/>
      <color theme="1"/>
      <name val="Calibri"/>
      <family val="2"/>
      <scheme val="minor"/>
    </font>
    <font>
      <sz val="10"/>
      <name val="Arial"/>
      <family val="2"/>
    </font>
    <font>
      <sz val="10"/>
      <color rgb="FF000000"/>
      <name val="Arial"/>
      <family val="2"/>
    </font>
    <font>
      <b/>
      <sz val="11"/>
      <name val="Arial"/>
      <family val="2"/>
    </font>
    <font>
      <sz val="9"/>
      <name val="Arial"/>
      <family val="2"/>
    </font>
    <font>
      <sz val="8"/>
      <color indexed="81"/>
      <name val="Tahoma"/>
      <family val="2"/>
    </font>
    <font>
      <sz val="8"/>
      <name val="Arial"/>
      <family val="2"/>
    </font>
    <font>
      <sz val="11"/>
      <color rgb="FF000000"/>
      <name val="Calibri"/>
      <family val="2"/>
    </font>
    <font>
      <b/>
      <sz val="12"/>
      <color theme="1"/>
      <name val="Calibri"/>
      <family val="2"/>
      <scheme val="minor"/>
    </font>
    <font>
      <b/>
      <sz val="14"/>
      <color theme="1"/>
      <name val="Calibri"/>
      <family val="2"/>
      <scheme val="minor"/>
    </font>
    <font>
      <b/>
      <sz val="16"/>
      <color theme="1"/>
      <name val="Calibri"/>
      <family val="2"/>
      <scheme val="minor"/>
    </font>
    <font>
      <sz val="8"/>
      <color rgb="FF000000"/>
      <name val="Tahoma"/>
      <family val="2"/>
    </font>
    <font>
      <b/>
      <sz val="18"/>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bottom style="double">
        <color indexed="64"/>
      </bottom>
      <diagonal/>
    </border>
  </borders>
  <cellStyleXfs count="3">
    <xf numFmtId="0" fontId="0" fillId="0" borderId="0"/>
    <xf numFmtId="167" fontId="5" fillId="0" borderId="0"/>
    <xf numFmtId="9" fontId="5" fillId="0" borderId="0" applyFont="0" applyFill="0" applyBorder="0" applyAlignment="0" applyProtection="0"/>
  </cellStyleXfs>
  <cellXfs count="225">
    <xf numFmtId="0" fontId="0" fillId="0" borderId="0" xfId="0"/>
    <xf numFmtId="0" fontId="0" fillId="2" borderId="1" xfId="0" applyFill="1" applyBorder="1" applyAlignment="1">
      <alignment horizontal="center"/>
    </xf>
    <xf numFmtId="0" fontId="0" fillId="0" borderId="2" xfId="0" applyBorder="1"/>
    <xf numFmtId="0" fontId="0" fillId="2" borderId="2" xfId="0" applyFill="1" applyBorder="1" applyAlignment="1">
      <alignment horizontal="center"/>
    </xf>
    <xf numFmtId="0" fontId="0" fillId="2" borderId="1" xfId="0" applyFill="1" applyBorder="1" applyAlignment="1">
      <alignment horizontal="right"/>
    </xf>
    <xf numFmtId="0" fontId="0" fillId="0" borderId="1" xfId="0" applyBorder="1"/>
    <xf numFmtId="0" fontId="0" fillId="2" borderId="1" xfId="0" applyFill="1" applyBorder="1"/>
    <xf numFmtId="9" fontId="0" fillId="2" borderId="2" xfId="0" applyNumberFormat="1" applyFill="1" applyBorder="1"/>
    <xf numFmtId="9" fontId="0" fillId="2" borderId="3" xfId="0" applyNumberFormat="1" applyFill="1" applyBorder="1"/>
    <xf numFmtId="9" fontId="0" fillId="2" borderId="4" xfId="0" applyNumberFormat="1" applyFill="1" applyBorder="1"/>
    <xf numFmtId="0" fontId="0" fillId="2" borderId="2" xfId="0" applyFill="1" applyBorder="1" applyAlignment="1">
      <alignment horizontal="right"/>
    </xf>
    <xf numFmtId="0" fontId="0" fillId="2" borderId="4" xfId="0" applyFill="1" applyBorder="1" applyAlignment="1">
      <alignment horizontal="right"/>
    </xf>
    <xf numFmtId="0" fontId="0" fillId="2" borderId="3" xfId="0" applyFill="1" applyBorder="1" applyAlignment="1">
      <alignment horizontal="right"/>
    </xf>
    <xf numFmtId="0" fontId="0" fillId="2" borderId="7" xfId="0" applyFill="1" applyBorder="1" applyAlignment="1">
      <alignment horizontal="right"/>
    </xf>
    <xf numFmtId="0" fontId="0" fillId="2" borderId="8" xfId="0" applyFill="1" applyBorder="1" applyAlignment="1">
      <alignment horizontal="right"/>
    </xf>
    <xf numFmtId="0" fontId="0" fillId="0" borderId="5" xfId="0" applyBorder="1"/>
    <xf numFmtId="0" fontId="0" fillId="0" borderId="6" xfId="0" applyBorder="1"/>
    <xf numFmtId="0" fontId="0" fillId="0" borderId="0" xfId="0" applyAlignment="1">
      <alignment horizontal="center"/>
    </xf>
    <xf numFmtId="2" fontId="0" fillId="2" borderId="0" xfId="0" applyNumberFormat="1" applyFill="1" applyAlignment="1">
      <alignment horizontal="center"/>
    </xf>
    <xf numFmtId="2" fontId="0" fillId="0" borderId="0" xfId="0" applyNumberFormat="1"/>
    <xf numFmtId="2" fontId="0" fillId="0" borderId="1" xfId="0" applyNumberFormat="1" applyBorder="1"/>
    <xf numFmtId="2" fontId="0" fillId="0" borderId="2" xfId="0" applyNumberFormat="1" applyBorder="1"/>
    <xf numFmtId="2" fontId="0" fillId="0" borderId="3" xfId="0" applyNumberFormat="1" applyBorder="1"/>
    <xf numFmtId="2" fontId="0" fillId="0" borderId="4" xfId="0" applyNumberFormat="1" applyBorder="1"/>
    <xf numFmtId="165" fontId="0" fillId="0" borderId="7" xfId="0" applyNumberFormat="1" applyBorder="1"/>
    <xf numFmtId="165" fontId="0" fillId="0" borderId="5" xfId="0" applyNumberFormat="1" applyBorder="1"/>
    <xf numFmtId="165" fontId="0" fillId="0" borderId="11" xfId="0" applyNumberFormat="1" applyBorder="1"/>
    <xf numFmtId="165" fontId="0" fillId="0" borderId="12" xfId="0" applyNumberFormat="1" applyBorder="1"/>
    <xf numFmtId="165" fontId="0" fillId="0" borderId="8" xfId="0" applyNumberFormat="1" applyBorder="1"/>
    <xf numFmtId="165" fontId="0" fillId="0" borderId="6" xfId="0" applyNumberFormat="1" applyBorder="1"/>
    <xf numFmtId="2" fontId="0" fillId="0" borderId="5" xfId="0" applyNumberFormat="1" applyBorder="1"/>
    <xf numFmtId="2" fontId="0" fillId="0" borderId="6" xfId="0" applyNumberFormat="1" applyBorder="1"/>
    <xf numFmtId="2" fontId="0" fillId="0" borderId="2" xfId="0" applyNumberFormat="1" applyBorder="1" applyAlignment="1">
      <alignment horizontal="right"/>
    </xf>
    <xf numFmtId="0" fontId="0" fillId="0" borderId="1" xfId="0" applyBorder="1" applyAlignment="1">
      <alignment horizontal="center"/>
    </xf>
    <xf numFmtId="0" fontId="0" fillId="0" borderId="7" xfId="0" applyBorder="1"/>
    <xf numFmtId="0" fontId="0" fillId="0" borderId="11" xfId="0" applyBorder="1"/>
    <xf numFmtId="0" fontId="0" fillId="0" borderId="12" xfId="0" applyBorder="1"/>
    <xf numFmtId="0" fontId="0" fillId="0" borderId="8" xfId="0" applyBorder="1"/>
    <xf numFmtId="164" fontId="0" fillId="0" borderId="7" xfId="0" applyNumberFormat="1" applyBorder="1"/>
    <xf numFmtId="164" fontId="0" fillId="0" borderId="0" xfId="0" applyNumberFormat="1" applyBorder="1"/>
    <xf numFmtId="164" fontId="0" fillId="0" borderId="14" xfId="0" applyNumberFormat="1" applyBorder="1"/>
    <xf numFmtId="11" fontId="0" fillId="0" borderId="1" xfId="0" applyNumberFormat="1" applyBorder="1" applyAlignment="1">
      <alignment horizontal="center"/>
    </xf>
    <xf numFmtId="2" fontId="0" fillId="0" borderId="1" xfId="0" applyNumberFormat="1" applyBorder="1" applyAlignment="1">
      <alignment horizontal="center"/>
    </xf>
    <xf numFmtId="11" fontId="0" fillId="0" borderId="7" xfId="0" applyNumberFormat="1" applyFill="1" applyBorder="1"/>
    <xf numFmtId="11" fontId="0" fillId="0" borderId="5" xfId="0" applyNumberFormat="1" applyBorder="1"/>
    <xf numFmtId="11" fontId="0" fillId="0" borderId="11" xfId="0" applyNumberFormat="1" applyFill="1" applyBorder="1"/>
    <xf numFmtId="11" fontId="0" fillId="0" borderId="12" xfId="0" applyNumberFormat="1" applyBorder="1"/>
    <xf numFmtId="11" fontId="0" fillId="0" borderId="8" xfId="0" applyNumberFormat="1" applyFill="1" applyBorder="1"/>
    <xf numFmtId="11" fontId="0" fillId="0" borderId="6" xfId="0" applyNumberFormat="1" applyBorder="1"/>
    <xf numFmtId="164" fontId="0" fillId="0" borderId="2" xfId="0" applyNumberFormat="1" applyBorder="1"/>
    <xf numFmtId="164" fontId="0" fillId="0" borderId="3" xfId="0" applyNumberFormat="1" applyBorder="1"/>
    <xf numFmtId="164" fontId="0" fillId="0" borderId="4" xfId="0" applyNumberFormat="1" applyBorder="1"/>
    <xf numFmtId="0" fontId="1" fillId="2"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2" fontId="0" fillId="0" borderId="9" xfId="0" applyNumberFormat="1" applyBorder="1"/>
    <xf numFmtId="0" fontId="2" fillId="0" borderId="0" xfId="0" applyFont="1"/>
    <xf numFmtId="11" fontId="2" fillId="0" borderId="1" xfId="0" applyNumberFormat="1" applyFont="1" applyFill="1" applyBorder="1"/>
    <xf numFmtId="0" fontId="4" fillId="0" borderId="1" xfId="0" applyFont="1" applyBorder="1" applyAlignment="1">
      <alignment horizontal="center"/>
    </xf>
    <xf numFmtId="0" fontId="3" fillId="0" borderId="1" xfId="0" applyFont="1" applyBorder="1"/>
    <xf numFmtId="0" fontId="0" fillId="0" borderId="1" xfId="0" applyBorder="1" applyAlignment="1">
      <alignment horizontal="center"/>
    </xf>
    <xf numFmtId="165" fontId="0" fillId="0" borderId="1" xfId="0" applyNumberFormat="1" applyBorder="1"/>
    <xf numFmtId="164" fontId="0" fillId="0" borderId="1" xfId="0" applyNumberFormat="1" applyBorder="1"/>
    <xf numFmtId="166" fontId="0" fillId="0" borderId="7" xfId="0" applyNumberFormat="1" applyBorder="1"/>
    <xf numFmtId="166" fontId="0" fillId="0" borderId="15" xfId="0" applyNumberFormat="1" applyBorder="1"/>
    <xf numFmtId="166" fontId="0" fillId="0" borderId="5" xfId="0" applyNumberFormat="1" applyBorder="1"/>
    <xf numFmtId="166" fontId="0" fillId="0" borderId="11" xfId="0" applyNumberFormat="1" applyBorder="1"/>
    <xf numFmtId="166" fontId="0" fillId="0" borderId="0" xfId="0" applyNumberFormat="1" applyBorder="1"/>
    <xf numFmtId="166" fontId="0" fillId="0" borderId="12" xfId="0" applyNumberFormat="1" applyBorder="1"/>
    <xf numFmtId="166" fontId="0" fillId="0" borderId="8" xfId="0" applyNumberFormat="1" applyBorder="1"/>
    <xf numFmtId="166" fontId="0" fillId="0" borderId="14" xfId="0" applyNumberFormat="1" applyBorder="1"/>
    <xf numFmtId="166" fontId="0" fillId="0" borderId="6" xfId="0" applyNumberFormat="1" applyBorder="1"/>
    <xf numFmtId="166" fontId="0" fillId="0" borderId="10" xfId="0" applyNumberFormat="1" applyBorder="1"/>
    <xf numFmtId="165" fontId="0" fillId="0" borderId="0" xfId="0" applyNumberFormat="1"/>
    <xf numFmtId="165" fontId="0" fillId="0" borderId="1" xfId="0" applyNumberFormat="1" applyBorder="1" applyAlignment="1">
      <alignment horizontal="center"/>
    </xf>
    <xf numFmtId="0" fontId="0" fillId="0" borderId="0" xfId="0" applyAlignment="1">
      <alignment horizontal="right"/>
    </xf>
    <xf numFmtId="0" fontId="0" fillId="0" borderId="4" xfId="0" applyBorder="1"/>
    <xf numFmtId="2" fontId="0" fillId="3" borderId="2" xfId="0" applyNumberFormat="1" applyFill="1" applyBorder="1" applyAlignment="1">
      <alignment horizontal="right"/>
    </xf>
    <xf numFmtId="2" fontId="0" fillId="3" borderId="2" xfId="0" applyNumberFormat="1" applyFill="1" applyBorder="1"/>
    <xf numFmtId="2" fontId="0" fillId="3" borderId="4" xfId="0" applyNumberFormat="1" applyFill="1" applyBorder="1"/>
    <xf numFmtId="0" fontId="3" fillId="0" borderId="1" xfId="0" applyFont="1" applyBorder="1" applyAlignment="1">
      <alignment wrapText="1"/>
    </xf>
    <xf numFmtId="0" fontId="0" fillId="0" borderId="1" xfId="0" applyBorder="1" applyAlignment="1">
      <alignment wrapText="1"/>
    </xf>
    <xf numFmtId="0" fontId="4" fillId="0" borderId="1" xfId="0" applyFont="1" applyBorder="1"/>
    <xf numFmtId="0" fontId="4" fillId="0" borderId="1" xfId="0" applyFont="1" applyBorder="1" applyAlignment="1">
      <alignment vertical="center"/>
    </xf>
    <xf numFmtId="0" fontId="0" fillId="0" borderId="1" xfId="0" applyBorder="1" applyAlignment="1">
      <alignment horizontal="right"/>
    </xf>
    <xf numFmtId="2" fontId="0" fillId="4" borderId="9" xfId="0" applyNumberFormat="1" applyFill="1" applyBorder="1"/>
    <xf numFmtId="166" fontId="0" fillId="4" borderId="11" xfId="0" applyNumberFormat="1" applyFill="1" applyBorder="1"/>
    <xf numFmtId="166" fontId="0" fillId="4" borderId="0" xfId="0" applyNumberFormat="1" applyFill="1" applyBorder="1"/>
    <xf numFmtId="166" fontId="0" fillId="4" borderId="12" xfId="0" applyNumberFormat="1" applyFill="1" applyBorder="1"/>
    <xf numFmtId="166" fontId="0" fillId="4" borderId="10" xfId="0" applyNumberFormat="1" applyFill="1" applyBorder="1"/>
    <xf numFmtId="0" fontId="0" fillId="4" borderId="2" xfId="0" applyFill="1" applyBorder="1"/>
    <xf numFmtId="166" fontId="0" fillId="4" borderId="15" xfId="0" applyNumberFormat="1" applyFill="1" applyBorder="1"/>
    <xf numFmtId="166" fontId="0" fillId="4" borderId="14" xfId="0" applyNumberFormat="1" applyFill="1" applyBorder="1"/>
    <xf numFmtId="164" fontId="0" fillId="4" borderId="4" xfId="0" applyNumberFormat="1" applyFill="1" applyBorder="1"/>
    <xf numFmtId="0" fontId="3" fillId="0" borderId="0" xfId="0" applyFont="1" applyAlignment="1">
      <alignment vertical="center" wrapText="1"/>
    </xf>
    <xf numFmtId="0" fontId="3" fillId="0" borderId="1" xfId="0" applyFont="1" applyBorder="1" applyAlignment="1">
      <alignment vertical="center" wrapText="1"/>
    </xf>
    <xf numFmtId="0" fontId="0" fillId="0" borderId="1" xfId="0" applyBorder="1" applyAlignment="1">
      <alignment vertical="center"/>
    </xf>
    <xf numFmtId="0" fontId="0" fillId="0" borderId="1" xfId="0" applyBorder="1" applyAlignment="1">
      <alignment vertical="center" wrapText="1"/>
    </xf>
    <xf numFmtId="0" fontId="0" fillId="0" borderId="0" xfId="0" applyBorder="1" applyAlignment="1">
      <alignment vertical="center" wrapText="1"/>
    </xf>
    <xf numFmtId="0" fontId="0" fillId="0" borderId="3" xfId="0" applyBorder="1"/>
    <xf numFmtId="166" fontId="0" fillId="0" borderId="0" xfId="0" applyNumberFormat="1"/>
    <xf numFmtId="2" fontId="0" fillId="0" borderId="0" xfId="0" applyNumberFormat="1" applyBorder="1"/>
    <xf numFmtId="0" fontId="0" fillId="0" borderId="14" xfId="0" applyBorder="1"/>
    <xf numFmtId="0" fontId="0" fillId="0" borderId="1" xfId="0" applyBorder="1" applyAlignment="1">
      <alignment horizontal="center" vertical="center"/>
    </xf>
    <xf numFmtId="2" fontId="0" fillId="0" borderId="14" xfId="0" applyNumberFormat="1" applyBorder="1"/>
    <xf numFmtId="164" fontId="0" fillId="0" borderId="0" xfId="0" applyNumberFormat="1"/>
    <xf numFmtId="167" fontId="5" fillId="4" borderId="1" xfId="1" applyFill="1" applyBorder="1" applyAlignment="1">
      <alignment horizontal="center"/>
    </xf>
    <xf numFmtId="5" fontId="5" fillId="0" borderId="1" xfId="1" applyNumberFormat="1" applyBorder="1" applyAlignment="1">
      <alignment horizontal="center"/>
    </xf>
    <xf numFmtId="167" fontId="5" fillId="4" borderId="0" xfId="1" applyFill="1"/>
    <xf numFmtId="167" fontId="5" fillId="0" borderId="2" xfId="1" applyBorder="1" applyAlignment="1">
      <alignment horizontal="center"/>
    </xf>
    <xf numFmtId="167" fontId="5" fillId="0" borderId="7" xfId="1" applyBorder="1" applyAlignment="1">
      <alignment horizontal="center"/>
    </xf>
    <xf numFmtId="167" fontId="5" fillId="0" borderId="5" xfId="1" applyBorder="1" applyAlignment="1">
      <alignment horizontal="center"/>
    </xf>
    <xf numFmtId="168" fontId="5" fillId="0" borderId="2" xfId="2" applyNumberFormat="1" applyFont="1" applyBorder="1" applyAlignment="1" applyProtection="1">
      <alignment horizontal="center"/>
    </xf>
    <xf numFmtId="167" fontId="5" fillId="0" borderId="3" xfId="1" applyBorder="1" applyAlignment="1">
      <alignment horizontal="center"/>
    </xf>
    <xf numFmtId="167" fontId="5" fillId="0" borderId="11" xfId="1" applyBorder="1" applyAlignment="1">
      <alignment horizontal="center"/>
    </xf>
    <xf numFmtId="167" fontId="5" fillId="0" borderId="12" xfId="1" applyBorder="1" applyAlignment="1">
      <alignment horizontal="center"/>
    </xf>
    <xf numFmtId="168" fontId="5" fillId="0" borderId="3" xfId="2" applyNumberFormat="1" applyFont="1" applyBorder="1" applyAlignment="1" applyProtection="1">
      <alignment horizontal="center"/>
    </xf>
    <xf numFmtId="167" fontId="5" fillId="0" borderId="4" xfId="1" applyBorder="1" applyAlignment="1">
      <alignment horizontal="center"/>
    </xf>
    <xf numFmtId="167" fontId="5" fillId="0" borderId="8" xfId="1" applyBorder="1" applyAlignment="1">
      <alignment horizontal="center"/>
    </xf>
    <xf numFmtId="167" fontId="5" fillId="0" borderId="6" xfId="1" applyBorder="1" applyAlignment="1">
      <alignment horizontal="center"/>
    </xf>
    <xf numFmtId="168" fontId="5" fillId="0" borderId="4" xfId="2" applyNumberFormat="1" applyFont="1" applyBorder="1" applyAlignment="1" applyProtection="1">
      <alignment horizontal="center"/>
    </xf>
    <xf numFmtId="166" fontId="0" fillId="0" borderId="1" xfId="0" applyNumberFormat="1" applyBorder="1" applyAlignment="1">
      <alignment horizontal="right" vertical="center"/>
    </xf>
    <xf numFmtId="0" fontId="3" fillId="0" borderId="1" xfId="0" applyFont="1" applyBorder="1" applyAlignment="1">
      <alignment horizontal="center"/>
    </xf>
    <xf numFmtId="0" fontId="0" fillId="0" borderId="0" xfId="0" applyBorder="1"/>
    <xf numFmtId="0" fontId="3" fillId="0" borderId="0" xfId="0" applyFont="1" applyAlignment="1">
      <alignment horizontal="center" vertical="center" wrapText="1"/>
    </xf>
    <xf numFmtId="0" fontId="3" fillId="0" borderId="1" xfId="0" applyFont="1" applyBorder="1" applyAlignment="1">
      <alignment horizontal="center" vertical="center" wrapText="1"/>
    </xf>
    <xf numFmtId="167" fontId="7" fillId="0" borderId="0" xfId="1" applyFont="1"/>
    <xf numFmtId="167" fontId="5" fillId="0" borderId="0" xfId="1"/>
    <xf numFmtId="169" fontId="5" fillId="0" borderId="0" xfId="1" applyNumberFormat="1"/>
    <xf numFmtId="167" fontId="5" fillId="0" borderId="0" xfId="1" applyAlignment="1">
      <alignment horizontal="center"/>
    </xf>
    <xf numFmtId="167" fontId="5" fillId="0" borderId="1" xfId="1" applyBorder="1" applyAlignment="1">
      <alignment horizontal="center"/>
    </xf>
    <xf numFmtId="165" fontId="5" fillId="5" borderId="16" xfId="1" applyNumberFormat="1" applyFill="1" applyBorder="1" applyAlignment="1">
      <alignment horizontal="center"/>
    </xf>
    <xf numFmtId="167" fontId="5" fillId="0" borderId="15" xfId="1" applyBorder="1" applyAlignment="1">
      <alignment horizontal="center"/>
    </xf>
    <xf numFmtId="165" fontId="5" fillId="5" borderId="17" xfId="1" applyNumberFormat="1" applyFill="1" applyBorder="1" applyAlignment="1">
      <alignment horizontal="center"/>
    </xf>
    <xf numFmtId="165" fontId="5" fillId="5" borderId="18" xfId="1" applyNumberFormat="1" applyFill="1" applyBorder="1" applyAlignment="1">
      <alignment horizontal="center"/>
    </xf>
    <xf numFmtId="167" fontId="5" fillId="0" borderId="14" xfId="1" applyBorder="1" applyAlignment="1">
      <alignment horizontal="center"/>
    </xf>
    <xf numFmtId="165" fontId="5" fillId="4" borderId="19" xfId="1" applyNumberFormat="1" applyFill="1" applyBorder="1" applyAlignment="1">
      <alignment horizontal="center"/>
    </xf>
    <xf numFmtId="170" fontId="5" fillId="6" borderId="3" xfId="1" applyNumberFormat="1" applyFill="1" applyBorder="1" applyAlignment="1">
      <alignment horizontal="center"/>
    </xf>
    <xf numFmtId="170" fontId="5" fillId="7" borderId="0" xfId="1" applyNumberFormat="1" applyFill="1" applyAlignment="1">
      <alignment horizontal="center"/>
    </xf>
    <xf numFmtId="5" fontId="5" fillId="0" borderId="0" xfId="1" applyNumberFormat="1" applyAlignment="1">
      <alignment horizontal="center"/>
    </xf>
    <xf numFmtId="167" fontId="8" fillId="0" borderId="9" xfId="1" applyFont="1" applyBorder="1" applyAlignment="1">
      <alignment horizontal="right"/>
    </xf>
    <xf numFmtId="0" fontId="0" fillId="0" borderId="1" xfId="0" applyFill="1" applyBorder="1" applyAlignment="1">
      <alignment horizontal="center" vertical="center"/>
    </xf>
    <xf numFmtId="167" fontId="5" fillId="0" borderId="1" xfId="1" applyBorder="1"/>
    <xf numFmtId="167" fontId="10" fillId="0" borderId="1" xfId="1" applyFont="1" applyBorder="1"/>
    <xf numFmtId="167" fontId="10" fillId="0" borderId="0" xfId="1" applyFont="1"/>
    <xf numFmtId="2" fontId="3" fillId="0" borderId="1" xfId="0" applyNumberFormat="1" applyFont="1" applyBorder="1"/>
    <xf numFmtId="167" fontId="8" fillId="0" borderId="0" xfId="1" applyFont="1" applyBorder="1" applyAlignment="1">
      <alignment horizontal="right"/>
    </xf>
    <xf numFmtId="0" fontId="0" fillId="0" borderId="9" xfId="0" applyBorder="1"/>
    <xf numFmtId="0" fontId="0" fillId="0" borderId="13" xfId="0" applyBorder="1"/>
    <xf numFmtId="0" fontId="0" fillId="0" borderId="10" xfId="0" applyBorder="1"/>
    <xf numFmtId="167" fontId="10" fillId="0" borderId="2" xfId="1" applyFont="1" applyBorder="1"/>
    <xf numFmtId="167" fontId="5" fillId="0" borderId="10" xfId="1" applyBorder="1"/>
    <xf numFmtId="167" fontId="8" fillId="0" borderId="9" xfId="1" applyFont="1" applyBorder="1"/>
    <xf numFmtId="167" fontId="10" fillId="0" borderId="13" xfId="1" applyFont="1" applyBorder="1"/>
    <xf numFmtId="167" fontId="10" fillId="0" borderId="10" xfId="1" applyFont="1" applyBorder="1"/>
    <xf numFmtId="167" fontId="10" fillId="0" borderId="9" xfId="1" applyFont="1" applyBorder="1" applyAlignment="1">
      <alignment vertical="center"/>
    </xf>
    <xf numFmtId="167" fontId="10" fillId="0" borderId="1" xfId="1" applyFont="1" applyBorder="1" applyAlignment="1"/>
    <xf numFmtId="167" fontId="10" fillId="0" borderId="1" xfId="1" applyFont="1" applyBorder="1" applyAlignment="1">
      <alignment horizontal="right"/>
    </xf>
    <xf numFmtId="167" fontId="10" fillId="0" borderId="10" xfId="1" applyFont="1" applyBorder="1" applyAlignment="1">
      <alignment horizontal="right"/>
    </xf>
    <xf numFmtId="167" fontId="10" fillId="0" borderId="0" xfId="1" applyFont="1" applyBorder="1" applyAlignment="1"/>
    <xf numFmtId="167" fontId="5" fillId="0" borderId="1" xfId="1" applyBorder="1" applyAlignment="1">
      <alignment horizontal="center" vertical="center"/>
    </xf>
    <xf numFmtId="0" fontId="0" fillId="0" borderId="1" xfId="0" applyBorder="1" applyAlignment="1">
      <alignment horizontal="center" vertical="center" wrapText="1"/>
    </xf>
    <xf numFmtId="0" fontId="4" fillId="0" borderId="1" xfId="0" applyFont="1" applyBorder="1" applyAlignment="1">
      <alignment horizontal="left" vertical="center"/>
    </xf>
    <xf numFmtId="2" fontId="0" fillId="0" borderId="3" xfId="0" applyNumberFormat="1" applyBorder="1" applyAlignment="1">
      <alignment horizontal="right"/>
    </xf>
    <xf numFmtId="2" fontId="0" fillId="0" borderId="4" xfId="0" applyNumberFormat="1" applyBorder="1" applyAlignment="1">
      <alignment horizontal="right"/>
    </xf>
    <xf numFmtId="0" fontId="0" fillId="0" borderId="2" xfId="0" applyBorder="1" applyAlignment="1">
      <alignment horizontal="right"/>
    </xf>
    <xf numFmtId="0" fontId="0" fillId="0" borderId="3" xfId="0" applyBorder="1" applyAlignment="1">
      <alignment horizontal="right"/>
    </xf>
    <xf numFmtId="0" fontId="0" fillId="0" borderId="4" xfId="0" applyBorder="1" applyAlignment="1">
      <alignment horizontal="right"/>
    </xf>
    <xf numFmtId="2" fontId="0" fillId="0" borderId="12" xfId="0" applyNumberFormat="1" applyBorder="1"/>
    <xf numFmtId="164" fontId="0" fillId="0" borderId="1" xfId="0" applyNumberFormat="1" applyBorder="1" applyAlignment="1">
      <alignment horizontal="center" vertical="center" wrapText="1"/>
    </xf>
    <xf numFmtId="164" fontId="0" fillId="0" borderId="0" xfId="0" applyNumberFormat="1" applyBorder="1" applyAlignment="1">
      <alignment horizontal="center" vertical="center" wrapText="1"/>
    </xf>
    <xf numFmtId="164" fontId="0" fillId="0" borderId="14" xfId="0" applyNumberFormat="1" applyBorder="1" applyAlignment="1">
      <alignment horizontal="center" vertical="center" wrapText="1"/>
    </xf>
    <xf numFmtId="0" fontId="1" fillId="0" borderId="0" xfId="0" applyFont="1"/>
    <xf numFmtId="0" fontId="12" fillId="0" borderId="0" xfId="0" applyFont="1"/>
    <xf numFmtId="0" fontId="13" fillId="0" borderId="0" xfId="0" applyFont="1"/>
    <xf numFmtId="0" fontId="14" fillId="0" borderId="0" xfId="0" applyFont="1"/>
    <xf numFmtId="167" fontId="5" fillId="0" borderId="0" xfId="1" applyFill="1" applyBorder="1" applyAlignment="1">
      <alignment horizontal="left"/>
    </xf>
    <xf numFmtId="167" fontId="5" fillId="7" borderId="0" xfId="1" applyFill="1"/>
    <xf numFmtId="0" fontId="0" fillId="4" borderId="1" xfId="0" applyFill="1" applyBorder="1" applyAlignment="1">
      <alignment horizontal="right"/>
    </xf>
    <xf numFmtId="9" fontId="0" fillId="4" borderId="2" xfId="0" applyNumberFormat="1" applyFill="1" applyBorder="1"/>
    <xf numFmtId="9" fontId="0" fillId="4" borderId="3" xfId="0" applyNumberFormat="1" applyFill="1" applyBorder="1"/>
    <xf numFmtId="9" fontId="0" fillId="4" borderId="4" xfId="0" applyNumberFormat="1" applyFill="1" applyBorder="1"/>
    <xf numFmtId="0" fontId="0" fillId="4" borderId="2" xfId="0" applyFill="1" applyBorder="1" applyAlignment="1">
      <alignment horizontal="right"/>
    </xf>
    <xf numFmtId="0" fontId="0" fillId="4" borderId="4" xfId="0" applyFill="1" applyBorder="1" applyAlignment="1">
      <alignment horizontal="right"/>
    </xf>
    <xf numFmtId="0" fontId="0" fillId="4" borderId="3" xfId="0" applyFill="1" applyBorder="1" applyAlignment="1">
      <alignment horizontal="right"/>
    </xf>
    <xf numFmtId="167" fontId="5" fillId="5" borderId="7" xfId="1" applyFill="1" applyBorder="1" applyAlignment="1">
      <alignment horizontal="center"/>
    </xf>
    <xf numFmtId="167" fontId="5" fillId="5" borderId="5" xfId="1" applyFill="1" applyBorder="1" applyAlignment="1">
      <alignment horizontal="center"/>
    </xf>
    <xf numFmtId="167" fontId="5" fillId="5" borderId="11" xfId="1" applyFill="1" applyBorder="1" applyAlignment="1">
      <alignment horizontal="center"/>
    </xf>
    <xf numFmtId="167" fontId="5" fillId="5" borderId="12" xfId="1" applyFill="1" applyBorder="1" applyAlignment="1">
      <alignment horizontal="center"/>
    </xf>
    <xf numFmtId="167" fontId="5" fillId="5" borderId="8" xfId="1" applyFill="1" applyBorder="1" applyAlignment="1">
      <alignment horizontal="center"/>
    </xf>
    <xf numFmtId="167" fontId="5" fillId="5" borderId="6" xfId="1" applyFill="1" applyBorder="1" applyAlignment="1">
      <alignment horizontal="center"/>
    </xf>
    <xf numFmtId="0" fontId="0" fillId="5" borderId="2" xfId="0" applyFill="1" applyBorder="1" applyAlignment="1">
      <alignment horizontal="center"/>
    </xf>
    <xf numFmtId="2" fontId="0" fillId="5" borderId="1" xfId="0" applyNumberFormat="1" applyFill="1" applyBorder="1"/>
    <xf numFmtId="2" fontId="0" fillId="5" borderId="2" xfId="0" applyNumberFormat="1" applyFill="1" applyBorder="1"/>
    <xf numFmtId="2" fontId="0" fillId="5" borderId="5" xfId="0" applyNumberFormat="1" applyFill="1" applyBorder="1"/>
    <xf numFmtId="0" fontId="0" fillId="5" borderId="2" xfId="0" applyFill="1" applyBorder="1"/>
    <xf numFmtId="0" fontId="0" fillId="5" borderId="3" xfId="0" applyFill="1" applyBorder="1"/>
    <xf numFmtId="0" fontId="0" fillId="5" borderId="1" xfId="0" applyFill="1" applyBorder="1"/>
    <xf numFmtId="167" fontId="5" fillId="4" borderId="9" xfId="1" applyFill="1" applyBorder="1" applyAlignment="1">
      <alignment horizontal="center"/>
    </xf>
    <xf numFmtId="167" fontId="5" fillId="4" borderId="10" xfId="1" applyFill="1" applyBorder="1" applyAlignment="1">
      <alignment horizontal="center"/>
    </xf>
    <xf numFmtId="167" fontId="5" fillId="4" borderId="9" xfId="1" applyFill="1" applyBorder="1" applyAlignment="1">
      <alignment horizontal="right"/>
    </xf>
    <xf numFmtId="167" fontId="5" fillId="4" borderId="10" xfId="1" applyFill="1" applyBorder="1" applyAlignment="1">
      <alignment horizontal="right"/>
    </xf>
    <xf numFmtId="167" fontId="5" fillId="0" borderId="9" xfId="1" applyBorder="1" applyAlignment="1">
      <alignment horizontal="right"/>
    </xf>
    <xf numFmtId="167" fontId="5" fillId="0" borderId="10" xfId="1" applyBorder="1" applyAlignment="1">
      <alignment horizontal="right"/>
    </xf>
    <xf numFmtId="167" fontId="10" fillId="0" borderId="1" xfId="1" applyFont="1" applyBorder="1" applyAlignment="1">
      <alignment horizontal="left"/>
    </xf>
    <xf numFmtId="167" fontId="5" fillId="0" borderId="9" xfId="1" applyBorder="1" applyAlignment="1">
      <alignment horizontal="center"/>
    </xf>
    <xf numFmtId="167" fontId="5" fillId="0" borderId="10" xfId="1" applyBorder="1" applyAlignment="1">
      <alignment horizontal="center"/>
    </xf>
    <xf numFmtId="167" fontId="5" fillId="0" borderId="13" xfId="1" applyBorder="1" applyAlignment="1">
      <alignment horizontal="center"/>
    </xf>
    <xf numFmtId="167" fontId="8" fillId="0" borderId="9" xfId="1" applyFont="1" applyBorder="1" applyAlignment="1">
      <alignment horizontal="right"/>
    </xf>
    <xf numFmtId="167" fontId="8" fillId="0" borderId="13" xfId="1" applyFont="1" applyBorder="1" applyAlignment="1">
      <alignment horizontal="right"/>
    </xf>
    <xf numFmtId="167" fontId="8" fillId="0" borderId="10" xfId="1" applyFont="1" applyBorder="1" applyAlignment="1">
      <alignment horizontal="right"/>
    </xf>
    <xf numFmtId="167" fontId="5" fillId="0" borderId="4" xfId="1" applyBorder="1" applyAlignment="1">
      <alignment horizontal="right"/>
    </xf>
    <xf numFmtId="0" fontId="0" fillId="0" borderId="1" xfId="0" applyBorder="1" applyAlignment="1">
      <alignment horizontal="left"/>
    </xf>
    <xf numFmtId="0" fontId="0" fillId="0" borderId="9" xfId="0" applyBorder="1" applyAlignment="1">
      <alignment horizontal="center"/>
    </xf>
    <xf numFmtId="0" fontId="0" fillId="0" borderId="13" xfId="0" applyBorder="1" applyAlignment="1">
      <alignment horizontal="center"/>
    </xf>
    <xf numFmtId="0" fontId="0" fillId="0" borderId="10" xfId="0" applyBorder="1" applyAlignment="1">
      <alignment horizontal="center"/>
    </xf>
    <xf numFmtId="0" fontId="0" fillId="0" borderId="1" xfId="0" applyBorder="1" applyAlignment="1">
      <alignment horizontal="center"/>
    </xf>
    <xf numFmtId="11" fontId="2" fillId="0" borderId="1" xfId="0" applyNumberFormat="1" applyFont="1" applyFill="1" applyBorder="1" applyAlignment="1"/>
    <xf numFmtId="11" fontId="2" fillId="0" borderId="1" xfId="0" applyNumberFormat="1" applyFont="1" applyFill="1" applyBorder="1" applyAlignment="1">
      <alignment horizontal="left"/>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4" xfId="0" applyBorder="1" applyAlignment="1">
      <alignment horizontal="center" vertical="center" textRotation="90"/>
    </xf>
    <xf numFmtId="0" fontId="3" fillId="0" borderId="1" xfId="0" applyFont="1" applyBorder="1" applyAlignment="1">
      <alignment horizontal="left"/>
    </xf>
    <xf numFmtId="0" fontId="16" fillId="0" borderId="0" xfId="0" applyFont="1"/>
  </cellXfs>
  <cellStyles count="3">
    <cellStyle name="Normal" xfId="0" builtinId="0"/>
    <cellStyle name="Normal 3" xfId="1" xr:uid="{2B1D89AA-3277-4F11-A41A-1B0A3AA830DA}"/>
    <cellStyle name="Percent 2" xfId="2" xr:uid="{F40E7387-2831-434B-8091-5909ED300D5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eda!$F$18</c:f>
          <c:strCache>
            <c:ptCount val="1"/>
            <c:pt idx="0">
              <c:v>Time Series of Workers Compensation Claims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eda!$F$20</c:f>
              <c:strCache>
                <c:ptCount val="1"/>
                <c:pt idx="0">
                  <c:v>claims</c:v>
                </c:pt>
              </c:strCache>
            </c:strRef>
          </c:tx>
          <c:spPr>
            <a:ln w="25400" cap="rnd">
              <a:noFill/>
              <a:round/>
            </a:ln>
            <a:effectLst/>
          </c:spPr>
          <c:marker>
            <c:symbol val="circle"/>
            <c:size val="5"/>
            <c:spPr>
              <a:noFill/>
              <a:ln w="15875">
                <a:solidFill>
                  <a:schemeClr val="accent1"/>
                </a:solidFill>
              </a:ln>
              <a:effectLst/>
            </c:spPr>
          </c:marker>
          <c:xVal>
            <c:numRef>
              <c:f>data!$B$3:$B$14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data!$C$3:$C$14</c:f>
              <c:numCache>
                <c:formatCode>General</c:formatCode>
                <c:ptCount val="12"/>
                <c:pt idx="0">
                  <c:v>107</c:v>
                </c:pt>
                <c:pt idx="1">
                  <c:v>126</c:v>
                </c:pt>
                <c:pt idx="2">
                  <c:v>118</c:v>
                </c:pt>
                <c:pt idx="3">
                  <c:v>106</c:v>
                </c:pt>
                <c:pt idx="4">
                  <c:v>108</c:v>
                </c:pt>
                <c:pt idx="5">
                  <c:v>675</c:v>
                </c:pt>
                <c:pt idx="6">
                  <c:v>110</c:v>
                </c:pt>
                <c:pt idx="7">
                  <c:v>143</c:v>
                </c:pt>
                <c:pt idx="8">
                  <c:v>101</c:v>
                </c:pt>
                <c:pt idx="9">
                  <c:v>1203</c:v>
                </c:pt>
                <c:pt idx="10">
                  <c:v>875</c:v>
                </c:pt>
                <c:pt idx="11">
                  <c:v>103</c:v>
                </c:pt>
              </c:numCache>
            </c:numRef>
          </c:yVal>
          <c:smooth val="0"/>
          <c:extLst>
            <c:ext xmlns:c16="http://schemas.microsoft.com/office/drawing/2014/chart" uri="{C3380CC4-5D6E-409C-BE32-E72D297353CC}">
              <c16:uniqueId val="{00000000-BCAD-4ACF-A36C-8FAE691B61B7}"/>
            </c:ext>
          </c:extLst>
        </c:ser>
        <c:dLbls>
          <c:showLegendKey val="0"/>
          <c:showVal val="0"/>
          <c:showCatName val="0"/>
          <c:showSerName val="0"/>
          <c:showPercent val="0"/>
          <c:showBubbleSize val="0"/>
        </c:dLbls>
        <c:axId val="1989333136"/>
        <c:axId val="1947299504"/>
      </c:scatterChart>
      <c:valAx>
        <c:axId val="1989333136"/>
        <c:scaling>
          <c:orientation val="minMax"/>
          <c:max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299504"/>
        <c:crosses val="autoZero"/>
        <c:crossBetween val="midCat"/>
      </c:valAx>
      <c:valAx>
        <c:axId val="1947299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331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'mean-excess-over-threshold'!$AJ$2</c:f>
          <c:strCache>
            <c:ptCount val="1"/>
            <c:pt idx="0">
              <c:v>Mean Excess Over Threshold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'mean-excess-over-threshold'!$AI$4</c:f>
              <c:strCache>
                <c:ptCount val="1"/>
                <c:pt idx="0">
                  <c:v>y-axis</c:v>
                </c:pt>
              </c:strCache>
            </c:strRef>
          </c:tx>
          <c:spPr>
            <a:ln w="25400" cap="rnd">
              <a:noFill/>
              <a:round/>
            </a:ln>
            <a:effectLst/>
          </c:spPr>
          <c:marker>
            <c:symbol val="circle"/>
            <c:size val="5"/>
            <c:spPr>
              <a:solidFill>
                <a:schemeClr val="accent1"/>
              </a:solidFill>
              <a:ln w="9525">
                <a:solidFill>
                  <a:schemeClr val="accent1"/>
                </a:solidFill>
              </a:ln>
              <a:effectLst/>
            </c:spPr>
          </c:marker>
          <c:xVal>
            <c:numRef>
              <c:f>'mean-excess-over-threshold'!$F$15:$Q$15</c:f>
              <c:numCache>
                <c:formatCode>General</c:formatCode>
                <c:ptCount val="12"/>
                <c:pt idx="0">
                  <c:v>200</c:v>
                </c:pt>
                <c:pt idx="1">
                  <c:v>272.72727272727275</c:v>
                </c:pt>
                <c:pt idx="2">
                  <c:v>345.4545454545455</c:v>
                </c:pt>
                <c:pt idx="3">
                  <c:v>418.18181818181824</c:v>
                </c:pt>
                <c:pt idx="4">
                  <c:v>490.90909090909099</c:v>
                </c:pt>
                <c:pt idx="5">
                  <c:v>563.63636363636374</c:v>
                </c:pt>
                <c:pt idx="6">
                  <c:v>636.36363636363649</c:v>
                </c:pt>
                <c:pt idx="7">
                  <c:v>709.09090909090924</c:v>
                </c:pt>
                <c:pt idx="8">
                  <c:v>781.81818181818198</c:v>
                </c:pt>
                <c:pt idx="9">
                  <c:v>854.54545454545473</c:v>
                </c:pt>
                <c:pt idx="10">
                  <c:v>927.27272727272748</c:v>
                </c:pt>
                <c:pt idx="11">
                  <c:v>1000.0000000000002</c:v>
                </c:pt>
              </c:numCache>
            </c:numRef>
          </c:xVal>
          <c:yVal>
            <c:numRef>
              <c:f>'mean-excess-over-threshold'!$F$16:$Q$16</c:f>
              <c:numCache>
                <c:formatCode>0.000</c:formatCode>
                <c:ptCount val="12"/>
                <c:pt idx="0">
                  <c:v>717.66666666666663</c:v>
                </c:pt>
                <c:pt idx="1">
                  <c:v>644.93939393939388</c:v>
                </c:pt>
                <c:pt idx="2">
                  <c:v>572.21212121212113</c:v>
                </c:pt>
                <c:pt idx="3">
                  <c:v>499.48484848484844</c:v>
                </c:pt>
                <c:pt idx="4">
                  <c:v>426.75757575757569</c:v>
                </c:pt>
                <c:pt idx="5">
                  <c:v>354.03030303030295</c:v>
                </c:pt>
                <c:pt idx="6">
                  <c:v>281.3030303030302</c:v>
                </c:pt>
                <c:pt idx="7">
                  <c:v>329.90909090909076</c:v>
                </c:pt>
                <c:pt idx="8">
                  <c:v>257.18181818181802</c:v>
                </c:pt>
                <c:pt idx="9">
                  <c:v>184.45454545454527</c:v>
                </c:pt>
                <c:pt idx="10">
                  <c:v>275.72727272727252</c:v>
                </c:pt>
                <c:pt idx="11">
                  <c:v>202.99999999999977</c:v>
                </c:pt>
              </c:numCache>
            </c:numRef>
          </c:yVal>
          <c:smooth val="0"/>
          <c:extLst>
            <c:ext xmlns:c16="http://schemas.microsoft.com/office/drawing/2014/chart" uri="{C3380CC4-5D6E-409C-BE32-E72D297353CC}">
              <c16:uniqueId val="{00000000-73F7-4F47-ACFC-9BAE53AF5314}"/>
            </c:ext>
          </c:extLst>
        </c:ser>
        <c:dLbls>
          <c:showLegendKey val="0"/>
          <c:showVal val="0"/>
          <c:showCatName val="0"/>
          <c:showSerName val="0"/>
          <c:showPercent val="0"/>
          <c:showBubbleSize val="0"/>
        </c:dLbls>
        <c:axId val="129725392"/>
        <c:axId val="64087152"/>
      </c:scatterChart>
      <c:valAx>
        <c:axId val="129725392"/>
        <c:scaling>
          <c:orientation val="minMax"/>
        </c:scaling>
        <c:delete val="0"/>
        <c:axPos val="b"/>
        <c:majorGridlines>
          <c:spPr>
            <a:ln w="9525" cap="flat" cmpd="sng" algn="ctr">
              <a:solidFill>
                <a:schemeClr val="tx1">
                  <a:lumMod val="15000"/>
                  <a:lumOff val="85000"/>
                </a:schemeClr>
              </a:solidFill>
              <a:round/>
            </a:ln>
            <a:effectLst/>
          </c:spPr>
        </c:majorGridlines>
        <c:title>
          <c:tx>
            <c:strRef>
              <c:f>'mean-excess-over-threshold'!$AJ$3</c:f>
              <c:strCache>
                <c:ptCount val="1"/>
                <c:pt idx="0">
                  <c:v>thresholds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87152"/>
        <c:crosses val="autoZero"/>
        <c:crossBetween val="midCat"/>
      </c:valAx>
      <c:valAx>
        <c:axId val="64087152"/>
        <c:scaling>
          <c:orientation val="minMax"/>
        </c:scaling>
        <c:delete val="0"/>
        <c:axPos val="l"/>
        <c:majorGridlines>
          <c:spPr>
            <a:ln w="9525" cap="flat" cmpd="sng" algn="ctr">
              <a:solidFill>
                <a:schemeClr val="tx1">
                  <a:lumMod val="15000"/>
                  <a:lumOff val="85000"/>
                </a:schemeClr>
              </a:solidFill>
              <a:round/>
            </a:ln>
            <a:effectLst/>
          </c:spPr>
        </c:majorGridlines>
        <c:title>
          <c:tx>
            <c:strRef>
              <c:f>'mean-excess-over-threshold'!$AJ$4</c:f>
              <c:strCache>
                <c:ptCount val="1"/>
                <c:pt idx="0">
                  <c:v>mean excess over threshold</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53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'eda-sim-short-term'!$T$3</c:f>
          <c:strCache>
            <c:ptCount val="1"/>
            <c:pt idx="0">
              <c:v>capital_yr1_short_term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'eda-sim-short-term'!$L$2</c:f>
              <c:strCache>
                <c:ptCount val="1"/>
                <c:pt idx="0">
                  <c:v>relative frequency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'eda-sim-short-term'!$J$3:$J$23</c:f>
              <c:numCache>
                <c:formatCode>General</c:formatCode>
                <c:ptCount val="21"/>
                <c:pt idx="0">
                  <c:v>715.83956438193536</c:v>
                </c:pt>
                <c:pt idx="1">
                  <c:v>975.79425155896161</c:v>
                </c:pt>
                <c:pt idx="2">
                  <c:v>1235.7489387359878</c:v>
                </c:pt>
                <c:pt idx="3">
                  <c:v>1495.7036259130141</c:v>
                </c:pt>
                <c:pt idx="4">
                  <c:v>1755.6583130900403</c:v>
                </c:pt>
                <c:pt idx="5">
                  <c:v>2015.6130002670666</c:v>
                </c:pt>
                <c:pt idx="6">
                  <c:v>2275.5676874440928</c:v>
                </c:pt>
                <c:pt idx="7">
                  <c:v>2535.5223746211191</c:v>
                </c:pt>
                <c:pt idx="8">
                  <c:v>2795.4770617981453</c:v>
                </c:pt>
                <c:pt idx="9">
                  <c:v>3055.4317489751716</c:v>
                </c:pt>
                <c:pt idx="10">
                  <c:v>3315.3864361521978</c:v>
                </c:pt>
                <c:pt idx="11">
                  <c:v>3575.341123329224</c:v>
                </c:pt>
                <c:pt idx="12">
                  <c:v>3835.2958105062503</c:v>
                </c:pt>
                <c:pt idx="13">
                  <c:v>4095.2504976832765</c:v>
                </c:pt>
                <c:pt idx="14">
                  <c:v>4355.2051848603023</c:v>
                </c:pt>
                <c:pt idx="15">
                  <c:v>4615.1598720373295</c:v>
                </c:pt>
                <c:pt idx="16">
                  <c:v>4875.1145592143548</c:v>
                </c:pt>
                <c:pt idx="17">
                  <c:v>5135.069246391382</c:v>
                </c:pt>
                <c:pt idx="18">
                  <c:v>5395.0239335684073</c:v>
                </c:pt>
                <c:pt idx="19">
                  <c:v>5654.9786207454345</c:v>
                </c:pt>
                <c:pt idx="20">
                  <c:v>5914.9333079224598</c:v>
                </c:pt>
              </c:numCache>
            </c:numRef>
          </c:xVal>
          <c:yVal>
            <c:numRef>
              <c:f>'eda-sim-short-term'!$L$3:$L$23</c:f>
              <c:numCache>
                <c:formatCode>0.0000</c:formatCode>
                <c:ptCount val="21"/>
                <c:pt idx="0">
                  <c:v>0.23</c:v>
                </c:pt>
                <c:pt idx="1">
                  <c:v>0.14000000000000001</c:v>
                </c:pt>
                <c:pt idx="2">
                  <c:v>0.06</c:v>
                </c:pt>
                <c:pt idx="3">
                  <c:v>0.04</c:v>
                </c:pt>
                <c:pt idx="4">
                  <c:v>0.02</c:v>
                </c:pt>
                <c:pt idx="5">
                  <c:v>0.03</c:v>
                </c:pt>
                <c:pt idx="6">
                  <c:v>7.0000000000000007E-2</c:v>
                </c:pt>
                <c:pt idx="7">
                  <c:v>0.02</c:v>
                </c:pt>
                <c:pt idx="8">
                  <c:v>0.15</c:v>
                </c:pt>
                <c:pt idx="9">
                  <c:v>0.08</c:v>
                </c:pt>
                <c:pt idx="10">
                  <c:v>0.03</c:v>
                </c:pt>
                <c:pt idx="11">
                  <c:v>0.03</c:v>
                </c:pt>
                <c:pt idx="12">
                  <c:v>0.01</c:v>
                </c:pt>
                <c:pt idx="13">
                  <c:v>0</c:v>
                </c:pt>
                <c:pt idx="14">
                  <c:v>0.01</c:v>
                </c:pt>
                <c:pt idx="15">
                  <c:v>0.01</c:v>
                </c:pt>
                <c:pt idx="16">
                  <c:v>0.02</c:v>
                </c:pt>
                <c:pt idx="17">
                  <c:v>0.02</c:v>
                </c:pt>
                <c:pt idx="18">
                  <c:v>0.01</c:v>
                </c:pt>
                <c:pt idx="19">
                  <c:v>0.01</c:v>
                </c:pt>
                <c:pt idx="20">
                  <c:v>0.01</c:v>
                </c:pt>
              </c:numCache>
            </c:numRef>
          </c:yVal>
          <c:smooth val="1"/>
          <c:extLst>
            <c:ext xmlns:c16="http://schemas.microsoft.com/office/drawing/2014/chart" uri="{C3380CC4-5D6E-409C-BE32-E72D297353CC}">
              <c16:uniqueId val="{00000000-C68D-40F6-8909-238D62481066}"/>
            </c:ext>
          </c:extLst>
        </c:ser>
        <c:ser>
          <c:idx val="3"/>
          <c:order val="3"/>
          <c:tx>
            <c:strRef>
              <c:f>'eda-sim-short-term'!$O$2</c:f>
              <c:strCache>
                <c:ptCount val="1"/>
                <c:pt idx="0">
                  <c:v>GPD pdf</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'eda-sim-short-term'!$J$3:$J$23</c:f>
              <c:numCache>
                <c:formatCode>General</c:formatCode>
                <c:ptCount val="21"/>
                <c:pt idx="0">
                  <c:v>715.83956438193536</c:v>
                </c:pt>
                <c:pt idx="1">
                  <c:v>975.79425155896161</c:v>
                </c:pt>
                <c:pt idx="2">
                  <c:v>1235.7489387359878</c:v>
                </c:pt>
                <c:pt idx="3">
                  <c:v>1495.7036259130141</c:v>
                </c:pt>
                <c:pt idx="4">
                  <c:v>1755.6583130900403</c:v>
                </c:pt>
                <c:pt idx="5">
                  <c:v>2015.6130002670666</c:v>
                </c:pt>
                <c:pt idx="6">
                  <c:v>2275.5676874440928</c:v>
                </c:pt>
                <c:pt idx="7">
                  <c:v>2535.5223746211191</c:v>
                </c:pt>
                <c:pt idx="8">
                  <c:v>2795.4770617981453</c:v>
                </c:pt>
                <c:pt idx="9">
                  <c:v>3055.4317489751716</c:v>
                </c:pt>
                <c:pt idx="10">
                  <c:v>3315.3864361521978</c:v>
                </c:pt>
                <c:pt idx="11">
                  <c:v>3575.341123329224</c:v>
                </c:pt>
                <c:pt idx="12">
                  <c:v>3835.2958105062503</c:v>
                </c:pt>
                <c:pt idx="13">
                  <c:v>4095.2504976832765</c:v>
                </c:pt>
                <c:pt idx="14">
                  <c:v>4355.2051848603023</c:v>
                </c:pt>
                <c:pt idx="15">
                  <c:v>4615.1598720373295</c:v>
                </c:pt>
                <c:pt idx="16">
                  <c:v>4875.1145592143548</c:v>
                </c:pt>
                <c:pt idx="17">
                  <c:v>5135.069246391382</c:v>
                </c:pt>
                <c:pt idx="18">
                  <c:v>5395.0239335684073</c:v>
                </c:pt>
                <c:pt idx="19">
                  <c:v>5654.9786207454345</c:v>
                </c:pt>
                <c:pt idx="20">
                  <c:v>5914.9333079224598</c:v>
                </c:pt>
              </c:numCache>
            </c:numRef>
          </c:xVal>
          <c:yVal>
            <c:numRef>
              <c:f>'eda-sim-short-term'!$O$3:$O$23</c:f>
              <c:numCache>
                <c:formatCode>0.0000</c:formatCode>
                <c:ptCount val="21"/>
                <c:pt idx="0">
                  <c:v>0.26129833936249336</c:v>
                </c:pt>
                <c:pt idx="1">
                  <c:v>0.15545757346071365</c:v>
                </c:pt>
                <c:pt idx="2">
                  <c:v>0.10586625494554383</c:v>
                </c:pt>
                <c:pt idx="3">
                  <c:v>7.8030580360756663E-2</c:v>
                </c:pt>
                <c:pt idx="4">
                  <c:v>6.0585635551591382E-2</c:v>
                </c:pt>
                <c:pt idx="5">
                  <c:v>4.8806232975399266E-2</c:v>
                </c:pt>
                <c:pt idx="6">
                  <c:v>4.0411874825866591E-2</c:v>
                </c:pt>
                <c:pt idx="7">
                  <c:v>3.4180541867896486E-2</c:v>
                </c:pt>
                <c:pt idx="8">
                  <c:v>2.9404431617907432E-2</c:v>
                </c:pt>
                <c:pt idx="9">
                  <c:v>2.5648117729201801E-2</c:v>
                </c:pt>
                <c:pt idx="10">
                  <c:v>2.2630530587958487E-2</c:v>
                </c:pt>
                <c:pt idx="11">
                  <c:v>2.0162957624154133E-2</c:v>
                </c:pt>
                <c:pt idx="12">
                  <c:v>1.8114471629864765E-2</c:v>
                </c:pt>
                <c:pt idx="13">
                  <c:v>1.6391679041892249E-2</c:v>
                </c:pt>
                <c:pt idx="14">
                  <c:v>1.4926354212992463E-2</c:v>
                </c:pt>
                <c:pt idx="15">
                  <c:v>1.366761666619226E-2</c:v>
                </c:pt>
                <c:pt idx="16">
                  <c:v>1.2576828498143258E-2</c:v>
                </c:pt>
                <c:pt idx="17">
                  <c:v>1.1624175923775994E-2</c:v>
                </c:pt>
                <c:pt idx="18">
                  <c:v>1.0786324539531678E-2</c:v>
                </c:pt>
                <c:pt idx="19">
                  <c:v>1.0044777080020793E-2</c:v>
                </c:pt>
                <c:pt idx="20">
                  <c:v>9.3847014981033056E-3</c:v>
                </c:pt>
              </c:numCache>
            </c:numRef>
          </c:yVal>
          <c:smooth val="1"/>
          <c:extLst>
            <c:ext xmlns:c16="http://schemas.microsoft.com/office/drawing/2014/chart" uri="{C3380CC4-5D6E-409C-BE32-E72D297353CC}">
              <c16:uniqueId val="{00000004-C68D-40F6-8909-238D62481066}"/>
            </c:ext>
          </c:extLst>
        </c:ser>
        <c:dLbls>
          <c:showLegendKey val="0"/>
          <c:showVal val="0"/>
          <c:showCatName val="0"/>
          <c:showSerName val="0"/>
          <c:showPercent val="0"/>
          <c:showBubbleSize val="0"/>
        </c:dLbls>
        <c:axId val="2060225376"/>
        <c:axId val="445343456"/>
      </c:scatterChart>
      <c:scatterChart>
        <c:scatterStyle val="smoothMarker"/>
        <c:varyColors val="0"/>
        <c:ser>
          <c:idx val="1"/>
          <c:order val="1"/>
          <c:tx>
            <c:strRef>
              <c:f>'eda-sim-short-term'!$M$2</c:f>
              <c:strCache>
                <c:ptCount val="1"/>
                <c:pt idx="0">
                  <c:v>cumulative relative prequency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'eda-sim-short-term'!$J$3:$J$23</c:f>
              <c:numCache>
                <c:formatCode>General</c:formatCode>
                <c:ptCount val="21"/>
                <c:pt idx="0">
                  <c:v>715.83956438193536</c:v>
                </c:pt>
                <c:pt idx="1">
                  <c:v>975.79425155896161</c:v>
                </c:pt>
                <c:pt idx="2">
                  <c:v>1235.7489387359878</c:v>
                </c:pt>
                <c:pt idx="3">
                  <c:v>1495.7036259130141</c:v>
                </c:pt>
                <c:pt idx="4">
                  <c:v>1755.6583130900403</c:v>
                </c:pt>
                <c:pt idx="5">
                  <c:v>2015.6130002670666</c:v>
                </c:pt>
                <c:pt idx="6">
                  <c:v>2275.5676874440928</c:v>
                </c:pt>
                <c:pt idx="7">
                  <c:v>2535.5223746211191</c:v>
                </c:pt>
                <c:pt idx="8">
                  <c:v>2795.4770617981453</c:v>
                </c:pt>
                <c:pt idx="9">
                  <c:v>3055.4317489751716</c:v>
                </c:pt>
                <c:pt idx="10">
                  <c:v>3315.3864361521978</c:v>
                </c:pt>
                <c:pt idx="11">
                  <c:v>3575.341123329224</c:v>
                </c:pt>
                <c:pt idx="12">
                  <c:v>3835.2958105062503</c:v>
                </c:pt>
                <c:pt idx="13">
                  <c:v>4095.2504976832765</c:v>
                </c:pt>
                <c:pt idx="14">
                  <c:v>4355.2051848603023</c:v>
                </c:pt>
                <c:pt idx="15">
                  <c:v>4615.1598720373295</c:v>
                </c:pt>
                <c:pt idx="16">
                  <c:v>4875.1145592143548</c:v>
                </c:pt>
                <c:pt idx="17">
                  <c:v>5135.069246391382</c:v>
                </c:pt>
                <c:pt idx="18">
                  <c:v>5395.0239335684073</c:v>
                </c:pt>
                <c:pt idx="19">
                  <c:v>5654.9786207454345</c:v>
                </c:pt>
                <c:pt idx="20">
                  <c:v>5914.9333079224598</c:v>
                </c:pt>
              </c:numCache>
            </c:numRef>
          </c:xVal>
          <c:yVal>
            <c:numRef>
              <c:f>'eda-sim-short-term'!$M$3:$M$23</c:f>
              <c:numCache>
                <c:formatCode>0.0000</c:formatCode>
                <c:ptCount val="21"/>
                <c:pt idx="0">
                  <c:v>0.23</c:v>
                </c:pt>
                <c:pt idx="1">
                  <c:v>0.37</c:v>
                </c:pt>
                <c:pt idx="2">
                  <c:v>0.43</c:v>
                </c:pt>
                <c:pt idx="3">
                  <c:v>0.47</c:v>
                </c:pt>
                <c:pt idx="4">
                  <c:v>0.49</c:v>
                </c:pt>
                <c:pt idx="5">
                  <c:v>0.52</c:v>
                </c:pt>
                <c:pt idx="6">
                  <c:v>0.59000000000000008</c:v>
                </c:pt>
                <c:pt idx="7">
                  <c:v>0.6100000000000001</c:v>
                </c:pt>
                <c:pt idx="8">
                  <c:v>0.76000000000000012</c:v>
                </c:pt>
                <c:pt idx="9">
                  <c:v>0.84000000000000008</c:v>
                </c:pt>
                <c:pt idx="10">
                  <c:v>0.87000000000000011</c:v>
                </c:pt>
                <c:pt idx="11">
                  <c:v>0.90000000000000013</c:v>
                </c:pt>
                <c:pt idx="12">
                  <c:v>0.91000000000000014</c:v>
                </c:pt>
                <c:pt idx="13">
                  <c:v>0.91000000000000014</c:v>
                </c:pt>
                <c:pt idx="14">
                  <c:v>0.92000000000000015</c:v>
                </c:pt>
                <c:pt idx="15">
                  <c:v>0.93000000000000016</c:v>
                </c:pt>
                <c:pt idx="16">
                  <c:v>0.95000000000000018</c:v>
                </c:pt>
                <c:pt idx="17">
                  <c:v>0.9700000000000002</c:v>
                </c:pt>
                <c:pt idx="18">
                  <c:v>0.9800000000000002</c:v>
                </c:pt>
                <c:pt idx="19">
                  <c:v>0.99000000000000021</c:v>
                </c:pt>
                <c:pt idx="20">
                  <c:v>1.0000000000000002</c:v>
                </c:pt>
              </c:numCache>
            </c:numRef>
          </c:yVal>
          <c:smooth val="1"/>
          <c:extLst>
            <c:ext xmlns:c16="http://schemas.microsoft.com/office/drawing/2014/chart" uri="{C3380CC4-5D6E-409C-BE32-E72D297353CC}">
              <c16:uniqueId val="{00000002-C68D-40F6-8909-238D62481066}"/>
            </c:ext>
          </c:extLst>
        </c:ser>
        <c:ser>
          <c:idx val="2"/>
          <c:order val="2"/>
          <c:tx>
            <c:strRef>
              <c:f>'eda-sim-short-term'!$P$2</c:f>
              <c:strCache>
                <c:ptCount val="1"/>
                <c:pt idx="0">
                  <c:v>GDF cdf</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'eda-sim-short-term'!$J$3:$J$23</c:f>
              <c:numCache>
                <c:formatCode>General</c:formatCode>
                <c:ptCount val="21"/>
                <c:pt idx="0">
                  <c:v>715.83956438193536</c:v>
                </c:pt>
                <c:pt idx="1">
                  <c:v>975.79425155896161</c:v>
                </c:pt>
                <c:pt idx="2">
                  <c:v>1235.7489387359878</c:v>
                </c:pt>
                <c:pt idx="3">
                  <c:v>1495.7036259130141</c:v>
                </c:pt>
                <c:pt idx="4">
                  <c:v>1755.6583130900403</c:v>
                </c:pt>
                <c:pt idx="5">
                  <c:v>2015.6130002670666</c:v>
                </c:pt>
                <c:pt idx="6">
                  <c:v>2275.5676874440928</c:v>
                </c:pt>
                <c:pt idx="7">
                  <c:v>2535.5223746211191</c:v>
                </c:pt>
                <c:pt idx="8">
                  <c:v>2795.4770617981453</c:v>
                </c:pt>
                <c:pt idx="9">
                  <c:v>3055.4317489751716</c:v>
                </c:pt>
                <c:pt idx="10">
                  <c:v>3315.3864361521978</c:v>
                </c:pt>
                <c:pt idx="11">
                  <c:v>3575.341123329224</c:v>
                </c:pt>
                <c:pt idx="12">
                  <c:v>3835.2958105062503</c:v>
                </c:pt>
                <c:pt idx="13">
                  <c:v>4095.2504976832765</c:v>
                </c:pt>
                <c:pt idx="14">
                  <c:v>4355.2051848603023</c:v>
                </c:pt>
                <c:pt idx="15">
                  <c:v>4615.1598720373295</c:v>
                </c:pt>
                <c:pt idx="16">
                  <c:v>4875.1145592143548</c:v>
                </c:pt>
                <c:pt idx="17">
                  <c:v>5135.069246391382</c:v>
                </c:pt>
                <c:pt idx="18">
                  <c:v>5395.0239335684073</c:v>
                </c:pt>
                <c:pt idx="19">
                  <c:v>5654.9786207454345</c:v>
                </c:pt>
                <c:pt idx="20">
                  <c:v>5914.9333079224598</c:v>
                </c:pt>
              </c:numCache>
            </c:numRef>
          </c:xVal>
          <c:yVal>
            <c:numRef>
              <c:f>'eda-sim-short-term'!$P$3:$P$23</c:f>
              <c:numCache>
                <c:formatCode>0.0000</c:formatCode>
                <c:ptCount val="21"/>
                <c:pt idx="0">
                  <c:v>0.26129833936249336</c:v>
                </c:pt>
                <c:pt idx="1">
                  <c:v>0.41675591282320701</c:v>
                </c:pt>
                <c:pt idx="2">
                  <c:v>0.52262216776875081</c:v>
                </c:pt>
                <c:pt idx="3">
                  <c:v>0.60065274812950742</c:v>
                </c:pt>
                <c:pt idx="4">
                  <c:v>0.66123838368109877</c:v>
                </c:pt>
                <c:pt idx="5">
                  <c:v>0.71004461665649798</c:v>
                </c:pt>
                <c:pt idx="6">
                  <c:v>0.7504564914823646</c:v>
                </c:pt>
                <c:pt idx="7">
                  <c:v>0.78463703335026103</c:v>
                </c:pt>
                <c:pt idx="8">
                  <c:v>0.81404146496816843</c:v>
                </c:pt>
                <c:pt idx="9">
                  <c:v>0.83968958269737026</c:v>
                </c:pt>
                <c:pt idx="10">
                  <c:v>0.86232011328532876</c:v>
                </c:pt>
                <c:pt idx="11">
                  <c:v>0.88248307090948286</c:v>
                </c:pt>
                <c:pt idx="12">
                  <c:v>0.90059754253934765</c:v>
                </c:pt>
                <c:pt idx="13">
                  <c:v>0.91698922158123986</c:v>
                </c:pt>
                <c:pt idx="14">
                  <c:v>0.93191557579423234</c:v>
                </c:pt>
                <c:pt idx="15">
                  <c:v>0.94558319246042455</c:v>
                </c:pt>
                <c:pt idx="16">
                  <c:v>0.95816002095856778</c:v>
                </c:pt>
                <c:pt idx="17">
                  <c:v>0.96978419688234374</c:v>
                </c:pt>
                <c:pt idx="18">
                  <c:v>0.9805705214218754</c:v>
                </c:pt>
                <c:pt idx="19">
                  <c:v>0.99061529850189622</c:v>
                </c:pt>
                <c:pt idx="20">
                  <c:v>0.99999999999999956</c:v>
                </c:pt>
              </c:numCache>
            </c:numRef>
          </c:yVal>
          <c:smooth val="1"/>
          <c:extLst>
            <c:ext xmlns:c16="http://schemas.microsoft.com/office/drawing/2014/chart" uri="{C3380CC4-5D6E-409C-BE32-E72D297353CC}">
              <c16:uniqueId val="{00000003-C68D-40F6-8909-238D62481066}"/>
            </c:ext>
          </c:extLst>
        </c:ser>
        <c:dLbls>
          <c:showLegendKey val="0"/>
          <c:showVal val="0"/>
          <c:showCatName val="0"/>
          <c:showSerName val="0"/>
          <c:showPercent val="0"/>
          <c:showBubbleSize val="0"/>
        </c:dLbls>
        <c:axId val="543983776"/>
        <c:axId val="543985024"/>
      </c:scatterChart>
      <c:valAx>
        <c:axId val="2060225376"/>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'eda-sim-short-term'!$T$4</c:f>
              <c:strCache>
                <c:ptCount val="1"/>
                <c:pt idx="0">
                  <c:v>$ amount</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343456"/>
        <c:crosses val="autoZero"/>
        <c:crossBetween val="midCat"/>
      </c:valAx>
      <c:valAx>
        <c:axId val="445343456"/>
        <c:scaling>
          <c:orientation val="minMax"/>
        </c:scaling>
        <c:delete val="0"/>
        <c:axPos val="l"/>
        <c:majorGridlines>
          <c:spPr>
            <a:ln w="9525" cap="flat" cmpd="sng" algn="ctr">
              <a:solidFill>
                <a:schemeClr val="tx1">
                  <a:lumMod val="15000"/>
                  <a:lumOff val="85000"/>
                </a:schemeClr>
              </a:solidFill>
              <a:round/>
            </a:ln>
            <a:effectLst/>
          </c:spPr>
        </c:majorGridlines>
        <c:title>
          <c:tx>
            <c:strRef>
              <c:f>'eda-sim-short-term'!$T$5</c:f>
              <c:strCache>
                <c:ptCount val="1"/>
                <c:pt idx="0">
                  <c:v>relative frequency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225376"/>
        <c:crosses val="autoZero"/>
        <c:crossBetween val="midCat"/>
      </c:valAx>
      <c:valAx>
        <c:axId val="543985024"/>
        <c:scaling>
          <c:orientation val="minMax"/>
        </c:scaling>
        <c:delete val="0"/>
        <c:axPos val="r"/>
        <c:title>
          <c:tx>
            <c:strRef>
              <c:f>'eda-sim-short-term'!$T$6</c:f>
              <c:strCache>
                <c:ptCount val="1"/>
                <c:pt idx="0">
                  <c:v>cumulative relative prequency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983776"/>
        <c:crosses val="max"/>
        <c:crossBetween val="midCat"/>
      </c:valAx>
      <c:valAx>
        <c:axId val="543983776"/>
        <c:scaling>
          <c:orientation val="minMax"/>
        </c:scaling>
        <c:delete val="1"/>
        <c:axPos val="b"/>
        <c:numFmt formatCode="General" sourceLinked="1"/>
        <c:majorTickMark val="out"/>
        <c:minorTickMark val="none"/>
        <c:tickLblPos val="nextTo"/>
        <c:crossAx val="54398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customXml" Target="../ink/ink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customXml" Target="../ink/ink1.xm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customXml" Target="../ink/ink3.xml"/><Relationship Id="rId27"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ustomXml" Target="../ink/ink4.xml"/><Relationship Id="rId1" Type="http://schemas.openxmlformats.org/officeDocument/2006/relationships/chart" Target="../charts/chart2.xml"/><Relationship Id="rId27"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152400</xdr:colOff>
      <xdr:row>3</xdr:row>
      <xdr:rowOff>15240</xdr:rowOff>
    </xdr:from>
    <xdr:to>
      <xdr:col>17</xdr:col>
      <xdr:colOff>360705</xdr:colOff>
      <xdr:row>38</xdr:row>
      <xdr:rowOff>71583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00" y="678180"/>
          <a:ext cx="9961905" cy="6457143"/>
        </a:xfrm>
        <a:prstGeom prst="rect">
          <a:avLst/>
        </a:prstGeom>
      </xdr:spPr>
    </xdr:pic>
    <xdr:clientData/>
  </xdr:twoCellAnchor>
  <xdr:twoCellAnchor editAs="oneCell">
    <xdr:from>
      <xdr:col>1</xdr:col>
      <xdr:colOff>220980</xdr:colOff>
      <xdr:row>38</xdr:row>
      <xdr:rowOff>99060</xdr:rowOff>
    </xdr:from>
    <xdr:to>
      <xdr:col>17</xdr:col>
      <xdr:colOff>495951</xdr:colOff>
      <xdr:row>70</xdr:row>
      <xdr:rowOff>65948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830580" y="7162800"/>
          <a:ext cx="10028571" cy="5819048"/>
        </a:xfrm>
        <a:prstGeom prst="rect">
          <a:avLst/>
        </a:prstGeom>
      </xdr:spPr>
    </xdr:pic>
    <xdr:clientData/>
  </xdr:twoCellAnchor>
  <xdr:twoCellAnchor editAs="oneCell">
    <xdr:from>
      <xdr:col>1</xdr:col>
      <xdr:colOff>327660</xdr:colOff>
      <xdr:row>70</xdr:row>
      <xdr:rowOff>167640</xdr:rowOff>
    </xdr:from>
    <xdr:to>
      <xdr:col>18</xdr:col>
      <xdr:colOff>335888</xdr:colOff>
      <xdr:row>89</xdr:row>
      <xdr:rowOff>169110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937260" y="13083540"/>
          <a:ext cx="10371428" cy="3476190"/>
        </a:xfrm>
        <a:prstGeom prst="rect">
          <a:avLst/>
        </a:prstGeom>
      </xdr:spPr>
    </xdr:pic>
    <xdr:clientData/>
  </xdr:twoCellAnchor>
  <xdr:twoCellAnchor editAs="oneCell">
    <xdr:from>
      <xdr:col>1</xdr:col>
      <xdr:colOff>510540</xdr:colOff>
      <xdr:row>90</xdr:row>
      <xdr:rowOff>68580</xdr:rowOff>
    </xdr:from>
    <xdr:to>
      <xdr:col>9</xdr:col>
      <xdr:colOff>252788</xdr:colOff>
      <xdr:row>104</xdr:row>
      <xdr:rowOff>146355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120140" y="16642080"/>
          <a:ext cx="4619048" cy="2638095"/>
        </a:xfrm>
        <a:prstGeom prst="rect">
          <a:avLst/>
        </a:prstGeom>
      </xdr:spPr>
    </xdr:pic>
    <xdr:clientData/>
  </xdr:twoCellAnchor>
  <xdr:twoCellAnchor editAs="oneCell">
    <xdr:from>
      <xdr:col>12</xdr:col>
      <xdr:colOff>312840</xdr:colOff>
      <xdr:row>83</xdr:row>
      <xdr:rowOff>136440</xdr:rowOff>
    </xdr:from>
    <xdr:to>
      <xdr:col>12</xdr:col>
      <xdr:colOff>385920</xdr:colOff>
      <xdr:row>84</xdr:row>
      <xdr:rowOff>16200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6" name="Ink 5">
              <a:extLst>
                <a:ext uri="{FF2B5EF4-FFF2-40B4-BE49-F238E27FC236}">
                  <a16:creationId xmlns:a16="http://schemas.microsoft.com/office/drawing/2014/main" id="{00000000-0008-0000-0000-000006000000}"/>
                </a:ext>
              </a:extLst>
            </xdr14:cNvPr>
            <xdr14:cNvContentPartPr/>
          </xdr14:nvContentPartPr>
          <xdr14:nvPr macro=""/>
          <xdr14:xfrm>
            <a:off x="7628040" y="15429780"/>
            <a:ext cx="73080" cy="62640"/>
          </xdr14:xfrm>
        </xdr:contentPart>
      </mc:Choice>
      <mc:Fallback xmlns="">
        <xdr:pic>
          <xdr:nvPicPr>
            <xdr:cNvPr id="6" name="Ink 5">
              <a:extLst>
                <a:ext uri="{FF2B5EF4-FFF2-40B4-BE49-F238E27FC236}">
                  <a16:creationId xmlns:a16="http://schemas.microsoft.com/office/drawing/2014/main" id="{E04FBEBC-7343-401C-8619-5DE3535AB0A9}"/>
                </a:ext>
              </a:extLst>
            </xdr:cNvPr>
            <xdr:cNvPicPr/>
          </xdr:nvPicPr>
          <xdr:blipFill>
            <a:blip xmlns:r="http://schemas.openxmlformats.org/officeDocument/2006/relationships" r:embed="rId6"/>
            <a:stretch>
              <a:fillRect/>
            </a:stretch>
          </xdr:blipFill>
          <xdr:spPr>
            <a:xfrm>
              <a:off x="7610040" y="15411780"/>
              <a:ext cx="108720" cy="98280"/>
            </a:xfrm>
            <a:prstGeom prst="rect">
              <a:avLst/>
            </a:prstGeom>
          </xdr:spPr>
        </xdr:pic>
      </mc:Fallback>
    </mc:AlternateContent>
    <xdr:clientData/>
  </xdr:twoCellAnchor>
  <xdr:twoCellAnchor editAs="oneCell">
    <xdr:from>
      <xdr:col>10</xdr:col>
      <xdr:colOff>524400</xdr:colOff>
      <xdr:row>92</xdr:row>
      <xdr:rowOff>9360</xdr:rowOff>
    </xdr:from>
    <xdr:to>
      <xdr:col>10</xdr:col>
      <xdr:colOff>590280</xdr:colOff>
      <xdr:row>92</xdr:row>
      <xdr:rowOff>82440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7" name="Ink 6">
              <a:extLst>
                <a:ext uri="{FF2B5EF4-FFF2-40B4-BE49-F238E27FC236}">
                  <a16:creationId xmlns:a16="http://schemas.microsoft.com/office/drawing/2014/main" id="{00000000-0008-0000-0000-000007000000}"/>
                </a:ext>
              </a:extLst>
            </xdr14:cNvPr>
            <xdr14:cNvContentPartPr/>
          </xdr14:nvContentPartPr>
          <xdr14:nvPr macro=""/>
          <xdr14:xfrm>
            <a:off x="6620400" y="16948620"/>
            <a:ext cx="65880" cy="73080"/>
          </xdr14:xfrm>
        </xdr:contentPart>
      </mc:Choice>
      <mc:Fallback xmlns="">
        <xdr:pic>
          <xdr:nvPicPr>
            <xdr:cNvPr id="7" name="Ink 6">
              <a:extLst>
                <a:ext uri="{FF2B5EF4-FFF2-40B4-BE49-F238E27FC236}">
                  <a16:creationId xmlns:a16="http://schemas.microsoft.com/office/drawing/2014/main" id="{DCC84FDB-9228-46F2-93E7-457C193F42A1}"/>
                </a:ext>
              </a:extLst>
            </xdr:cNvPr>
            <xdr:cNvPicPr/>
          </xdr:nvPicPr>
          <xdr:blipFill>
            <a:blip xmlns:r="http://schemas.openxmlformats.org/officeDocument/2006/relationships" r:embed="rId8"/>
            <a:stretch>
              <a:fillRect/>
            </a:stretch>
          </xdr:blipFill>
          <xdr:spPr>
            <a:xfrm>
              <a:off x="6602760" y="16930980"/>
              <a:ext cx="101520" cy="10872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8</xdr:col>
      <xdr:colOff>494705</xdr:colOff>
      <xdr:row>34</xdr:row>
      <xdr:rowOff>155436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09600" y="182880"/>
          <a:ext cx="4761905" cy="61904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320040</xdr:colOff>
      <xdr:row>55</xdr:row>
      <xdr:rowOff>150495</xdr:rowOff>
    </xdr:from>
    <xdr:to>
      <xdr:col>15</xdr:col>
      <xdr:colOff>0</xdr:colOff>
      <xdr:row>73</xdr:row>
      <xdr:rowOff>15240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63465" y="10589895"/>
          <a:ext cx="7985760" cy="2941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Findings from the Sensitivity Analysis of two scenarios</a:t>
          </a:r>
        </a:p>
        <a:p>
          <a:endParaRPr lang="en-US" sz="1100"/>
        </a:p>
        <a:p>
          <a:r>
            <a:rPr lang="en-US" sz="1100"/>
            <a:t>1. The</a:t>
          </a:r>
          <a:r>
            <a:rPr lang="en-US" sz="1100" baseline="0"/>
            <a:t> coveted standard deviation! The Stdev rises quite dramatically, which may be the theme of these findings. I only describe the standard deviation because it is referred to so commonly, though the better metric may be IQR (thank you, Tukey)</a:t>
          </a:r>
          <a:endParaRPr lang="en-US" sz="1100"/>
        </a:p>
        <a:p>
          <a:endParaRPr lang="en-US" sz="1100"/>
        </a:p>
        <a:p>
          <a:endParaRPr lang="en-US" sz="1100"/>
        </a:p>
        <a:p>
          <a:r>
            <a:rPr lang="en-US" sz="1100"/>
            <a:t>2. The IQR</a:t>
          </a:r>
          <a:r>
            <a:rPr lang="en-US" sz="1100" baseline="0"/>
            <a:t> is quite staggering - that different is huge! Evne though this is partially the luck of my random draw, it's always astounding to see the amount of difference we have here. It goes to show that we have a wide range of capital, but with a lower kurtosis</a:t>
          </a:r>
          <a:endParaRPr lang="en-US" sz="1100"/>
        </a:p>
        <a:p>
          <a:endParaRPr lang="en-US" sz="1100"/>
        </a:p>
        <a:p>
          <a:endParaRPr lang="en-US" sz="1100"/>
        </a:p>
        <a:p>
          <a:r>
            <a:rPr lang="en-US" sz="1100"/>
            <a:t>3. while</a:t>
          </a:r>
          <a:r>
            <a:rPr lang="en-US" sz="1100" baseline="0"/>
            <a:t> we are still right-skewed, we have come a bit more close to a normal distribuion - something you always love to see!</a:t>
          </a:r>
          <a:endParaRPr lang="en-US" sz="1100"/>
        </a:p>
        <a:p>
          <a:endParaRPr lang="en-US" sz="1100"/>
        </a:p>
        <a:p>
          <a:r>
            <a:rPr lang="en-US" sz="1100"/>
            <a:t>4.</a:t>
          </a:r>
          <a:r>
            <a:rPr lang="en-US" sz="1100" baseline="0"/>
            <a:t> The kurtosis! By having a much smaller kurtosis, we've actually improved our volatility problem! With those thinner tails, we can feel MUCH more secure in our investments that there won't be these crazy outliers. </a:t>
          </a:r>
        </a:p>
        <a:p>
          <a:endParaRPr lang="en-US" sz="1100" baseline="0"/>
        </a:p>
        <a:p>
          <a:r>
            <a:rPr lang="en-US" sz="1100" baseline="0"/>
            <a:t>5. All this creates an interesting shape of our final data - while we have less volatile tails, we do still have a lot of volatility - that high IQR means that we could have capital in the lower end (still vastly higher than the low end of our old model) or much higher capital. </a:t>
          </a:r>
          <a:endParaRPr lang="en-US" sz="1100"/>
        </a:p>
      </xdr:txBody>
    </xdr:sp>
    <xdr:clientData/>
  </xdr:twoCellAnchor>
  <xdr:twoCellAnchor>
    <xdr:from>
      <xdr:col>2</xdr:col>
      <xdr:colOff>15240</xdr:colOff>
      <xdr:row>77</xdr:row>
      <xdr:rowOff>131445</xdr:rowOff>
    </xdr:from>
    <xdr:to>
      <xdr:col>15</xdr:col>
      <xdr:colOff>9525</xdr:colOff>
      <xdr:row>92</xdr:row>
      <xdr:rowOff>177165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234440" y="14466570"/>
          <a:ext cx="11624310" cy="27603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Provisional Recommendations for the</a:t>
          </a:r>
          <a:r>
            <a:rPr lang="en-US" sz="1200" b="1" baseline="0"/>
            <a:t> Vegan Workers Group</a:t>
          </a:r>
          <a:endParaRPr lang="en-US" sz="1100" b="1"/>
        </a:p>
        <a:p>
          <a:endParaRPr lang="en-US" sz="1100"/>
        </a:p>
        <a:p>
          <a:r>
            <a:rPr lang="en-US" sz="1100"/>
            <a:t>1. Overall, by using</a:t>
          </a:r>
          <a:r>
            <a:rPr lang="en-US" sz="1100" baseline="0"/>
            <a:t> the 1-year vehicle model, we overall have a higher 1st year capital. It would be advantageous to not let JUST a sensitivity analysis on one year affect the whole business decision, but early simulations</a:t>
          </a:r>
        </a:p>
        <a:p>
          <a:r>
            <a:rPr lang="en-US" sz="1100" baseline="0"/>
            <a:t>seem to be promising. </a:t>
          </a:r>
          <a:endParaRPr lang="en-US" sz="1100"/>
        </a:p>
        <a:p>
          <a:endParaRPr lang="en-US" sz="1100"/>
        </a:p>
        <a:p>
          <a:endParaRPr lang="en-US" sz="1100"/>
        </a:p>
        <a:p>
          <a:r>
            <a:rPr lang="en-US" sz="1100"/>
            <a:t>2. While</a:t>
          </a:r>
          <a:r>
            <a:rPr lang="en-US" sz="1100" baseline="0"/>
            <a:t> the higher IQR can lead to more volatility, there is some security with the lower kurtosis (smaller tails), which could mean that we have some security in our investment, even if we have some volatility. That's the </a:t>
          </a:r>
        </a:p>
        <a:p>
          <a:r>
            <a:rPr lang="en-US" sz="1100" baseline="0"/>
            <a:t>beauty of the smaller kurtosis - we may be covering ourselves a bit too much, but we are prepared for a REALLY rainy day in this case. </a:t>
          </a:r>
          <a:endParaRPr lang="en-US" sz="1100"/>
        </a:p>
        <a:p>
          <a:endParaRPr lang="en-US" sz="1100"/>
        </a:p>
        <a:p>
          <a:endParaRPr lang="en-US" sz="1100"/>
        </a:p>
        <a:p>
          <a:r>
            <a:rPr lang="en-US" sz="1100"/>
            <a:t>3. A recommendation may be to do a further analysis</a:t>
          </a:r>
          <a:r>
            <a:rPr lang="en-US" sz="1100" baseline="0"/>
            <a:t> to address volatility within our IQR - by possibly adding a few funds that are still short (possibly fund B), you can reduce the IQR to something more sensible, I say this mostly because, from our data worksheet, we can see that the minimum claims we have is 101. So there is definitely a balance that exists here, we've just seen both sides of the spectrum.</a:t>
          </a:r>
          <a:endParaRPr lang="en-US" sz="1100"/>
        </a:p>
        <a:p>
          <a:endParaRPr lang="en-US" sz="1100"/>
        </a:p>
        <a:p>
          <a:r>
            <a:rPr lang="en-US" sz="1100"/>
            <a:t>4. Now that we can</a:t>
          </a:r>
          <a:r>
            <a:rPr lang="en-US" sz="1100" baseline="0"/>
            <a:t> start to dig into the probability of claims happening, we might want to do a further dive into how insuring ourselves would affect our bottom line - if we all had billions to contribute to the fund, we could always insure ourselves, but how EASY is it to put our funds forward? Maybe create a new constraint in the future, where the first year capital is initially taking into consideration the maximum total contributions of the companies involved? </a:t>
          </a:r>
          <a:endParaRPr lang="en-US" sz="1100"/>
        </a:p>
      </xdr:txBody>
    </xdr:sp>
    <xdr:clientData/>
  </xdr:twoCellAnchor>
  <xdr:twoCellAnchor>
    <xdr:from>
      <xdr:col>3</xdr:col>
      <xdr:colOff>0</xdr:colOff>
      <xdr:row>33</xdr:row>
      <xdr:rowOff>0</xdr:rowOff>
    </xdr:from>
    <xdr:to>
      <xdr:col>14</xdr:col>
      <xdr:colOff>581025</xdr:colOff>
      <xdr:row>49</xdr:row>
      <xdr:rowOff>45720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828800" y="6362700"/>
          <a:ext cx="10991850" cy="2941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Description</a:t>
          </a:r>
          <a:r>
            <a:rPr lang="en-US" sz="1100" b="1" baseline="0"/>
            <a:t> of short-term funding vehicle allocation model</a:t>
          </a:r>
          <a:endParaRPr lang="en-US" sz="1100" b="1"/>
        </a:p>
        <a:p>
          <a:endParaRPr lang="en-US" sz="1100"/>
        </a:p>
        <a:p>
          <a:r>
            <a:rPr lang="en-US" sz="1100" b="1"/>
            <a:t>1.  Decisions.</a:t>
          </a:r>
        </a:p>
        <a:p>
          <a:r>
            <a:rPr lang="en-US" sz="1100"/>
            <a:t>This is a model that asks</a:t>
          </a:r>
          <a:r>
            <a:rPr lang="en-US" sz="1100" baseline="0"/>
            <a:t> what happens if we compare what we did last week to only using short-term funds. Does this change our volatility? Does this improve our</a:t>
          </a:r>
          <a:endParaRPr lang="en-US" sz="1100"/>
        </a:p>
        <a:p>
          <a:r>
            <a:rPr lang="en-US" sz="1100"/>
            <a:t>bottom line?</a:t>
          </a:r>
          <a:r>
            <a:rPr lang="en-US" sz="1100" baseline="0"/>
            <a:t> By only selecting the year cash flows of fund A (our short-term vehicle), we automatically push the fund allocations and compare them between using only short term</a:t>
          </a:r>
        </a:p>
        <a:p>
          <a:r>
            <a:rPr lang="en-US" sz="1100" baseline="0"/>
            <a:t>allocations and the "all" tab. </a:t>
          </a:r>
        </a:p>
        <a:p>
          <a:r>
            <a:rPr lang="en-US" sz="1100" baseline="0"/>
            <a:t>We begin with the basic decision of: "How much capital do we invest in oru A fund each year?"</a:t>
          </a:r>
          <a:endParaRPr lang="en-US" sz="1100"/>
        </a:p>
        <a:p>
          <a:endParaRPr lang="en-US" sz="1100"/>
        </a:p>
        <a:p>
          <a:r>
            <a:rPr lang="en-US" sz="1100" b="1"/>
            <a:t>2.  Objectives.</a:t>
          </a:r>
        </a:p>
        <a:p>
          <a:r>
            <a:rPr lang="en-US" sz="1100"/>
            <a:t>See</a:t>
          </a:r>
          <a:r>
            <a:rPr lang="en-US" sz="1100" baseline="0"/>
            <a:t> if it's more worth our time to use all of our funds or to only use short term funds. Show this comparison with a sensitivity analysis and finally make a recommendation to the companies involved.</a:t>
          </a:r>
          <a:endParaRPr lang="en-US" sz="1100"/>
        </a:p>
        <a:p>
          <a:r>
            <a:rPr lang="en-US" sz="1100"/>
            <a:t>We influence our decision by controlling</a:t>
          </a:r>
          <a:r>
            <a:rPr lang="en-US" sz="1100" baseline="0"/>
            <a:t> how much money we enter in year 1 - this will influence all future years. </a:t>
          </a:r>
          <a:endParaRPr lang="en-US" sz="1100"/>
        </a:p>
        <a:p>
          <a:endParaRPr lang="en-US" sz="1100"/>
        </a:p>
        <a:p>
          <a:r>
            <a:rPr lang="en-US" sz="1100" b="1"/>
            <a:t>3.  Constraints.</a:t>
          </a:r>
        </a:p>
        <a:p>
          <a:r>
            <a:rPr lang="en-US" sz="1100"/>
            <a:t>Our surplus every year needs to be</a:t>
          </a:r>
          <a:r>
            <a:rPr lang="en-US" sz="1100" baseline="0"/>
            <a:t> same as our claims amount. We can add this as a constraint when looking at our solver settings.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5715</xdr:colOff>
      <xdr:row>20</xdr:row>
      <xdr:rowOff>91440</xdr:rowOff>
    </xdr:from>
    <xdr:to>
      <xdr:col>3</xdr:col>
      <xdr:colOff>68580</xdr:colOff>
      <xdr:row>25</xdr:row>
      <xdr:rowOff>28575</xdr:rowOff>
    </xdr:to>
    <xdr:sp macro="" textlink="">
      <xdr:nvSpPr>
        <xdr:cNvPr id="2" name="Note">
          <a:extLst>
            <a:ext uri="{FF2B5EF4-FFF2-40B4-BE49-F238E27FC236}">
              <a16:creationId xmlns:a16="http://schemas.microsoft.com/office/drawing/2014/main" id="{00000000-0008-0000-0400-000002000000}"/>
            </a:ext>
          </a:extLst>
        </xdr:cNvPr>
        <xdr:cNvSpPr txBox="1">
          <a:spLocks noChangeArrowheads="1"/>
        </xdr:cNvSpPr>
      </xdr:nvSpPr>
      <xdr:spPr bwMode="auto">
        <a:xfrm>
          <a:off x="630555" y="3467100"/>
          <a:ext cx="1746885" cy="775335"/>
        </a:xfrm>
        <a:prstGeom prst="rect">
          <a:avLst/>
        </a:prstGeom>
        <a:solidFill>
          <a:schemeClr val="accent3">
            <a:lumMod val="20000"/>
            <a:lumOff val="80000"/>
          </a:schemeClr>
        </a:solidFill>
        <a:ln w="9525">
          <a:solidFill>
            <a:srgbClr val="000000"/>
          </a:solidFill>
          <a:miter lim="800000"/>
          <a:headEnd/>
          <a:tailEnd/>
        </a:ln>
        <a:effectLst>
          <a:outerShdw blurRad="63500"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Fixedsys"/>
            </a:rPr>
            <a:t>Minimize:       E19</a:t>
          </a:r>
        </a:p>
        <a:p>
          <a:pPr algn="l" rtl="0">
            <a:defRPr sz="1000"/>
          </a:pPr>
          <a:r>
            <a:rPr lang="en-US" sz="1000" b="0" i="0" u="none" strike="noStrike" baseline="0">
              <a:solidFill>
                <a:srgbClr val="000000"/>
              </a:solidFill>
              <a:latin typeface="Fixedsys"/>
            </a:rPr>
            <a:t>By changing:  E7:E18</a:t>
          </a:r>
        </a:p>
        <a:p>
          <a:pPr algn="l" rtl="0">
            <a:defRPr sz="1000"/>
          </a:pPr>
          <a:r>
            <a:rPr lang="en-US" sz="1000" b="0" i="0" u="none" strike="noStrike" baseline="0">
              <a:solidFill>
                <a:srgbClr val="000000"/>
              </a:solidFill>
              <a:latin typeface="Fixedsys"/>
            </a:rPr>
            <a:t>Subject to:     G19:L19=G20:L20</a:t>
          </a:r>
        </a:p>
        <a:p>
          <a:pPr algn="l" rtl="0">
            <a:defRPr sz="1000"/>
          </a:pPr>
          <a:r>
            <a:rPr lang="en-US" sz="1000" b="0" i="0" u="none" strike="noStrike" baseline="0">
              <a:solidFill>
                <a:srgbClr val="000000"/>
              </a:solidFill>
              <a:latin typeface="Fixedsys"/>
            </a:rPr>
            <a:t>                        E7:E18&gt;=0</a:t>
          </a:r>
        </a:p>
      </xdr:txBody>
    </xdr:sp>
    <xdr:clientData/>
  </xdr:twoCellAnchor>
  <mc:AlternateContent xmlns:mc="http://schemas.openxmlformats.org/markup-compatibility/2006">
    <mc:Choice xmlns:a14="http://schemas.microsoft.com/office/drawing/2010/main" Requires="a14">
      <xdr:twoCellAnchor>
        <xdr:from>
          <xdr:col>8</xdr:col>
          <xdr:colOff>15240</xdr:colOff>
          <xdr:row>21</xdr:row>
          <xdr:rowOff>129540</xdr:rowOff>
        </xdr:from>
        <xdr:to>
          <xdr:col>11</xdr:col>
          <xdr:colOff>91440</xdr:colOff>
          <xdr:row>24</xdr:row>
          <xdr:rowOff>91440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Allocator 1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327660</xdr:colOff>
          <xdr:row>21</xdr:row>
          <xdr:rowOff>152400</xdr:rowOff>
        </xdr:from>
        <xdr:to>
          <xdr:col>14</xdr:col>
          <xdr:colOff>213360</xdr:colOff>
          <xdr:row>24</xdr:row>
          <xdr:rowOff>60960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400-00001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Allocator 100 times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266280</xdr:colOff>
      <xdr:row>1</xdr:row>
      <xdr:rowOff>48566</xdr:rowOff>
    </xdr:from>
    <xdr:to>
      <xdr:col>4</xdr:col>
      <xdr:colOff>266640</xdr:colOff>
      <xdr:row>1</xdr:row>
      <xdr:rowOff>48926</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800-000002000000}"/>
                </a:ext>
              </a:extLst>
            </xdr14:cNvPr>
            <xdr14:cNvContentPartPr/>
          </xdr14:nvContentPartPr>
          <xdr14:nvPr macro=""/>
          <xdr14:xfrm>
            <a:off x="875880" y="418680"/>
            <a:ext cx="360" cy="360"/>
          </xdr14:xfrm>
        </xdr:contentPart>
      </mc:Choice>
      <mc:Fallback xmlns="">
        <xdr:pic>
          <xdr:nvPicPr>
            <xdr:cNvPr id="53" name="Ink 52">
              <a:extLst>
                <a:ext uri="{FF2B5EF4-FFF2-40B4-BE49-F238E27FC236}">
                  <a16:creationId xmlns:a16="http://schemas.microsoft.com/office/drawing/2014/main" id="{C34459D1-CD31-4DE8-AF4E-621E37C7A83F}"/>
                </a:ext>
              </a:extLst>
            </xdr:cNvPr>
            <xdr:cNvPicPr/>
          </xdr:nvPicPr>
          <xdr:blipFill>
            <a:blip xmlns:r="http://schemas.openxmlformats.org/officeDocument/2006/relationships" r:embed="rId27"/>
            <a:stretch>
              <a:fillRect/>
            </a:stretch>
          </xdr:blipFill>
          <xdr:spPr>
            <a:xfrm>
              <a:off x="858240" y="401040"/>
              <a:ext cx="36000" cy="3600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2</xdr:row>
      <xdr:rowOff>0</xdr:rowOff>
    </xdr:from>
    <xdr:to>
      <xdr:col>11</xdr:col>
      <xdr:colOff>0</xdr:colOff>
      <xdr:row>16</xdr:row>
      <xdr:rowOff>68580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611320</xdr:colOff>
      <xdr:row>0</xdr:row>
      <xdr:rowOff>136300</xdr:rowOff>
    </xdr:from>
    <xdr:to>
      <xdr:col>33</xdr:col>
      <xdr:colOff>306520</xdr:colOff>
      <xdr:row>15</xdr:row>
      <xdr:rowOff>136300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266280</xdr:colOff>
      <xdr:row>1</xdr:row>
      <xdr:rowOff>48566</xdr:rowOff>
    </xdr:from>
    <xdr:to>
      <xdr:col>1</xdr:col>
      <xdr:colOff>266640</xdr:colOff>
      <xdr:row>1</xdr:row>
      <xdr:rowOff>48926</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4" name="Ink 3">
              <a:extLst>
                <a:ext uri="{FF2B5EF4-FFF2-40B4-BE49-F238E27FC236}">
                  <a16:creationId xmlns:a16="http://schemas.microsoft.com/office/drawing/2014/main" id="{00000000-0008-0000-0A00-000004000000}"/>
                </a:ext>
              </a:extLst>
            </xdr14:cNvPr>
            <xdr14:cNvContentPartPr/>
          </xdr14:nvContentPartPr>
          <xdr14:nvPr macro=""/>
          <xdr14:xfrm>
            <a:off x="875880" y="418680"/>
            <a:ext cx="360" cy="360"/>
          </xdr14:xfrm>
        </xdr:contentPart>
      </mc:Choice>
      <mc:Fallback xmlns="">
        <xdr:pic>
          <xdr:nvPicPr>
            <xdr:cNvPr id="53" name="Ink 52">
              <a:extLst>
                <a:ext uri="{FF2B5EF4-FFF2-40B4-BE49-F238E27FC236}">
                  <a16:creationId xmlns:a16="http://schemas.microsoft.com/office/drawing/2014/main" id="{C34459D1-CD31-4DE8-AF4E-621E37C7A83F}"/>
                </a:ext>
              </a:extLst>
            </xdr:cNvPr>
            <xdr:cNvPicPr/>
          </xdr:nvPicPr>
          <xdr:blipFill>
            <a:blip xmlns:r="http://schemas.openxmlformats.org/officeDocument/2006/relationships" r:embed="rId27"/>
            <a:stretch>
              <a:fillRect/>
            </a:stretch>
          </xdr:blipFill>
          <xdr:spPr>
            <a:xfrm>
              <a:off x="858240" y="401040"/>
              <a:ext cx="36000" cy="3600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17</xdr:col>
      <xdr:colOff>299357</xdr:colOff>
      <xdr:row>7</xdr:row>
      <xdr:rowOff>119561</xdr:rowOff>
    </xdr:from>
    <xdr:to>
      <xdr:col>22</xdr:col>
      <xdr:colOff>149861</xdr:colOff>
      <xdr:row>25</xdr:row>
      <xdr:rowOff>188687</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gfoo/OneDrive/Documents/0-decision-optimization/mbac617/00021S/week5/3-workbook/week5-sim-1-waiting-time-cholesky-dem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MDA/Dropbox/SMDA/SMDA%207ed/SMDA%207ed%20Data%20Files/Chapter%2003/Taco-Viv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tion-a-b"/>
      <sheetName val="simulation-live"/>
      <sheetName val="eda"/>
      <sheetName val="&gt;&gt;&gt;&gt;&gt;&gt;"/>
      <sheetName val="simulation-pm"/>
      <sheetName val="simulation-am"/>
      <sheetName val="control"/>
      <sheetName val="cholesky"/>
      <sheetName val="gaussian"/>
      <sheetName val="poisson"/>
    </sheetNames>
    <sheetDataSet>
      <sheetData sheetId="0">
        <row r="10">
          <cell r="C10">
            <v>10</v>
          </cell>
        </row>
        <row r="11">
          <cell r="C11">
            <v>20</v>
          </cell>
        </row>
      </sheetData>
      <sheetData sheetId="1">
        <row r="2">
          <cell r="F2" t="str">
            <v>mu</v>
          </cell>
        </row>
      </sheetData>
      <sheetData sheetId="2">
        <row r="2">
          <cell r="L2" t="str">
            <v>relative frequency</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co-Viva"/>
    </sheetNames>
    <definedNames>
      <definedName name="Toggle"/>
    </definedNames>
    <sheetDataSet>
      <sheetData sheetId="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5-07T13:33:20.352"/>
    </inkml:context>
    <inkml:brush xml:id="br0">
      <inkml:brushProperty name="width" value="0.1" units="cm"/>
      <inkml:brushProperty name="height" value="0.1" units="cm"/>
      <inkml:brushProperty name="color" value="#E71224"/>
    </inkml:brush>
  </inkml:definitions>
  <inkml:trace contextRef="#ctx0" brushRef="#br0">86 9 2921,'0'0'105,"0"-1"0,0 1 0,0 0 1,0-1-1,0 1 0,0 0 0,-1 0 0,1-1 1,0 1-1,0 0 0,0 0 0,-1-1 1,1 1-1,0 0 0,0 0 0,0-1 0,-1 1 1,1 0-1,0 0 0,-1 0 0,1 0 1,0-1-1,0 1 0,-1 0 0,1 0 0,0 0 1,-1 0-1,1 0 0,0 0 0,-1 0 1,1 0-1,0 0 0,-1 0 0,1 0 1,0 0-1,0 0 0,-1 0 0,1 0 0,-1 0 1,-14 5-523,5-1 1878,3 0-280,6 12-670,1 68-147,8-101 144,-5 5-520,-3 12 10,0 1-1,0-1 0,0 0 1,0 0-1,0 0 1,0 0-1,0 0 1,0 0-1,0 0 0,0 0 1,0 0-1,0 0 1,0 0-1,-1 0 1,1 0-1,0 0 0,0 0 1,0 0-1,0 0 1,0 0-1,0 0 1,0 0-1,0 0 0,0 0 1,0 0-1,0 0 1,-1 0-1,1 0 1,0 0-1,0 0 0,0 0 1,0 0-1,0 0 1,0 0-1,0 0 1,0 0-1,0 0 0,0 0 1,0 0-1,0 0 1,-1 0-1,1 0 1,0 0-1,0 0 0,0 0 1,0 0-1,0 0 1,0 0-1,0 0 1,0-1-1,0 1 0,0 0 1,0 0-1,0 0 1,0 0-1,0 0 1,0 0 22,0 0 1,-1 1 0,1-1 0,0 0 0,0 1-1,0-1 1,-1 0 0,1 0 0,0 0 0,0 1-1,-1-1 1,1 0 0,0 0 0,0 0 0,-1 0-1,1 1 1,0-1 0,-1 0 0,1 0 0,0 0-1,-1 0 1,1 0 0,0 0 0,-1 0 0,1 0-1,0 0 1,0 0 0,-1 0 0,1 0 0,0 0-1,-1 0 1,1 0 0,0 0 0,-1 0 0,1-1-1,0 1 1,-1 0 0,1 0 0,0 0 0,0 0-1,-1-1 1,-4-16 83,4-29-309,1 39 427,0 5-185,0 1-30,0 1 0,0-1 0,-1 1 0,1-1 0,0 1 0,0-1 0,0 1 0,0-1 0,0 1 0,0-1-1,0 1 1,0-1 0,0 1 0,0-1 0,1 1 0,-1-1 0,0 1 0,0-1 0,0 1 0,1-1 0,-1 1 0,0-1 0,0 1 0,1 0 0,-1-1 0,0 1 0,1-1-1,-1 1 1,0 0 0,1-1 0,-1 1 0,1 0 0,-1 0 0,1-1 0,-1 1 0,1 0 0,-1 0 0,1 0 0,-1 0 0,1-1 0,-1 1 0,1 0 0,-1 0 0,1 0-1,-1 0 1,1 0 0,-1 0 0,1 0 0,-1 0 0,1 0 0,-1 1 0,1-1 0,-1 0 0,1 0 0,-1 0 0,1 1 0,-1-1 0,1 0 0,-1 0 0,1 1 0,44 20-81,-38-17 77,1 0 1,-1 0-1,1-1 1,14 4 0,-2-7 48,-18 0-43,-1 0 0,1 0 0,0 0 0,-1-1 0,1 2 0,0-1 0,-1 0 0,1 0 0,0 0 0,-1 1 0,3 0 0,-2 7-81,-2-8 82,0 1 0,0-1 0,0 0 1,0 1-1,0-1 0,0 0 0,0 1 1,0-1-1,0 0 0,0 1 0,0-1 0,0 0 1,0 1-1,0-1 0,0 0 0,0 1 1,0-1-1,1 0 0,-1 1 0,0-1 0,0 0 1,0 1-1,1-1 0,-1 0 0,0 0 1,0 1-1,1-1 0,-1 0 0,0 0 0,0 1 1,1-1-1,-1 0 0,0 0 0,1 0 0,-1 0 1,0 1-1,1-1 0,-1 0 0,0 0 1,1 0-1,-1 0 0,0 0 0,1 0 0,0 0 1,-1 0 21,-20 32 138,18-30-177,0-1 0,0 1-1,0 0 1,-1-1-1,1 1 1,-1-1-1,1 0 1,-1 0 0,0 0-1,1 0 1,-1 0-1,-5 0 1,4 0-9,0 0 0,0 0-1,1 0 1,-1 1 0,1-1 0,-7 4 0,1 3 135,-7 1 397,15-9-500,1-1 1,-1 1-1,0 0 1,0-1-1,0 1 0,1-1 1,-1 1-1,0-1 0,1 1 1,-1-1-1,0 1 1,1-1-1,-1 0 0,1 1 1,-1-1-1,1 0 0,-1 0 1,1 1-1,-1-1 1,1-2-1,-4-2-84,0-1-1,0 1 1,0 0 0,-1 0 0,1 1-1,-1-1 1,0 1 0,-1 0 0,1 0-1,-11-5 1,4 1 450,11 1-338,22-4-383,3-1 425,-21 9-107,0-1-1,0 2 0,0-1 0,1 0 0,-1 1 1,1-1-1,0 1 0,-1 0 0,1 0 0,0 1 1,0-1-1,1 1 0,-1 0 0,0 0 0,0 0 0,7 0 1,-8 1 168,-2 0-144,0 0-1,-1 0 1,1 0-1,0-1 1,-1 1-1,1 0 1,0 0-1,-1 1 0,1-1 1,0 0-1,-1 0 1,1 0-1,-1 0 1,1 0-1,0 1 1,-1-1-1,1 0 1,-1 1-1,1-1 1,0 0-1,-1 1 1,1-1-1,-1 1 1,0-1-1,1 1 1,-1-1-1,1 1 1,-1-1-1,0 1 0,1-1 1,-1 1-1,0-1 1,1 1-1,-1 0 1,0-1-1,0 1 1,0 0-1,0-1 1,1 1-1,-1-1 1,0 1-1,0 0 1,0-1-1,0 1 1,-1 1-1,20 105 54,-11-66-5,-8-37-131,-1-8-4178,1-1 1990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5-07T13:33:20.353"/>
    </inkml:context>
    <inkml:brush xml:id="br0">
      <inkml:brushProperty name="width" value="0.1" units="cm"/>
      <inkml:brushProperty name="height" value="0.1" units="cm"/>
      <inkml:brushProperty name="color" value="#E71224"/>
    </inkml:brush>
  </inkml:definitions>
  <inkml:trace contextRef="#ctx0" brushRef="#br0">48 38 3393,'0'0'1429,"0"0"-112,0 0-612,0 0-477,0 0-230,9-37-9,-6 64 4276,-2-16-4264,1 0-1,1 0 1,0-1-1,0 0 1,8 16 0,-9-23 26,1 1 0,-1-1 0,1 0 0,0 0 1,0 0-1,0 0 0,5 4 0,7 6 392,-14-12-353,0 0-1,0 0 1,0 0 0,0 0 0,0 0-1,-1 0 1,1 0 0,0 0 0,-1 1-1,1-1 1,-1 0 0,1 0 0,-1 1-1,0-1 1,1 0 0,-1 0 0,0 1-1,0-1 1,0 2 0,0-2-63,-1 0-1,1 0 1,0 0 0,-1 0-1,1-1 1,-1 1 0,1 0 0,-1 0-1,1-1 1,-1 1 0,0 0-1,1-1 1,-1 1 0,0 0 0,1-1-1,-1 1 1,0-1 0,0 0-1,0 1 1,1-1 0,-1 0 0,0 1-1,0-1 1,0 0 0,0 0-1,0 1 1,0-1 0,0 0-1,-1 0 1,-30 2 18,-28 5 12,51-4-52,-1-3-126,9-14 4,1 4 125,0 3 80,-1 6-69,1-1-1,0 1 0,0-1 0,0 1 1,0-1-1,0 1 0,0-1 1,0 1-1,1-1 0,-1 1 1,0-1-1,1 1 0,-1 0 0,1-1 1,0 1-1,-1 0 0,1-1 1,0 1-1,0 0 0,0 0 0,0 0 1,0-1-1,0 1 0,0 0 1,0 0-1,1 1 0,1-2 0,33-21 140,-26 18-158,-1 0 1,0-1 0,0 0-1,-1 0 1,15-15 0,-19 17 36,2-1 0,-1 1 0,0 1 1,1-1-1,0 1 0,11-6 0,-7 5 67,-18 5-215,0 0 0,0-1 0,-1 0 0,-10-1 0,-4 0 118,20 1 12,0 1-1,0-1 1,0 0 0,0 1 0,0 0 0,0 0 0,0 0 0,1 0 0,-1 0-1,0 0 1,1 1 0,-1-1 0,1 1 0,-1 0 0,1 0 0,0 0 0,0 0-1,-3 4 1,-10-31-732,15 22-2260,0 2 815</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2-27T21:28:38.702"/>
    </inkml:context>
    <inkml:brush xml:id="br0">
      <inkml:brushProperty name="width" value="0.1" units="cm"/>
      <inkml:brushProperty name="height" value="0.1" units="cm"/>
      <inkml:brushProperty name="color" value="#FF0066"/>
      <inkml:brushProperty name="ignorePressure" value="1"/>
    </inkml:brush>
  </inkml:definitions>
  <inkml:trace contextRef="#ctx0" brushRef="#br0">1 1,'0'0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4-24T16:55:15.333"/>
    </inkml:context>
    <inkml:brush xml:id="br0">
      <inkml:brushProperty name="width" value="0.1" units="cm"/>
      <inkml:brushProperty name="height" value="0.1" units="cm"/>
      <inkml:brushProperty name="color" value="#FF0066"/>
      <inkml:brushProperty name="ignorePressure" value="1"/>
    </inkml:brush>
  </inkml:definitions>
  <inkml:trace contextRef="#ctx0" brushRef="#br0">1 1,'0'0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AC92C-1F5E-429D-AFE1-EEAF1D9CE464}">
  <dimension ref="B2:L93"/>
  <sheetViews>
    <sheetView tabSelected="1" zoomScale="76" workbookViewId="0"/>
  </sheetViews>
  <sheetFormatPr defaultColWidth="8.77734375" defaultRowHeight="14.4" x14ac:dyDescent="0.3"/>
  <sheetData>
    <row r="2" spans="2:2" ht="23.4" x14ac:dyDescent="0.45">
      <c r="B2" s="224" t="s">
        <v>170</v>
      </c>
    </row>
    <row r="93" spans="12:12" x14ac:dyDescent="0.3">
      <c r="L93" t="s">
        <v>171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F8400-D023-445B-92CD-299BE7DD1E8A}">
  <dimension ref="A1"/>
  <sheetViews>
    <sheetView zoomScale="148" workbookViewId="0"/>
  </sheetViews>
  <sheetFormatPr defaultColWidth="8.77734375" defaultRowHeight="14.4"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C071-F9A8-4591-9456-461300F361D4}">
  <dimension ref="B2:L77"/>
  <sheetViews>
    <sheetView zoomScaleNormal="80" workbookViewId="0">
      <selection activeCell="M1" sqref="M1"/>
    </sheetView>
  </sheetViews>
  <sheetFormatPr defaultColWidth="8.77734375" defaultRowHeight="14.4" x14ac:dyDescent="0.3"/>
  <cols>
    <col min="4" max="4" width="22.77734375" customWidth="1"/>
    <col min="5" max="5" width="16.77734375" customWidth="1"/>
    <col min="6" max="6" width="14.77734375" customWidth="1"/>
    <col min="9" max="9" width="19" customWidth="1"/>
    <col min="10" max="10" width="17.44140625" customWidth="1"/>
    <col min="11" max="11" width="16.44140625" customWidth="1"/>
  </cols>
  <sheetData>
    <row r="2" spans="2:12" ht="21" x14ac:dyDescent="0.4">
      <c r="B2" s="176" t="s">
        <v>155</v>
      </c>
    </row>
    <row r="4" spans="2:12" ht="18" x14ac:dyDescent="0.35">
      <c r="C4" s="175" t="s">
        <v>156</v>
      </c>
    </row>
    <row r="5" spans="2:12" ht="18" x14ac:dyDescent="0.35">
      <c r="C5" s="175"/>
    </row>
    <row r="6" spans="2:12" ht="18" x14ac:dyDescent="0.35">
      <c r="C6" s="175"/>
      <c r="D6" s="173" t="s">
        <v>166</v>
      </c>
    </row>
    <row r="7" spans="2:12" ht="18" x14ac:dyDescent="0.35">
      <c r="C7" s="175"/>
      <c r="D7" s="173" t="s">
        <v>167</v>
      </c>
    </row>
    <row r="8" spans="2:12" ht="18" x14ac:dyDescent="0.35">
      <c r="C8" s="175"/>
      <c r="D8" t="s">
        <v>163</v>
      </c>
    </row>
    <row r="9" spans="2:12" ht="18" x14ac:dyDescent="0.35">
      <c r="C9" s="175"/>
    </row>
    <row r="10" spans="2:12" x14ac:dyDescent="0.3">
      <c r="D10" s="173" t="s">
        <v>157</v>
      </c>
      <c r="I10" s="173" t="s">
        <v>158</v>
      </c>
    </row>
    <row r="11" spans="2:12" x14ac:dyDescent="0.3">
      <c r="D11" s="173"/>
      <c r="I11" s="173"/>
    </row>
    <row r="12" spans="2:12" x14ac:dyDescent="0.3">
      <c r="D12" s="178"/>
      <c r="E12" s="199" t="s">
        <v>86</v>
      </c>
      <c r="F12" s="200"/>
      <c r="G12" s="178"/>
      <c r="I12" s="178"/>
      <c r="J12" s="199" t="s">
        <v>86</v>
      </c>
      <c r="K12" s="200"/>
      <c r="L12" s="178"/>
    </row>
    <row r="13" spans="2:12" x14ac:dyDescent="0.3">
      <c r="D13" s="107" t="s">
        <v>78</v>
      </c>
      <c r="E13" s="107" t="s">
        <v>79</v>
      </c>
      <c r="F13" s="107" t="s">
        <v>80</v>
      </c>
      <c r="G13" s="107" t="s">
        <v>81</v>
      </c>
      <c r="I13" s="107" t="s">
        <v>78</v>
      </c>
      <c r="J13" s="107" t="s">
        <v>79</v>
      </c>
      <c r="K13" s="107" t="s">
        <v>80</v>
      </c>
      <c r="L13" s="107" t="s">
        <v>81</v>
      </c>
    </row>
    <row r="14" spans="2:12" x14ac:dyDescent="0.3">
      <c r="D14" s="110" t="s">
        <v>82</v>
      </c>
      <c r="E14" s="111">
        <v>1</v>
      </c>
      <c r="F14" s="112">
        <v>2</v>
      </c>
      <c r="G14" s="113">
        <v>1.7999999999999999E-2</v>
      </c>
      <c r="I14" s="110" t="s">
        <v>82</v>
      </c>
      <c r="J14" s="186">
        <v>1</v>
      </c>
      <c r="K14" s="187">
        <v>2</v>
      </c>
      <c r="L14" s="113">
        <v>1.7999999999999999E-2</v>
      </c>
    </row>
    <row r="15" spans="2:12" x14ac:dyDescent="0.3">
      <c r="D15" s="114" t="s">
        <v>83</v>
      </c>
      <c r="E15" s="115">
        <v>1</v>
      </c>
      <c r="F15" s="116">
        <v>3</v>
      </c>
      <c r="G15" s="117">
        <v>3.5000000000000003E-2</v>
      </c>
      <c r="I15" s="114" t="s">
        <v>83</v>
      </c>
      <c r="J15" s="188"/>
      <c r="K15" s="189"/>
      <c r="L15" s="117">
        <v>3.5000000000000003E-2</v>
      </c>
    </row>
    <row r="16" spans="2:12" x14ac:dyDescent="0.3">
      <c r="D16" s="114" t="s">
        <v>84</v>
      </c>
      <c r="E16" s="115">
        <v>1</v>
      </c>
      <c r="F16" s="116">
        <v>4</v>
      </c>
      <c r="G16" s="117">
        <v>5.8000000000000003E-2</v>
      </c>
      <c r="I16" s="114" t="s">
        <v>84</v>
      </c>
      <c r="J16" s="188"/>
      <c r="K16" s="189"/>
      <c r="L16" s="117">
        <v>5.8000000000000003E-2</v>
      </c>
    </row>
    <row r="17" spans="4:12" x14ac:dyDescent="0.3">
      <c r="D17" s="114" t="s">
        <v>85</v>
      </c>
      <c r="E17" s="115">
        <v>1</v>
      </c>
      <c r="F17" s="116">
        <v>7</v>
      </c>
      <c r="G17" s="117">
        <v>0.11</v>
      </c>
      <c r="I17" s="114" t="s">
        <v>85</v>
      </c>
      <c r="J17" s="188"/>
      <c r="K17" s="189"/>
      <c r="L17" s="117">
        <v>0.11</v>
      </c>
    </row>
    <row r="18" spans="4:12" x14ac:dyDescent="0.3">
      <c r="D18" s="114" t="s">
        <v>82</v>
      </c>
      <c r="E18" s="115">
        <v>2</v>
      </c>
      <c r="F18" s="116">
        <v>3</v>
      </c>
      <c r="G18" s="117">
        <v>2.1999999999999999E-2</v>
      </c>
      <c r="I18" s="114" t="s">
        <v>82</v>
      </c>
      <c r="J18" s="188">
        <v>2</v>
      </c>
      <c r="K18" s="189">
        <v>3</v>
      </c>
      <c r="L18" s="117">
        <v>2.1999999999999999E-2</v>
      </c>
    </row>
    <row r="19" spans="4:12" x14ac:dyDescent="0.3">
      <c r="D19" s="114" t="s">
        <v>82</v>
      </c>
      <c r="E19" s="115">
        <v>3</v>
      </c>
      <c r="F19" s="116">
        <v>4</v>
      </c>
      <c r="G19" s="117">
        <v>2.1000000000000001E-2</v>
      </c>
      <c r="I19" s="114" t="s">
        <v>82</v>
      </c>
      <c r="J19" s="188">
        <v>3</v>
      </c>
      <c r="K19" s="189">
        <v>4</v>
      </c>
      <c r="L19" s="117">
        <v>2.1000000000000001E-2</v>
      </c>
    </row>
    <row r="20" spans="4:12" x14ac:dyDescent="0.3">
      <c r="D20" s="114" t="s">
        <v>83</v>
      </c>
      <c r="E20" s="115">
        <v>3</v>
      </c>
      <c r="F20" s="116">
        <v>5</v>
      </c>
      <c r="G20" s="117">
        <v>3.6999999999999998E-2</v>
      </c>
      <c r="I20" s="114" t="s">
        <v>83</v>
      </c>
      <c r="J20" s="188"/>
      <c r="K20" s="189"/>
      <c r="L20" s="117">
        <v>3.6999999999999998E-2</v>
      </c>
    </row>
    <row r="21" spans="4:12" x14ac:dyDescent="0.3">
      <c r="D21" s="114" t="s">
        <v>82</v>
      </c>
      <c r="E21" s="115">
        <v>4</v>
      </c>
      <c r="F21" s="116">
        <v>5</v>
      </c>
      <c r="G21" s="117">
        <v>2.4E-2</v>
      </c>
      <c r="I21" s="114" t="s">
        <v>82</v>
      </c>
      <c r="J21" s="188">
        <v>4</v>
      </c>
      <c r="K21" s="189">
        <v>5</v>
      </c>
      <c r="L21" s="117">
        <v>2.4E-2</v>
      </c>
    </row>
    <row r="22" spans="4:12" x14ac:dyDescent="0.3">
      <c r="D22" s="114" t="s">
        <v>84</v>
      </c>
      <c r="E22" s="115">
        <v>4</v>
      </c>
      <c r="F22" s="116">
        <v>7</v>
      </c>
      <c r="G22" s="117">
        <v>5.8000000000000003E-2</v>
      </c>
      <c r="I22" s="114" t="s">
        <v>84</v>
      </c>
      <c r="J22" s="188"/>
      <c r="K22" s="189"/>
      <c r="L22" s="117">
        <v>5.8000000000000003E-2</v>
      </c>
    </row>
    <row r="23" spans="4:12" x14ac:dyDescent="0.3">
      <c r="D23" s="114" t="s">
        <v>82</v>
      </c>
      <c r="E23" s="115">
        <v>5</v>
      </c>
      <c r="F23" s="116">
        <v>6</v>
      </c>
      <c r="G23" s="117">
        <v>2.5000000000000001E-2</v>
      </c>
      <c r="I23" s="114" t="s">
        <v>82</v>
      </c>
      <c r="J23" s="188">
        <v>5</v>
      </c>
      <c r="K23" s="189">
        <v>6</v>
      </c>
      <c r="L23" s="117">
        <v>2.5000000000000001E-2</v>
      </c>
    </row>
    <row r="24" spans="4:12" x14ac:dyDescent="0.3">
      <c r="D24" s="114" t="s">
        <v>83</v>
      </c>
      <c r="E24" s="115">
        <v>5</v>
      </c>
      <c r="F24" s="116">
        <v>7</v>
      </c>
      <c r="G24" s="117">
        <v>4.1000000000000002E-2</v>
      </c>
      <c r="I24" s="114" t="s">
        <v>83</v>
      </c>
      <c r="J24" s="188"/>
      <c r="K24" s="189"/>
      <c r="L24" s="117">
        <v>4.1000000000000002E-2</v>
      </c>
    </row>
    <row r="25" spans="4:12" x14ac:dyDescent="0.3">
      <c r="D25" s="118" t="s">
        <v>82</v>
      </c>
      <c r="E25" s="119">
        <v>6</v>
      </c>
      <c r="F25" s="120">
        <v>7</v>
      </c>
      <c r="G25" s="121">
        <v>1.7999999999999999E-2</v>
      </c>
      <c r="I25" s="118" t="s">
        <v>82</v>
      </c>
      <c r="J25" s="190">
        <v>6</v>
      </c>
      <c r="K25" s="191">
        <v>7</v>
      </c>
      <c r="L25" s="121">
        <v>1.7999999999999999E-2</v>
      </c>
    </row>
    <row r="27" spans="4:12" x14ac:dyDescent="0.3">
      <c r="D27" s="177" t="s">
        <v>159</v>
      </c>
      <c r="L27" s="173" t="s">
        <v>172</v>
      </c>
    </row>
    <row r="28" spans="4:12" x14ac:dyDescent="0.3">
      <c r="D28" s="177" t="s">
        <v>164</v>
      </c>
      <c r="L28" s="173" t="s">
        <v>172</v>
      </c>
    </row>
    <row r="29" spans="4:12" x14ac:dyDescent="0.3">
      <c r="D29" t="s">
        <v>165</v>
      </c>
      <c r="L29" s="173" t="s">
        <v>173</v>
      </c>
    </row>
    <row r="30" spans="4:12" x14ac:dyDescent="0.3">
      <c r="D30" t="s">
        <v>160</v>
      </c>
      <c r="L30" s="173" t="s">
        <v>174</v>
      </c>
    </row>
    <row r="32" spans="4:12" ht="15.6" x14ac:dyDescent="0.3">
      <c r="D32" s="174" t="s">
        <v>161</v>
      </c>
    </row>
    <row r="52" spans="3:5" ht="18" x14ac:dyDescent="0.35">
      <c r="C52" s="175" t="s">
        <v>152</v>
      </c>
    </row>
    <row r="53" spans="3:5" ht="18" x14ac:dyDescent="0.35">
      <c r="C53" s="175"/>
    </row>
    <row r="54" spans="3:5" x14ac:dyDescent="0.3">
      <c r="D54" s="173" t="s">
        <v>162</v>
      </c>
    </row>
    <row r="55" spans="3:5" x14ac:dyDescent="0.3">
      <c r="D55" s="173" t="s">
        <v>168</v>
      </c>
    </row>
    <row r="56" spans="3:5" x14ac:dyDescent="0.3">
      <c r="D56" s="173" t="s">
        <v>169</v>
      </c>
    </row>
    <row r="57" spans="3:5" x14ac:dyDescent="0.3">
      <c r="D57" s="173"/>
    </row>
    <row r="58" spans="3:5" x14ac:dyDescent="0.3">
      <c r="D58" s="192" t="s">
        <v>108</v>
      </c>
      <c r="E58" s="192" t="s">
        <v>147</v>
      </c>
    </row>
    <row r="59" spans="3:5" x14ac:dyDescent="0.3">
      <c r="C59" s="179" t="s">
        <v>0</v>
      </c>
      <c r="D59" s="193">
        <f ca="1">MIN( INDIRECT(D58))</f>
        <v>585.86222079342235</v>
      </c>
      <c r="E59" s="193">
        <f ca="1">MIN( INDIRECT(E$58))</f>
        <v>98.437482415358687</v>
      </c>
    </row>
    <row r="60" spans="3:5" x14ac:dyDescent="0.3">
      <c r="C60" s="180">
        <v>0.25</v>
      </c>
      <c r="D60" s="194">
        <f ca="1">PERCENTILE(INDIRECT(D$58),C60)</f>
        <v>862.97416195173594</v>
      </c>
      <c r="E60" s="194">
        <f ca="1">PERCENTILE(INDIRECT($E$58),C60)</f>
        <v>105.91677022117747</v>
      </c>
    </row>
    <row r="61" spans="3:5" x14ac:dyDescent="0.3">
      <c r="C61" s="181">
        <v>0.5</v>
      </c>
      <c r="D61" s="194">
        <f t="shared" ref="D61:D62" ca="1" si="0">PERCENTILE(INDIRECT(D$58),C61)</f>
        <v>1928.5695928193811</v>
      </c>
      <c r="E61" s="194">
        <f t="shared" ref="E61:E62" ca="1" si="1">PERCENTILE(INDIRECT($E$58),C61)</f>
        <v>117.98370453997686</v>
      </c>
    </row>
    <row r="62" spans="3:5" x14ac:dyDescent="0.3">
      <c r="C62" s="182">
        <v>0.75</v>
      </c>
      <c r="D62" s="194">
        <f t="shared" ca="1" si="0"/>
        <v>2869.6171121240404</v>
      </c>
      <c r="E62" s="194">
        <f t="shared" ca="1" si="1"/>
        <v>171.21415337733038</v>
      </c>
    </row>
    <row r="63" spans="3:5" x14ac:dyDescent="0.3">
      <c r="C63" s="179" t="s">
        <v>1</v>
      </c>
      <c r="D63" s="193">
        <f ca="1">MAX( INDIRECT(D58))</f>
        <v>6044.9106515109725</v>
      </c>
      <c r="E63" s="193">
        <f ca="1">MAX(INDIRECT(E58))</f>
        <v>2363.4577603143416</v>
      </c>
    </row>
    <row r="64" spans="3:5" x14ac:dyDescent="0.3">
      <c r="C64" s="179" t="s">
        <v>2</v>
      </c>
      <c r="D64" s="193">
        <f ca="1">D62-D60</f>
        <v>2006.6429501723046</v>
      </c>
      <c r="E64" s="193">
        <f ca="1">E62-E60</f>
        <v>65.297383156152904</v>
      </c>
    </row>
    <row r="65" spans="3:5" x14ac:dyDescent="0.3">
      <c r="C65" s="183" t="s">
        <v>3</v>
      </c>
      <c r="D65" s="195">
        <f ca="1">AVERAGE(INDIRECT(D$58))</f>
        <v>2094.2582992009543</v>
      </c>
      <c r="E65" s="195">
        <f ca="1">AVERAGE(INDIRECT(E$58))</f>
        <v>300.14804894867865</v>
      </c>
    </row>
    <row r="66" spans="3:5" x14ac:dyDescent="0.3">
      <c r="C66" s="184" t="s">
        <v>4</v>
      </c>
      <c r="D66" s="195">
        <f ca="1">STDEV(INDIRECT(D$58))</f>
        <v>1350.8856691198318</v>
      </c>
      <c r="E66" s="195">
        <f ca="1">STDEV(INDIRECT(E$58))</f>
        <v>511.33664968280038</v>
      </c>
    </row>
    <row r="67" spans="3:5" x14ac:dyDescent="0.3">
      <c r="C67" s="185" t="s">
        <v>62</v>
      </c>
      <c r="D67" s="196">
        <f ca="1">SKEW(INDIRECT(D$58))</f>
        <v>0.86101723906137018</v>
      </c>
      <c r="E67" s="196">
        <f ca="1">SKEW(INDIRECT(E$58))</f>
        <v>3.4467867005173094</v>
      </c>
    </row>
    <row r="68" spans="3:5" x14ac:dyDescent="0.3">
      <c r="C68" s="185" t="s">
        <v>63</v>
      </c>
      <c r="D68" s="197">
        <f ca="1">KURT(INDIRECT(D$58))</f>
        <v>0.14283925111261953</v>
      </c>
      <c r="E68" s="197">
        <f ca="1">KURT(INDIRECT(E$58))</f>
        <v>11.286722281997042</v>
      </c>
    </row>
    <row r="69" spans="3:5" x14ac:dyDescent="0.3">
      <c r="C69" s="179" t="s">
        <v>64</v>
      </c>
      <c r="D69" s="198">
        <f ca="1">COUNT(INDIRECT(D$58))</f>
        <v>100</v>
      </c>
      <c r="E69" s="198">
        <f ca="1">COUNT(INDIRECT(E$58))</f>
        <v>100</v>
      </c>
    </row>
    <row r="75" spans="3:5" ht="18" x14ac:dyDescent="0.35">
      <c r="C75" s="175" t="s">
        <v>153</v>
      </c>
    </row>
    <row r="76" spans="3:5" ht="18" x14ac:dyDescent="0.35">
      <c r="C76" s="175"/>
    </row>
    <row r="77" spans="3:5" x14ac:dyDescent="0.3">
      <c r="D77" s="173" t="s">
        <v>154</v>
      </c>
    </row>
  </sheetData>
  <mergeCells count="2">
    <mergeCell ref="E12:F12"/>
    <mergeCell ref="J12:K1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C00A5-D384-45DE-A1C8-00BA9BDFCA32}">
  <sheetPr codeName="Sheet9"/>
  <dimension ref="B2:I18"/>
  <sheetViews>
    <sheetView workbookViewId="0">
      <selection activeCell="B23" sqref="B23"/>
    </sheetView>
  </sheetViews>
  <sheetFormatPr defaultColWidth="8.77734375" defaultRowHeight="14.4" x14ac:dyDescent="0.3"/>
  <sheetData>
    <row r="2" spans="2:9" x14ac:dyDescent="0.3">
      <c r="B2" s="201" t="s">
        <v>43</v>
      </c>
      <c r="C2" s="202"/>
      <c r="D2" s="107">
        <v>1</v>
      </c>
      <c r="E2" s="107">
        <v>2</v>
      </c>
      <c r="F2" s="107">
        <v>3</v>
      </c>
      <c r="G2" s="107">
        <v>4</v>
      </c>
      <c r="H2" s="107">
        <v>5</v>
      </c>
      <c r="I2" s="107">
        <v>6</v>
      </c>
    </row>
    <row r="3" spans="2:9" x14ac:dyDescent="0.3">
      <c r="B3" s="201" t="s">
        <v>77</v>
      </c>
      <c r="C3" s="202"/>
      <c r="D3" s="108">
        <v>110</v>
      </c>
      <c r="E3" s="108">
        <v>143</v>
      </c>
      <c r="F3" s="108">
        <v>101</v>
      </c>
      <c r="G3" s="108">
        <v>1203</v>
      </c>
      <c r="H3" s="108">
        <v>875</v>
      </c>
      <c r="I3" s="108">
        <v>103</v>
      </c>
    </row>
    <row r="5" spans="2:9" x14ac:dyDescent="0.3">
      <c r="C5" s="109"/>
      <c r="D5" s="199" t="s">
        <v>86</v>
      </c>
      <c r="E5" s="200"/>
      <c r="F5" s="109"/>
    </row>
    <row r="6" spans="2:9" x14ac:dyDescent="0.3">
      <c r="C6" s="107" t="s">
        <v>78</v>
      </c>
      <c r="D6" s="107" t="s">
        <v>79</v>
      </c>
      <c r="E6" s="107" t="s">
        <v>80</v>
      </c>
      <c r="F6" s="107" t="s">
        <v>81</v>
      </c>
    </row>
    <row r="7" spans="2:9" x14ac:dyDescent="0.3">
      <c r="C7" s="110" t="s">
        <v>82</v>
      </c>
      <c r="D7" s="111">
        <f>IF( results!J14 = "", 8, results!J14 )</f>
        <v>1</v>
      </c>
      <c r="E7" s="111">
        <f>IF( results!K14 = "", 8, results!K14 )</f>
        <v>2</v>
      </c>
      <c r="F7" s="113">
        <v>1.7999999999999999E-2</v>
      </c>
    </row>
    <row r="8" spans="2:9" x14ac:dyDescent="0.3">
      <c r="C8" s="114" t="s">
        <v>83</v>
      </c>
      <c r="D8" s="111">
        <f>IF( results!J15 = "", 8, results!J15 )</f>
        <v>8</v>
      </c>
      <c r="E8" s="111">
        <f>IF( results!K15 = "", 8, results!K15 )</f>
        <v>8</v>
      </c>
      <c r="F8" s="117">
        <v>3.5000000000000003E-2</v>
      </c>
    </row>
    <row r="9" spans="2:9" x14ac:dyDescent="0.3">
      <c r="C9" s="114" t="s">
        <v>84</v>
      </c>
      <c r="D9" s="111">
        <f>IF( results!J16 = "", 8, results!J16 )</f>
        <v>8</v>
      </c>
      <c r="E9" s="111">
        <f>IF( results!K16 = "", 8, results!K16 )</f>
        <v>8</v>
      </c>
      <c r="F9" s="117">
        <v>5.8000000000000003E-2</v>
      </c>
    </row>
    <row r="10" spans="2:9" x14ac:dyDescent="0.3">
      <c r="C10" s="114" t="s">
        <v>85</v>
      </c>
      <c r="D10" s="111">
        <f>IF( results!J17 = "", 8, results!J17 )</f>
        <v>8</v>
      </c>
      <c r="E10" s="111">
        <f>IF( results!K17 = "", 8, results!K17 )</f>
        <v>8</v>
      </c>
      <c r="F10" s="117">
        <v>0.11</v>
      </c>
    </row>
    <row r="11" spans="2:9" x14ac:dyDescent="0.3">
      <c r="C11" s="114" t="s">
        <v>82</v>
      </c>
      <c r="D11" s="111">
        <f>IF( results!J18 = "", 8, results!J18 )</f>
        <v>2</v>
      </c>
      <c r="E11" s="111">
        <f>IF( results!K18 = "", 8, results!K18 )</f>
        <v>3</v>
      </c>
      <c r="F11" s="117">
        <v>2.1999999999999999E-2</v>
      </c>
    </row>
    <row r="12" spans="2:9" x14ac:dyDescent="0.3">
      <c r="C12" s="114" t="s">
        <v>82</v>
      </c>
      <c r="D12" s="111">
        <f>IF( results!J19 = "", 8, results!J19 )</f>
        <v>3</v>
      </c>
      <c r="E12" s="111">
        <f>IF( results!K19 = "", 8, results!K19 )</f>
        <v>4</v>
      </c>
      <c r="F12" s="117">
        <v>2.1000000000000001E-2</v>
      </c>
    </row>
    <row r="13" spans="2:9" x14ac:dyDescent="0.3">
      <c r="C13" s="114" t="s">
        <v>83</v>
      </c>
      <c r="D13" s="111">
        <f>IF( results!J20 = "", 8, results!J20 )</f>
        <v>8</v>
      </c>
      <c r="E13" s="111">
        <f>IF( results!K20 = "", 8, results!K20 )</f>
        <v>8</v>
      </c>
      <c r="F13" s="117">
        <v>3.6999999999999998E-2</v>
      </c>
    </row>
    <row r="14" spans="2:9" x14ac:dyDescent="0.3">
      <c r="C14" s="114" t="s">
        <v>82</v>
      </c>
      <c r="D14" s="111">
        <f>IF( results!J21 = "", 8, results!J21 )</f>
        <v>4</v>
      </c>
      <c r="E14" s="111">
        <f>IF( results!K21 = "", 8, results!K21 )</f>
        <v>5</v>
      </c>
      <c r="F14" s="117">
        <v>2.4E-2</v>
      </c>
    </row>
    <row r="15" spans="2:9" x14ac:dyDescent="0.3">
      <c r="C15" s="114" t="s">
        <v>84</v>
      </c>
      <c r="D15" s="111">
        <f>IF( results!J22 = "", 8, results!J22 )</f>
        <v>8</v>
      </c>
      <c r="E15" s="111">
        <f>IF( results!K22 = "", 8, results!K22 )</f>
        <v>8</v>
      </c>
      <c r="F15" s="117">
        <v>5.8000000000000003E-2</v>
      </c>
    </row>
    <row r="16" spans="2:9" x14ac:dyDescent="0.3">
      <c r="C16" s="114" t="s">
        <v>82</v>
      </c>
      <c r="D16" s="111">
        <f>IF( results!J23 = "", 8, results!J23 )</f>
        <v>5</v>
      </c>
      <c r="E16" s="111">
        <f>IF( results!K23 = "", 8, results!K23 )</f>
        <v>6</v>
      </c>
      <c r="F16" s="117">
        <v>2.5000000000000001E-2</v>
      </c>
    </row>
    <row r="17" spans="3:6" x14ac:dyDescent="0.3">
      <c r="C17" s="114" t="s">
        <v>83</v>
      </c>
      <c r="D17" s="111">
        <f>IF( results!J24 = "", 8, results!J24 )</f>
        <v>8</v>
      </c>
      <c r="E17" s="111">
        <f>IF( results!K24 = "", 8, results!K24 )</f>
        <v>8</v>
      </c>
      <c r="F17" s="117">
        <v>4.1000000000000002E-2</v>
      </c>
    </row>
    <row r="18" spans="3:6" x14ac:dyDescent="0.3">
      <c r="C18" s="118" t="s">
        <v>82</v>
      </c>
      <c r="D18" s="111">
        <f>IF( results!J25 = "", 8, results!J25 )</f>
        <v>6</v>
      </c>
      <c r="E18" s="111">
        <f>IF( results!K25 = "", 8, results!K25 )</f>
        <v>7</v>
      </c>
      <c r="F18" s="121">
        <v>1.7999999999999999E-2</v>
      </c>
    </row>
  </sheetData>
  <mergeCells count="3">
    <mergeCell ref="B2:C2"/>
    <mergeCell ref="B3:C3"/>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9AF94-C891-4B18-9753-CFC8E265BCE9}">
  <sheetPr codeName="Sheet11"/>
  <dimension ref="B3:W40"/>
  <sheetViews>
    <sheetView zoomScale="80" zoomScaleNormal="80" workbookViewId="0">
      <selection activeCell="F25" sqref="F25"/>
    </sheetView>
  </sheetViews>
  <sheetFormatPr defaultColWidth="9.109375" defaultRowHeight="13.2" x14ac:dyDescent="0.25"/>
  <cols>
    <col min="1" max="1" width="3" style="128" customWidth="1"/>
    <col min="2" max="2" width="16.44140625" style="128" customWidth="1"/>
    <col min="3" max="3" width="10.77734375" style="128" customWidth="1"/>
    <col min="4" max="4" width="12" style="128" customWidth="1"/>
    <col min="5" max="5" width="10.77734375" style="128" customWidth="1"/>
    <col min="6" max="6" width="8.109375" style="128" customWidth="1"/>
    <col min="7" max="7" width="6.33203125" style="128" customWidth="1"/>
    <col min="8" max="8" width="10.33203125" style="128" customWidth="1"/>
    <col min="9" max="14" width="6.33203125" style="128" customWidth="1"/>
    <col min="15" max="15" width="8.44140625" style="128" customWidth="1"/>
    <col min="16" max="17" width="9.109375" style="128"/>
    <col min="18" max="18" width="12.109375" style="128" customWidth="1"/>
    <col min="19" max="19" width="8.33203125" style="128" customWidth="1"/>
    <col min="20" max="20" width="7.77734375" style="128" customWidth="1"/>
    <col min="21" max="21" width="13.33203125" style="128" customWidth="1"/>
    <col min="22" max="16384" width="9.109375" style="128"/>
  </cols>
  <sheetData>
    <row r="3" spans="2:21" ht="13.8" x14ac:dyDescent="0.25">
      <c r="B3" s="127" t="s">
        <v>100</v>
      </c>
    </row>
    <row r="4" spans="2:21" x14ac:dyDescent="0.25">
      <c r="F4" s="129"/>
    </row>
    <row r="5" spans="2:21" x14ac:dyDescent="0.25">
      <c r="C5" s="206" t="s">
        <v>101</v>
      </c>
      <c r="D5" s="207"/>
      <c r="G5" s="206" t="s">
        <v>102</v>
      </c>
      <c r="H5" s="208"/>
      <c r="I5" s="208"/>
      <c r="J5" s="208"/>
      <c r="K5" s="208"/>
      <c r="L5" s="208"/>
      <c r="M5" s="207"/>
      <c r="N5" s="130"/>
      <c r="O5" s="144" t="s">
        <v>106</v>
      </c>
    </row>
    <row r="6" spans="2:21" x14ac:dyDescent="0.25">
      <c r="B6" s="131" t="s">
        <v>78</v>
      </c>
      <c r="C6" s="131" t="s">
        <v>79</v>
      </c>
      <c r="D6" s="131" t="s">
        <v>80</v>
      </c>
      <c r="E6" s="131" t="s">
        <v>103</v>
      </c>
      <c r="F6" s="131" t="s">
        <v>81</v>
      </c>
      <c r="G6" s="131">
        <v>1</v>
      </c>
      <c r="H6" s="131">
        <f>G6 + 1</f>
        <v>2</v>
      </c>
      <c r="I6" s="131">
        <f t="shared" ref="I6:M6" si="0">H6 + 1</f>
        <v>3</v>
      </c>
      <c r="J6" s="131">
        <f t="shared" si="0"/>
        <v>4</v>
      </c>
      <c r="K6" s="131">
        <f t="shared" si="0"/>
        <v>5</v>
      </c>
      <c r="L6" s="131">
        <f t="shared" si="0"/>
        <v>6</v>
      </c>
      <c r="M6" s="131">
        <f t="shared" si="0"/>
        <v>7</v>
      </c>
      <c r="N6" s="130"/>
      <c r="O6" s="151" t="str">
        <f ca="1">_xlfn.FORMULATEXT(M6)</f>
        <v>=L6 + 1</v>
      </c>
    </row>
    <row r="7" spans="2:21" x14ac:dyDescent="0.25">
      <c r="B7" s="110" t="s">
        <v>82</v>
      </c>
      <c r="C7" s="111">
        <f>'fund-claims'!D7</f>
        <v>1</v>
      </c>
      <c r="D7" s="111">
        <f>'fund-claims'!E7</f>
        <v>2</v>
      </c>
      <c r="E7" s="132">
        <v>3228.2177145873866</v>
      </c>
      <c r="F7" s="113">
        <v>1.7999999999999999E-2</v>
      </c>
      <c r="G7" s="133">
        <f t="shared" ref="G7:M18" si="1">IF($C7=G$6,-1,IF($D7=G$6,1+$F7,IF(AND($C7&lt;G$6,$D7&gt;G$6),"&lt;----&gt;","")))</f>
        <v>-1</v>
      </c>
      <c r="H7" s="133">
        <f t="shared" si="1"/>
        <v>1.018</v>
      </c>
      <c r="I7" s="133" t="str">
        <f t="shared" si="1"/>
        <v/>
      </c>
      <c r="J7" s="133" t="str">
        <f t="shared" si="1"/>
        <v/>
      </c>
      <c r="K7" s="133" t="str">
        <f t="shared" si="1"/>
        <v/>
      </c>
      <c r="L7" s="133" t="str">
        <f t="shared" si="1"/>
        <v/>
      </c>
      <c r="M7" s="112" t="str">
        <f t="shared" si="1"/>
        <v/>
      </c>
      <c r="N7" s="130"/>
      <c r="O7" s="205" t="str">
        <f ca="1">_xlfn.FORMULATEXT(M7)</f>
        <v>=IF($C7=M$6,-1,IF($D7=M$6,1+$F7,IF(AND($C7&lt;M$6,$D7&gt;M$6),"&lt;----&gt;","")))</v>
      </c>
      <c r="P7" s="205"/>
      <c r="Q7" s="205"/>
      <c r="R7" s="205"/>
      <c r="S7" s="205"/>
      <c r="T7" s="205"/>
      <c r="U7" s="205"/>
    </row>
    <row r="8" spans="2:21" x14ac:dyDescent="0.25">
      <c r="B8" s="114" t="s">
        <v>83</v>
      </c>
      <c r="C8" s="111">
        <f>'fund-claims'!D8</f>
        <v>8</v>
      </c>
      <c r="D8" s="111">
        <f>'fund-claims'!E8</f>
        <v>8</v>
      </c>
      <c r="E8" s="134">
        <v>0</v>
      </c>
      <c r="F8" s="117">
        <v>3.5000000000000003E-2</v>
      </c>
      <c r="G8" s="130" t="str">
        <f t="shared" si="1"/>
        <v/>
      </c>
      <c r="H8" s="130" t="str">
        <f t="shared" si="1"/>
        <v/>
      </c>
      <c r="I8" s="130" t="str">
        <f t="shared" si="1"/>
        <v/>
      </c>
      <c r="J8" s="130" t="str">
        <f t="shared" si="1"/>
        <v/>
      </c>
      <c r="K8" s="130" t="str">
        <f t="shared" si="1"/>
        <v/>
      </c>
      <c r="L8" s="130" t="str">
        <f t="shared" si="1"/>
        <v/>
      </c>
      <c r="M8" s="116" t="str">
        <f t="shared" si="1"/>
        <v/>
      </c>
      <c r="N8" s="130"/>
      <c r="O8" s="145"/>
    </row>
    <row r="9" spans="2:21" x14ac:dyDescent="0.25">
      <c r="B9" s="114" t="s">
        <v>84</v>
      </c>
      <c r="C9" s="111">
        <f>'fund-claims'!D9</f>
        <v>8</v>
      </c>
      <c r="D9" s="111">
        <f>'fund-claims'!E9</f>
        <v>8</v>
      </c>
      <c r="E9" s="134">
        <v>0</v>
      </c>
      <c r="F9" s="117">
        <v>5.8000000000000003E-2</v>
      </c>
      <c r="G9" s="130" t="str">
        <f t="shared" si="1"/>
        <v/>
      </c>
      <c r="H9" s="130" t="str">
        <f t="shared" si="1"/>
        <v/>
      </c>
      <c r="I9" s="130" t="str">
        <f t="shared" si="1"/>
        <v/>
      </c>
      <c r="J9" s="130" t="str">
        <f t="shared" si="1"/>
        <v/>
      </c>
      <c r="K9" s="130" t="str">
        <f t="shared" si="1"/>
        <v/>
      </c>
      <c r="L9" s="130" t="str">
        <f t="shared" si="1"/>
        <v/>
      </c>
      <c r="M9" s="116" t="str">
        <f t="shared" si="1"/>
        <v/>
      </c>
      <c r="N9" s="130"/>
      <c r="O9" s="145"/>
    </row>
    <row r="10" spans="2:21" x14ac:dyDescent="0.25">
      <c r="B10" s="114" t="s">
        <v>85</v>
      </c>
      <c r="C10" s="111">
        <f>'fund-claims'!D10</f>
        <v>8</v>
      </c>
      <c r="D10" s="111">
        <f>'fund-claims'!E10</f>
        <v>8</v>
      </c>
      <c r="E10" s="134">
        <v>0</v>
      </c>
      <c r="F10" s="117">
        <v>0.11</v>
      </c>
      <c r="G10" s="130" t="str">
        <f t="shared" si="1"/>
        <v/>
      </c>
      <c r="H10" s="130" t="str">
        <f t="shared" si="1"/>
        <v/>
      </c>
      <c r="I10" s="130" t="str">
        <f t="shared" si="1"/>
        <v/>
      </c>
      <c r="J10" s="130" t="str">
        <f t="shared" si="1"/>
        <v/>
      </c>
      <c r="K10" s="130" t="str">
        <f t="shared" si="1"/>
        <v/>
      </c>
      <c r="L10" s="130" t="str">
        <f t="shared" si="1"/>
        <v/>
      </c>
      <c r="M10" s="116" t="str">
        <f t="shared" si="1"/>
        <v/>
      </c>
      <c r="N10" s="130"/>
      <c r="O10" s="205" t="str">
        <f ca="1">_xlfn.FORMULATEXT(M10)</f>
        <v>=IF($C10=M$6,-1,IF($D10=M$6,1+$F10,IF(AND($C10&lt;M$6,$D10&gt;M$6),"&lt;----&gt;","")))</v>
      </c>
      <c r="P10" s="205"/>
      <c r="Q10" s="205"/>
      <c r="R10" s="205"/>
      <c r="S10" s="205"/>
      <c r="T10" s="205"/>
      <c r="U10" s="205"/>
    </row>
    <row r="11" spans="2:21" x14ac:dyDescent="0.25">
      <c r="B11" s="114" t="s">
        <v>82</v>
      </c>
      <c r="C11" s="111">
        <f>'fund-claims'!D11</f>
        <v>2</v>
      </c>
      <c r="D11" s="111">
        <f>'fund-claims'!E11</f>
        <v>3</v>
      </c>
      <c r="E11" s="134">
        <v>2711.4662778800871</v>
      </c>
      <c r="F11" s="117">
        <v>1.7999999999999999E-2</v>
      </c>
      <c r="G11" s="130" t="str">
        <f t="shared" si="1"/>
        <v/>
      </c>
      <c r="H11" s="130">
        <f t="shared" si="1"/>
        <v>-1</v>
      </c>
      <c r="I11" s="130">
        <f t="shared" si="1"/>
        <v>1.018</v>
      </c>
      <c r="J11" s="130" t="str">
        <f t="shared" si="1"/>
        <v/>
      </c>
      <c r="K11" s="130" t="str">
        <f t="shared" si="1"/>
        <v/>
      </c>
      <c r="L11" s="130" t="str">
        <f t="shared" si="1"/>
        <v/>
      </c>
      <c r="M11" s="116" t="str">
        <f t="shared" si="1"/>
        <v/>
      </c>
      <c r="N11" s="130"/>
      <c r="O11" s="145"/>
    </row>
    <row r="12" spans="2:21" x14ac:dyDescent="0.25">
      <c r="B12" s="114" t="s">
        <v>82</v>
      </c>
      <c r="C12" s="111">
        <f>'fund-claims'!D12</f>
        <v>3</v>
      </c>
      <c r="D12" s="111">
        <f>'fund-claims'!E12</f>
        <v>4</v>
      </c>
      <c r="E12" s="134">
        <v>2612.98113979036</v>
      </c>
      <c r="F12" s="117">
        <v>1.7999999999999999E-2</v>
      </c>
      <c r="G12" s="130" t="str">
        <f t="shared" si="1"/>
        <v/>
      </c>
      <c r="H12" s="130" t="str">
        <f t="shared" si="1"/>
        <v/>
      </c>
      <c r="I12" s="130">
        <f t="shared" si="1"/>
        <v>-1</v>
      </c>
      <c r="J12" s="130">
        <f t="shared" si="1"/>
        <v>1.018</v>
      </c>
      <c r="K12" s="130" t="str">
        <f t="shared" si="1"/>
        <v/>
      </c>
      <c r="L12" s="130" t="str">
        <f t="shared" si="1"/>
        <v/>
      </c>
      <c r="M12" s="116" t="str">
        <f t="shared" si="1"/>
        <v/>
      </c>
      <c r="N12" s="130"/>
      <c r="O12" s="145"/>
    </row>
    <row r="13" spans="2:21" x14ac:dyDescent="0.25">
      <c r="B13" s="114" t="s">
        <v>83</v>
      </c>
      <c r="C13" s="111">
        <f>'fund-claims'!D13</f>
        <v>8</v>
      </c>
      <c r="D13" s="111">
        <f>'fund-claims'!E13</f>
        <v>8</v>
      </c>
      <c r="E13" s="134">
        <v>0</v>
      </c>
      <c r="F13" s="117">
        <v>3.5000000000000003E-2</v>
      </c>
      <c r="G13" s="130" t="str">
        <f t="shared" si="1"/>
        <v/>
      </c>
      <c r="H13" s="130" t="str">
        <f t="shared" si="1"/>
        <v/>
      </c>
      <c r="I13" s="130" t="str">
        <f t="shared" si="1"/>
        <v/>
      </c>
      <c r="J13" s="130" t="str">
        <f t="shared" si="1"/>
        <v/>
      </c>
      <c r="K13" s="130" t="str">
        <f t="shared" si="1"/>
        <v/>
      </c>
      <c r="L13" s="130" t="str">
        <f t="shared" si="1"/>
        <v/>
      </c>
      <c r="M13" s="116" t="str">
        <f t="shared" si="1"/>
        <v/>
      </c>
      <c r="N13" s="130"/>
      <c r="O13" s="145"/>
    </row>
    <row r="14" spans="2:21" x14ac:dyDescent="0.25">
      <c r="B14" s="114" t="s">
        <v>82</v>
      </c>
      <c r="C14" s="111">
        <f>'fund-claims'!D14</f>
        <v>4</v>
      </c>
      <c r="D14" s="111">
        <f>'fund-claims'!E14</f>
        <v>5</v>
      </c>
      <c r="E14" s="134">
        <v>2554.6620302017259</v>
      </c>
      <c r="F14" s="117">
        <v>1.7999999999999999E-2</v>
      </c>
      <c r="G14" s="130" t="str">
        <f t="shared" si="1"/>
        <v/>
      </c>
      <c r="H14" s="130" t="str">
        <f t="shared" si="1"/>
        <v/>
      </c>
      <c r="I14" s="130" t="str">
        <f t="shared" si="1"/>
        <v/>
      </c>
      <c r="J14" s="130">
        <f t="shared" si="1"/>
        <v>-1</v>
      </c>
      <c r="K14" s="130">
        <f t="shared" si="1"/>
        <v>1.018</v>
      </c>
      <c r="L14" s="130" t="str">
        <f t="shared" si="1"/>
        <v/>
      </c>
      <c r="M14" s="116" t="str">
        <f t="shared" si="1"/>
        <v/>
      </c>
      <c r="N14" s="130"/>
      <c r="O14" s="145"/>
    </row>
    <row r="15" spans="2:21" x14ac:dyDescent="0.25">
      <c r="B15" s="114" t="s">
        <v>84</v>
      </c>
      <c r="C15" s="111">
        <f>'fund-claims'!D15</f>
        <v>8</v>
      </c>
      <c r="D15" s="111">
        <f>'fund-claims'!E15</f>
        <v>8</v>
      </c>
      <c r="E15" s="134">
        <v>0</v>
      </c>
      <c r="F15" s="117">
        <v>5.8000000000000003E-2</v>
      </c>
      <c r="G15" s="130" t="str">
        <f t="shared" si="1"/>
        <v/>
      </c>
      <c r="H15" s="130" t="str">
        <f t="shared" si="1"/>
        <v/>
      </c>
      <c r="I15" s="130" t="str">
        <f t="shared" si="1"/>
        <v/>
      </c>
      <c r="J15" s="130" t="str">
        <f t="shared" si="1"/>
        <v/>
      </c>
      <c r="K15" s="130" t="str">
        <f t="shared" si="1"/>
        <v/>
      </c>
      <c r="L15" s="130" t="str">
        <f t="shared" si="1"/>
        <v/>
      </c>
      <c r="M15" s="116" t="str">
        <f t="shared" si="1"/>
        <v/>
      </c>
      <c r="N15" s="130"/>
      <c r="O15" s="145"/>
    </row>
    <row r="16" spans="2:21" x14ac:dyDescent="0.25">
      <c r="B16" s="114" t="s">
        <v>82</v>
      </c>
      <c r="C16" s="111">
        <f>'fund-claims'!D16</f>
        <v>5</v>
      </c>
      <c r="D16" s="111">
        <f>'fund-claims'!E16</f>
        <v>6</v>
      </c>
      <c r="E16" s="134">
        <v>2482.1684293016497</v>
      </c>
      <c r="F16" s="117">
        <v>1.7999999999999999E-2</v>
      </c>
      <c r="G16" s="130" t="str">
        <f t="shared" si="1"/>
        <v/>
      </c>
      <c r="H16" s="130" t="str">
        <f t="shared" si="1"/>
        <v/>
      </c>
      <c r="I16" s="130" t="str">
        <f t="shared" si="1"/>
        <v/>
      </c>
      <c r="J16" s="130" t="str">
        <f t="shared" si="1"/>
        <v/>
      </c>
      <c r="K16" s="130">
        <f t="shared" si="1"/>
        <v>-1</v>
      </c>
      <c r="L16" s="130">
        <f t="shared" si="1"/>
        <v>1.018</v>
      </c>
      <c r="M16" s="116" t="str">
        <f t="shared" si="1"/>
        <v/>
      </c>
      <c r="N16" s="130"/>
      <c r="O16" s="145"/>
    </row>
    <row r="17" spans="2:21" x14ac:dyDescent="0.25">
      <c r="B17" s="114" t="s">
        <v>83</v>
      </c>
      <c r="C17" s="111">
        <f>'fund-claims'!D17</f>
        <v>8</v>
      </c>
      <c r="D17" s="111">
        <f>'fund-claims'!E17</f>
        <v>8</v>
      </c>
      <c r="E17" s="134">
        <v>0</v>
      </c>
      <c r="F17" s="117">
        <v>3.5000000000000003E-2</v>
      </c>
      <c r="G17" s="130" t="str">
        <f t="shared" si="1"/>
        <v/>
      </c>
      <c r="H17" s="130" t="str">
        <f t="shared" si="1"/>
        <v/>
      </c>
      <c r="I17" s="130" t="str">
        <f t="shared" si="1"/>
        <v/>
      </c>
      <c r="J17" s="130" t="str">
        <f t="shared" si="1"/>
        <v/>
      </c>
      <c r="K17" s="130" t="str">
        <f t="shared" si="1"/>
        <v/>
      </c>
      <c r="L17" s="130" t="str">
        <f t="shared" si="1"/>
        <v/>
      </c>
      <c r="M17" s="116" t="str">
        <f t="shared" si="1"/>
        <v/>
      </c>
      <c r="N17" s="130"/>
      <c r="O17" s="145"/>
    </row>
    <row r="18" spans="2:21" x14ac:dyDescent="0.25">
      <c r="B18" s="118" t="s">
        <v>82</v>
      </c>
      <c r="C18" s="111">
        <f>'fund-claims'!D18</f>
        <v>6</v>
      </c>
      <c r="D18" s="111">
        <f>'fund-claims'!E18</f>
        <v>7</v>
      </c>
      <c r="E18" s="135">
        <v>120.84746102907941</v>
      </c>
      <c r="F18" s="121">
        <v>1.7999999999999999E-2</v>
      </c>
      <c r="G18" s="136" t="str">
        <f t="shared" si="1"/>
        <v/>
      </c>
      <c r="H18" s="136" t="str">
        <f t="shared" si="1"/>
        <v/>
      </c>
      <c r="I18" s="136" t="str">
        <f t="shared" si="1"/>
        <v/>
      </c>
      <c r="J18" s="136" t="str">
        <f t="shared" si="1"/>
        <v/>
      </c>
      <c r="K18" s="136" t="str">
        <f t="shared" si="1"/>
        <v/>
      </c>
      <c r="L18" s="136">
        <f t="shared" si="1"/>
        <v>-1</v>
      </c>
      <c r="M18" s="120">
        <f t="shared" si="1"/>
        <v>1.018</v>
      </c>
      <c r="N18" s="130"/>
      <c r="O18" s="145"/>
    </row>
    <row r="19" spans="2:21" ht="13.8" thickBot="1" x14ac:dyDescent="0.3">
      <c r="B19" s="209" t="s">
        <v>104</v>
      </c>
      <c r="C19" s="210"/>
      <c r="D19" s="211"/>
      <c r="E19" s="137">
        <f>SUMIF(C7:C18,1,E7:E18)</f>
        <v>3228.2177145873866</v>
      </c>
      <c r="F19" s="212" t="s">
        <v>105</v>
      </c>
      <c r="G19" s="212"/>
      <c r="H19" s="138">
        <f t="shared" ref="H19:M19" si="2">SUMPRODUCT(H7:H18,$E$7:$E$18)</f>
        <v>574.8593555698726</v>
      </c>
      <c r="I19" s="138">
        <f t="shared" si="2"/>
        <v>147.29153109156869</v>
      </c>
      <c r="J19" s="138">
        <f t="shared" si="2"/>
        <v>105.35277010486061</v>
      </c>
      <c r="K19" s="138">
        <f t="shared" si="2"/>
        <v>118.47751744370726</v>
      </c>
      <c r="L19" s="138">
        <f t="shared" si="2"/>
        <v>2406</v>
      </c>
      <c r="M19" s="138">
        <f t="shared" si="2"/>
        <v>123.02271532760284</v>
      </c>
      <c r="N19" s="139"/>
      <c r="O19" s="158" t="s">
        <v>111</v>
      </c>
      <c r="P19" s="157" t="str">
        <f ca="1">_xlfn.FORMULATEXT(E19)</f>
        <v>=SUMIF(C7:C18,1,E7:E18)</v>
      </c>
      <c r="Q19" s="157"/>
      <c r="R19" s="158" t="s">
        <v>112</v>
      </c>
      <c r="S19" s="157" t="str">
        <f ca="1">_xlfn.FORMULATEXT(M19)</f>
        <v>=SUMPRODUCT(M7:M18,$E$7:$E$18)</v>
      </c>
      <c r="T19" s="157"/>
      <c r="U19" s="157"/>
    </row>
    <row r="20" spans="2:21" ht="13.8" thickTop="1" x14ac:dyDescent="0.25">
      <c r="B20" s="130"/>
      <c r="C20" s="130"/>
      <c r="D20" s="130"/>
      <c r="F20" s="203" t="s">
        <v>34</v>
      </c>
      <c r="G20" s="204"/>
      <c r="H20" s="108">
        <v>574.85935556987295</v>
      </c>
      <c r="I20" s="108">
        <v>147.29153109156829</v>
      </c>
      <c r="J20" s="108">
        <v>105.35277010486033</v>
      </c>
      <c r="K20" s="108">
        <v>118.47751744370771</v>
      </c>
      <c r="L20" s="108">
        <v>2406</v>
      </c>
      <c r="M20" s="108">
        <v>123.02271532760284</v>
      </c>
      <c r="N20" s="140"/>
      <c r="Q20" s="160"/>
      <c r="R20" s="159" t="s">
        <v>113</v>
      </c>
      <c r="S20" s="157" t="str">
        <f>"'xi-sigma-sim'!Z15:AE15"</f>
        <v>'xi-sigma-sim'!Z15:AE15</v>
      </c>
      <c r="T20" s="157"/>
      <c r="U20" s="157"/>
    </row>
    <row r="25" spans="2:21" x14ac:dyDescent="0.25">
      <c r="F25" s="129"/>
      <c r="P25" s="147"/>
      <c r="Q25" s="147"/>
    </row>
    <row r="28" spans="2:21" x14ac:dyDescent="0.25">
      <c r="B28" s="144" t="str">
        <f ca="1">_xlfn.FORMULATEXT(C28)</f>
        <v>=B7&amp;"_"&amp;C7&amp;"_"&amp;D7&amp;"_"</v>
      </c>
      <c r="C28" s="161" t="str">
        <f>B7&amp;"_"&amp;C7&amp;"_"&amp;D7&amp;"_"</f>
        <v>A_1_2_</v>
      </c>
      <c r="E28" s="128" t="s">
        <v>110</v>
      </c>
    </row>
    <row r="29" spans="2:21" x14ac:dyDescent="0.25">
      <c r="C29" s="161" t="str">
        <f t="shared" ref="C29:C39" si="3">B8&amp;"_"&amp;C8&amp;"_"&amp;D8&amp;"_"</f>
        <v>B_8_8_</v>
      </c>
      <c r="E29" s="143">
        <f t="array" ref="E29:Q29">TRANSPOSE(E7:E19)</f>
        <v>3228.2177145873866</v>
      </c>
      <c r="F29" s="143">
        <v>0</v>
      </c>
      <c r="G29" s="143">
        <v>0</v>
      </c>
      <c r="H29" s="143">
        <v>0</v>
      </c>
      <c r="I29" s="143">
        <v>2711.4662778800871</v>
      </c>
      <c r="J29" s="143">
        <v>2612.98113979036</v>
      </c>
      <c r="K29" s="143">
        <v>0</v>
      </c>
      <c r="L29" s="143">
        <v>2554.6620302017259</v>
      </c>
      <c r="M29" s="143">
        <v>0</v>
      </c>
      <c r="N29" s="143">
        <v>2482.1684293016497</v>
      </c>
      <c r="O29" s="143">
        <v>0</v>
      </c>
      <c r="P29" s="143">
        <v>120.84746102907941</v>
      </c>
      <c r="Q29" s="143">
        <v>3228.2177145873866</v>
      </c>
    </row>
    <row r="30" spans="2:21" x14ac:dyDescent="0.25">
      <c r="C30" s="161" t="str">
        <f t="shared" si="3"/>
        <v>C_8_8_</v>
      </c>
      <c r="E30" s="153" t="str">
        <f ca="1">_xlfn.FORMULATEXT(E29)</f>
        <v>{=TRANSPOSE(E7:E19)}</v>
      </c>
      <c r="F30" s="152"/>
    </row>
    <row r="31" spans="2:21" x14ac:dyDescent="0.25">
      <c r="C31" s="161" t="str">
        <f t="shared" si="3"/>
        <v>D_8_8_</v>
      </c>
      <c r="E31" s="143">
        <f>H20</f>
        <v>574.85935556987295</v>
      </c>
      <c r="F31" s="143">
        <f t="shared" ref="F31:J31" si="4">I20</f>
        <v>147.29153109156829</v>
      </c>
      <c r="G31" s="143">
        <f t="shared" si="4"/>
        <v>105.35277010486033</v>
      </c>
      <c r="H31" s="143">
        <f t="shared" si="4"/>
        <v>118.47751744370771</v>
      </c>
      <c r="I31" s="143">
        <f t="shared" si="4"/>
        <v>2406</v>
      </c>
      <c r="J31" s="143">
        <f t="shared" si="4"/>
        <v>123.02271532760284</v>
      </c>
    </row>
    <row r="32" spans="2:21" x14ac:dyDescent="0.25">
      <c r="C32" s="161" t="str">
        <f t="shared" si="3"/>
        <v>A_2_3_</v>
      </c>
      <c r="E32" s="153" t="str">
        <f ca="1">_xlfn.FORMULATEXT(E31)</f>
        <v>=H20</v>
      </c>
    </row>
    <row r="33" spans="3:23" x14ac:dyDescent="0.25">
      <c r="C33" s="161" t="str">
        <f t="shared" si="3"/>
        <v>A_3_4_</v>
      </c>
      <c r="E33" s="131" t="str">
        <f t="array" ref="E33:Q33">TRANSPOSE(C28:C40)</f>
        <v>A_1_2_</v>
      </c>
      <c r="F33" s="131" t="str">
        <v>B_8_8_</v>
      </c>
      <c r="G33" s="131" t="str">
        <v>C_8_8_</v>
      </c>
      <c r="H33" s="131" t="str">
        <v>D_8_8_</v>
      </c>
      <c r="I33" s="131" t="str">
        <v>A_2_3_</v>
      </c>
      <c r="J33" s="131" t="str">
        <v>A_3_4_</v>
      </c>
      <c r="K33" s="131" t="str">
        <v>B_8_8_</v>
      </c>
      <c r="L33" s="131" t="str">
        <v>A_4_5_</v>
      </c>
      <c r="M33" s="131" t="str">
        <v>C_8_8_</v>
      </c>
      <c r="N33" s="131" t="str">
        <v>A_5_6_</v>
      </c>
      <c r="O33" s="131" t="str">
        <v>B_8_8_</v>
      </c>
      <c r="P33" s="131" t="str">
        <v>A_6_7_</v>
      </c>
      <c r="Q33" s="131" t="str">
        <v>capital_yr1</v>
      </c>
      <c r="R33" s="143" t="str">
        <f>"claims_yr"&amp;H6</f>
        <v>claims_yr2</v>
      </c>
      <c r="S33" s="143" t="str">
        <f t="shared" ref="S33:W33" si="5">"claims_yr"&amp;I6</f>
        <v>claims_yr3</v>
      </c>
      <c r="T33" s="143" t="str">
        <f t="shared" si="5"/>
        <v>claims_yr4</v>
      </c>
      <c r="U33" s="143" t="str">
        <f t="shared" si="5"/>
        <v>claims_yr5</v>
      </c>
      <c r="V33" s="143" t="str">
        <f t="shared" si="5"/>
        <v>claims_yr6</v>
      </c>
      <c r="W33" s="143" t="str">
        <f t="shared" si="5"/>
        <v>claims_yr7</v>
      </c>
    </row>
    <row r="34" spans="3:23" x14ac:dyDescent="0.25">
      <c r="C34" s="161" t="str">
        <f t="shared" si="3"/>
        <v>B_8_8_</v>
      </c>
      <c r="E34" s="153" t="str">
        <f ca="1">_xlfn.FORMULATEXT(E33)</f>
        <v>{=TRANSPOSE(C28:C40)}</v>
      </c>
    </row>
    <row r="35" spans="3:23" x14ac:dyDescent="0.25">
      <c r="C35" s="161" t="str">
        <f t="shared" si="3"/>
        <v>A_4_5_</v>
      </c>
      <c r="E35" s="156" t="str">
        <f ca="1">_xlfn.FORMULATEXT(E33)</f>
        <v>{=TRANSPOSE(C28:C40)}</v>
      </c>
      <c r="F35" s="154"/>
      <c r="G35" s="154"/>
      <c r="H35" s="154"/>
      <c r="I35" s="154"/>
      <c r="J35" s="154"/>
      <c r="K35" s="154"/>
      <c r="L35" s="154"/>
      <c r="M35" s="154"/>
      <c r="N35" s="154"/>
      <c r="O35" s="154"/>
      <c r="P35" s="154"/>
      <c r="Q35" s="155"/>
      <c r="R35" s="156" t="str">
        <f ca="1">_xlfn.FORMULATEXT(R33)</f>
        <v>="claims_yr"&amp;H6</v>
      </c>
    </row>
    <row r="36" spans="3:23" x14ac:dyDescent="0.25">
      <c r="C36" s="161" t="str">
        <f t="shared" si="3"/>
        <v>C_8_8_</v>
      </c>
    </row>
    <row r="37" spans="3:23" x14ac:dyDescent="0.25">
      <c r="C37" s="161" t="str">
        <f t="shared" si="3"/>
        <v>A_5_6_</v>
      </c>
    </row>
    <row r="38" spans="3:23" x14ac:dyDescent="0.25">
      <c r="C38" s="161" t="str">
        <f t="shared" si="3"/>
        <v>B_8_8_</v>
      </c>
    </row>
    <row r="39" spans="3:23" x14ac:dyDescent="0.25">
      <c r="C39" s="161" t="str">
        <f t="shared" si="3"/>
        <v>A_6_7_</v>
      </c>
    </row>
    <row r="40" spans="3:23" x14ac:dyDescent="0.25">
      <c r="C40" s="161" t="s">
        <v>108</v>
      </c>
      <c r="O40" s="141"/>
    </row>
  </sheetData>
  <mergeCells count="7">
    <mergeCell ref="F20:G20"/>
    <mergeCell ref="O7:U7"/>
    <mergeCell ref="O10:U10"/>
    <mergeCell ref="C5:D5"/>
    <mergeCell ref="G5:M5"/>
    <mergeCell ref="B19:D19"/>
    <mergeCell ref="F19:G19"/>
  </mergeCells>
  <pageMargins left="0.75" right="0.75" top="1" bottom="1" header="0.5" footer="0.5"/>
  <pageSetup orientation="portrait" horizontalDpi="300"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olve_capital_paste_special">
                <anchor moveWithCells="1" sizeWithCells="1">
                  <from>
                    <xdr:col>8</xdr:col>
                    <xdr:colOff>15240</xdr:colOff>
                    <xdr:row>21</xdr:row>
                    <xdr:rowOff>129540</xdr:rowOff>
                  </from>
                  <to>
                    <xdr:col>11</xdr:col>
                    <xdr:colOff>91440</xdr:colOff>
                    <xdr:row>24</xdr:row>
                    <xdr:rowOff>91440</xdr:rowOff>
                  </to>
                </anchor>
              </controlPr>
            </control>
          </mc:Choice>
        </mc:AlternateContent>
        <mc:AlternateContent xmlns:mc="http://schemas.openxmlformats.org/markup-compatibility/2006">
          <mc:Choice Requires="x14">
            <control shapeId="11285" r:id="rId5" name="Button 21">
              <controlPr defaultSize="0" print="0" autoFill="0" autoPict="0" macro="[0]!fundMonteCarlo_Click">
                <anchor moveWithCells="1" sizeWithCells="1">
                  <from>
                    <xdr:col>11</xdr:col>
                    <xdr:colOff>327660</xdr:colOff>
                    <xdr:row>21</xdr:row>
                    <xdr:rowOff>152400</xdr:rowOff>
                  </from>
                  <to>
                    <xdr:col>14</xdr:col>
                    <xdr:colOff>213360</xdr:colOff>
                    <xdr:row>24</xdr:row>
                    <xdr:rowOff>60960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0AFF-14BB-40BF-B31F-534EC7E48AF7}">
  <sheetPr codeName="Sheet10"/>
  <dimension ref="A3:V106"/>
  <sheetViews>
    <sheetView zoomScale="90" workbookViewId="0">
      <selection activeCell="N7" sqref="N7:N106"/>
    </sheetView>
  </sheetViews>
  <sheetFormatPr defaultColWidth="8.77734375" defaultRowHeight="14.4" x14ac:dyDescent="0.3"/>
  <cols>
    <col min="1" max="1" width="7.44140625" customWidth="1"/>
    <col min="20" max="20" width="11.44140625" customWidth="1"/>
    <col min="21" max="21" width="3.33203125" customWidth="1"/>
    <col min="22" max="22" width="21.109375" customWidth="1"/>
  </cols>
  <sheetData>
    <row r="3" spans="1:22" x14ac:dyDescent="0.3">
      <c r="B3" s="104" t="str">
        <f>'fund-allocation'!E33</f>
        <v>A_1_2_</v>
      </c>
      <c r="C3" s="104" t="str">
        <f>'fund-allocation'!F33</f>
        <v>B_8_8_</v>
      </c>
      <c r="D3" s="104" t="str">
        <f>'fund-allocation'!G33</f>
        <v>C_8_8_</v>
      </c>
      <c r="E3" s="104" t="str">
        <f>'fund-allocation'!H33</f>
        <v>D_8_8_</v>
      </c>
      <c r="F3" s="104" t="str">
        <f>'fund-allocation'!I33</f>
        <v>A_2_3_</v>
      </c>
      <c r="G3" s="104" t="str">
        <f>'fund-allocation'!J33</f>
        <v>A_3_4_</v>
      </c>
      <c r="H3" s="104" t="str">
        <f>'fund-allocation'!K33</f>
        <v>B_8_8_</v>
      </c>
      <c r="I3" s="104" t="str">
        <f>'fund-allocation'!L33</f>
        <v>A_4_5_</v>
      </c>
      <c r="J3" s="104" t="str">
        <f>'fund-allocation'!M33</f>
        <v>C_8_8_</v>
      </c>
      <c r="K3" s="104" t="str">
        <f>'fund-allocation'!N33</f>
        <v>A_5_6_</v>
      </c>
      <c r="L3" s="104" t="str">
        <f>'fund-allocation'!O33</f>
        <v>B_8_8_</v>
      </c>
      <c r="M3" s="104" t="str">
        <f>'fund-allocation'!P33</f>
        <v>A_6_7_</v>
      </c>
      <c r="N3" s="104" t="str">
        <f>'fund-allocation'!Q33</f>
        <v>capital_yr1</v>
      </c>
      <c r="O3" s="104" t="str">
        <f>'fund-allocation'!R33</f>
        <v>claims_yr2</v>
      </c>
      <c r="P3" s="104" t="str">
        <f>'fund-allocation'!S33</f>
        <v>claims_yr3</v>
      </c>
      <c r="Q3" s="104" t="str">
        <f>'fund-allocation'!T33</f>
        <v>claims_yr4</v>
      </c>
      <c r="R3" s="104" t="str">
        <f>'fund-allocation'!U33</f>
        <v>claims_yr5</v>
      </c>
      <c r="S3" s="104" t="str">
        <f>'fund-allocation'!V33</f>
        <v>claims_yr6</v>
      </c>
      <c r="T3" s="104" t="str">
        <f>'fund-allocation'!W33</f>
        <v>claims_yr7</v>
      </c>
      <c r="V3" s="5" t="str">
        <f ca="1">_xlfn.FORMULATEXT(T3)</f>
        <v>='fund-allocation'!W33</v>
      </c>
    </row>
    <row r="4" spans="1:22" x14ac:dyDescent="0.3">
      <c r="B4">
        <f>'fund-allocation'!E29</f>
        <v>3228.2177145873866</v>
      </c>
      <c r="C4">
        <f>'fund-allocation'!F29</f>
        <v>0</v>
      </c>
      <c r="D4">
        <f>'fund-allocation'!G29</f>
        <v>0</v>
      </c>
      <c r="E4">
        <f>'fund-allocation'!H29</f>
        <v>0</v>
      </c>
      <c r="F4">
        <f>'fund-allocation'!I29</f>
        <v>2711.4662778800871</v>
      </c>
      <c r="G4">
        <f>'fund-allocation'!J29</f>
        <v>2612.98113979036</v>
      </c>
      <c r="H4">
        <f>'fund-allocation'!K29</f>
        <v>0</v>
      </c>
      <c r="I4">
        <f>'fund-allocation'!L29</f>
        <v>2554.6620302017259</v>
      </c>
      <c r="J4">
        <f>'fund-allocation'!M29</f>
        <v>0</v>
      </c>
      <c r="K4">
        <f>'fund-allocation'!N29</f>
        <v>2482.1684293016497</v>
      </c>
      <c r="L4">
        <f>'fund-allocation'!O29</f>
        <v>0</v>
      </c>
      <c r="M4">
        <f>'fund-allocation'!P29</f>
        <v>120.84746102907941</v>
      </c>
      <c r="N4">
        <f>'fund-allocation'!Q29</f>
        <v>3228.2177145873866</v>
      </c>
      <c r="O4">
        <f>'fund-allocation'!E31</f>
        <v>574.85935556987295</v>
      </c>
      <c r="P4">
        <f>'fund-allocation'!F31</f>
        <v>147.29153109156829</v>
      </c>
      <c r="Q4">
        <f>'fund-allocation'!G31</f>
        <v>105.35277010486033</v>
      </c>
      <c r="R4">
        <f>'fund-allocation'!H31</f>
        <v>118.47751744370771</v>
      </c>
      <c r="S4">
        <f>'fund-allocation'!I31</f>
        <v>2406</v>
      </c>
      <c r="T4">
        <f>'fund-allocation'!J31</f>
        <v>123.02271532760284</v>
      </c>
      <c r="V4" s="5" t="str">
        <f ca="1">_xlfn.FORMULATEXT(T4)</f>
        <v>='fund-allocation'!J31</v>
      </c>
    </row>
    <row r="6" spans="1:22" x14ac:dyDescent="0.3">
      <c r="A6" s="76" t="s">
        <v>114</v>
      </c>
      <c r="B6" s="33" t="str">
        <f>B3</f>
        <v>A_1_2_</v>
      </c>
      <c r="C6" s="33" t="str">
        <f t="shared" ref="C6:T6" si="0">C3</f>
        <v>B_8_8_</v>
      </c>
      <c r="D6" s="33" t="str">
        <f t="shared" si="0"/>
        <v>C_8_8_</v>
      </c>
      <c r="E6" s="33" t="str">
        <f t="shared" si="0"/>
        <v>D_8_8_</v>
      </c>
      <c r="F6" s="33" t="str">
        <f t="shared" si="0"/>
        <v>A_2_3_</v>
      </c>
      <c r="G6" s="33" t="str">
        <f t="shared" si="0"/>
        <v>A_3_4_</v>
      </c>
      <c r="H6" s="33" t="str">
        <f t="shared" si="0"/>
        <v>B_8_8_</v>
      </c>
      <c r="I6" s="33" t="str">
        <f t="shared" si="0"/>
        <v>A_4_5_</v>
      </c>
      <c r="J6" s="33" t="str">
        <f t="shared" si="0"/>
        <v>C_8_8_</v>
      </c>
      <c r="K6" s="33" t="str">
        <f t="shared" si="0"/>
        <v>A_5_6_</v>
      </c>
      <c r="L6" s="33" t="str">
        <f t="shared" si="0"/>
        <v>B_8_8_</v>
      </c>
      <c r="M6" s="33" t="str">
        <f t="shared" si="0"/>
        <v>A_6_7_</v>
      </c>
      <c r="N6" s="33" t="str">
        <f t="shared" si="0"/>
        <v>capital_yr1</v>
      </c>
      <c r="O6" s="33" t="str">
        <f t="shared" si="0"/>
        <v>claims_yr2</v>
      </c>
      <c r="P6" s="33" t="str">
        <f t="shared" si="0"/>
        <v>claims_yr3</v>
      </c>
      <c r="Q6" s="33" t="str">
        <f t="shared" si="0"/>
        <v>claims_yr4</v>
      </c>
      <c r="R6" s="33" t="str">
        <f t="shared" si="0"/>
        <v>claims_yr5</v>
      </c>
      <c r="S6" s="33" t="str">
        <f t="shared" si="0"/>
        <v>claims_yr6</v>
      </c>
      <c r="T6" s="33" t="str">
        <f t="shared" si="0"/>
        <v>claims_yr7</v>
      </c>
      <c r="V6" s="5" t="str">
        <f ca="1">_xlfn.FORMULATEXT(T6)</f>
        <v>=T3</v>
      </c>
    </row>
    <row r="7" spans="1:22" x14ac:dyDescent="0.3">
      <c r="A7">
        <v>1</v>
      </c>
      <c r="B7">
        <v>1255.953817169652</v>
      </c>
      <c r="C7">
        <v>0</v>
      </c>
      <c r="D7">
        <v>0</v>
      </c>
      <c r="E7">
        <v>0</v>
      </c>
      <c r="F7">
        <v>561.74795257726407</v>
      </c>
      <c r="G7">
        <v>444.82222010897192</v>
      </c>
      <c r="H7">
        <v>0</v>
      </c>
      <c r="I7">
        <v>348.3422814636557</v>
      </c>
      <c r="J7">
        <v>0</v>
      </c>
      <c r="K7">
        <v>241.58293380408014</v>
      </c>
      <c r="L7">
        <v>0</v>
      </c>
      <c r="M7">
        <v>138.33430671046827</v>
      </c>
      <c r="N7">
        <v>1255.953817169652</v>
      </c>
      <c r="O7">
        <v>716.81303330144158</v>
      </c>
      <c r="P7">
        <v>127.03719561468284</v>
      </c>
      <c r="Q7">
        <v>104.48673860727776</v>
      </c>
      <c r="R7">
        <v>113.02950872592132</v>
      </c>
      <c r="S7">
        <v>107.59711990208531</v>
      </c>
      <c r="T7">
        <v>140.8243242312567</v>
      </c>
    </row>
    <row r="8" spans="1:22" x14ac:dyDescent="0.3">
      <c r="A8">
        <f>A7 + 1</f>
        <v>2</v>
      </c>
      <c r="B8">
        <v>867.06494980292757</v>
      </c>
      <c r="C8">
        <v>0</v>
      </c>
      <c r="D8">
        <v>0</v>
      </c>
      <c r="E8">
        <v>0</v>
      </c>
      <c r="F8">
        <v>727.14204644165977</v>
      </c>
      <c r="G8">
        <v>409.7246582355898</v>
      </c>
      <c r="H8">
        <v>0</v>
      </c>
      <c r="I8">
        <v>314.43723994064425</v>
      </c>
      <c r="J8">
        <v>0</v>
      </c>
      <c r="K8">
        <v>217.4323804845869</v>
      </c>
      <c r="L8">
        <v>0</v>
      </c>
      <c r="M8">
        <v>115.95714224006521</v>
      </c>
      <c r="N8">
        <v>867.06494980292757</v>
      </c>
      <c r="O8">
        <v>155.53007245772051</v>
      </c>
      <c r="P8">
        <v>330.5059450420199</v>
      </c>
      <c r="Q8">
        <v>102.66246214318618</v>
      </c>
      <c r="R8">
        <v>102.66472977498891</v>
      </c>
      <c r="S8">
        <v>105.38902109324425</v>
      </c>
      <c r="T8">
        <v>118.04437080038639</v>
      </c>
    </row>
    <row r="9" spans="1:22" x14ac:dyDescent="0.3">
      <c r="A9">
        <f t="shared" ref="A9:A72" si="1">A8 + 1</f>
        <v>3</v>
      </c>
      <c r="B9">
        <v>2775.2861421811958</v>
      </c>
      <c r="C9">
        <v>0</v>
      </c>
      <c r="D9">
        <v>0</v>
      </c>
      <c r="E9">
        <v>0</v>
      </c>
      <c r="F9">
        <v>2723.3171995959774</v>
      </c>
      <c r="G9">
        <v>2672.2775462289296</v>
      </c>
      <c r="H9">
        <v>0</v>
      </c>
      <c r="I9">
        <v>2596.6429442855042</v>
      </c>
      <c r="J9">
        <v>0</v>
      </c>
      <c r="K9">
        <v>2517.4102971801376</v>
      </c>
      <c r="L9">
        <v>0</v>
      </c>
      <c r="M9">
        <v>156.72368252938017</v>
      </c>
      <c r="N9">
        <v>2775.2861421811958</v>
      </c>
      <c r="O9">
        <v>101.92409314448032</v>
      </c>
      <c r="P9">
        <v>100.05936295977513</v>
      </c>
      <c r="Q9">
        <v>123.73559777554587</v>
      </c>
      <c r="R9">
        <v>125.97222010250599</v>
      </c>
      <c r="S9">
        <v>2406</v>
      </c>
      <c r="T9">
        <v>159.544708814909</v>
      </c>
    </row>
    <row r="10" spans="1:22" x14ac:dyDescent="0.3">
      <c r="A10">
        <f t="shared" si="1"/>
        <v>4</v>
      </c>
      <c r="B10">
        <v>811.96415982659721</v>
      </c>
      <c r="C10">
        <v>0</v>
      </c>
      <c r="D10">
        <v>0</v>
      </c>
      <c r="E10">
        <v>0</v>
      </c>
      <c r="F10">
        <v>717.26558893540641</v>
      </c>
      <c r="G10">
        <v>629.98714300071856</v>
      </c>
      <c r="H10">
        <v>0</v>
      </c>
      <c r="I10">
        <v>374.51654548468559</v>
      </c>
      <c r="J10">
        <v>0</v>
      </c>
      <c r="K10">
        <v>268.73185429087101</v>
      </c>
      <c r="L10">
        <v>0</v>
      </c>
      <c r="M10">
        <v>141.95020245975599</v>
      </c>
      <c r="N10">
        <v>811.96415982659721</v>
      </c>
      <c r="O10">
        <v>109.31392576806947</v>
      </c>
      <c r="P10">
        <v>100.18922653552518</v>
      </c>
      <c r="Q10">
        <v>266.81036609004593</v>
      </c>
      <c r="R10">
        <v>112.52598901253891</v>
      </c>
      <c r="S10">
        <v>131.6188252083507</v>
      </c>
      <c r="T10">
        <v>144.5053061040316</v>
      </c>
    </row>
    <row r="11" spans="1:22" x14ac:dyDescent="0.3">
      <c r="A11">
        <f t="shared" si="1"/>
        <v>5</v>
      </c>
      <c r="B11">
        <v>1430.6756713781811</v>
      </c>
      <c r="C11">
        <v>0</v>
      </c>
      <c r="D11">
        <v>0</v>
      </c>
      <c r="E11">
        <v>0</v>
      </c>
      <c r="F11">
        <v>1123.5045688899779</v>
      </c>
      <c r="G11">
        <v>986.33511195113192</v>
      </c>
      <c r="H11">
        <v>0</v>
      </c>
      <c r="I11">
        <v>902.998459828877</v>
      </c>
      <c r="J11">
        <v>0</v>
      </c>
      <c r="K11">
        <v>800.27559866287618</v>
      </c>
      <c r="L11">
        <v>0</v>
      </c>
      <c r="M11">
        <v>156.40717974472946</v>
      </c>
      <c r="N11">
        <v>1430.6756713781811</v>
      </c>
      <c r="O11">
        <v>332.92326457301044</v>
      </c>
      <c r="P11">
        <v>157.39253917886555</v>
      </c>
      <c r="Q11">
        <v>101.09068413737526</v>
      </c>
      <c r="R11">
        <v>118.97683344292062</v>
      </c>
      <c r="S11">
        <v>658.27337969407847</v>
      </c>
      <c r="T11">
        <v>159.22250898013459</v>
      </c>
    </row>
    <row r="12" spans="1:22" x14ac:dyDescent="0.3">
      <c r="A12">
        <f t="shared" si="1"/>
        <v>6</v>
      </c>
      <c r="B12">
        <v>1919.7687979015764</v>
      </c>
      <c r="C12">
        <v>0</v>
      </c>
      <c r="D12">
        <v>0</v>
      </c>
      <c r="E12">
        <v>0</v>
      </c>
      <c r="F12">
        <v>1853.6835651924862</v>
      </c>
      <c r="G12">
        <v>677.73552070482253</v>
      </c>
      <c r="H12">
        <v>0</v>
      </c>
      <c r="I12">
        <v>588.05947382020497</v>
      </c>
      <c r="J12">
        <v>0</v>
      </c>
      <c r="K12">
        <v>487.11664285713664</v>
      </c>
      <c r="L12">
        <v>0</v>
      </c>
      <c r="M12">
        <v>307.49996192760943</v>
      </c>
      <c r="N12">
        <v>1919.7687979015764</v>
      </c>
      <c r="O12">
        <v>100.64107107131832</v>
      </c>
      <c r="P12">
        <v>1209.3143486611286</v>
      </c>
      <c r="Q12">
        <v>101.87528625730435</v>
      </c>
      <c r="R12">
        <v>111.52790149183194</v>
      </c>
      <c r="S12">
        <v>188.38478050095569</v>
      </c>
      <c r="T12">
        <v>313.03496124230639</v>
      </c>
    </row>
    <row r="13" spans="1:22" x14ac:dyDescent="0.3">
      <c r="A13">
        <f t="shared" si="1"/>
        <v>7</v>
      </c>
      <c r="B13">
        <v>4465.2045357210036</v>
      </c>
      <c r="C13">
        <v>0</v>
      </c>
      <c r="D13">
        <v>0</v>
      </c>
      <c r="E13">
        <v>0</v>
      </c>
      <c r="F13">
        <v>2867.226683966212</v>
      </c>
      <c r="G13">
        <v>2817.8253899112228</v>
      </c>
      <c r="H13">
        <v>0</v>
      </c>
      <c r="I13">
        <v>2649.6938553439504</v>
      </c>
      <c r="J13">
        <v>0</v>
      </c>
      <c r="K13">
        <v>2510.6922906390423</v>
      </c>
      <c r="L13">
        <v>0</v>
      </c>
      <c r="M13">
        <v>149.88475187054519</v>
      </c>
      <c r="N13">
        <v>4465.2045357210036</v>
      </c>
      <c r="O13">
        <v>1678.3515333977703</v>
      </c>
      <c r="P13">
        <v>101.01137436638037</v>
      </c>
      <c r="Q13">
        <v>218.85239158567515</v>
      </c>
      <c r="R13">
        <v>186.69605410109895</v>
      </c>
      <c r="S13">
        <v>2406</v>
      </c>
      <c r="T13">
        <v>152.58267740421499</v>
      </c>
    </row>
    <row r="14" spans="1:22" x14ac:dyDescent="0.3">
      <c r="A14">
        <f t="shared" si="1"/>
        <v>8</v>
      </c>
      <c r="B14">
        <v>732.0326666510515</v>
      </c>
      <c r="C14">
        <v>0</v>
      </c>
      <c r="D14">
        <v>0</v>
      </c>
      <c r="E14">
        <v>0</v>
      </c>
      <c r="F14">
        <v>641.90416122717727</v>
      </c>
      <c r="G14">
        <v>530.08343294892882</v>
      </c>
      <c r="H14">
        <v>0</v>
      </c>
      <c r="I14">
        <v>430.46344612628081</v>
      </c>
      <c r="J14">
        <v>0</v>
      </c>
      <c r="K14">
        <v>249.68788686553864</v>
      </c>
      <c r="L14">
        <v>0</v>
      </c>
      <c r="M14">
        <v>147.64769621739106</v>
      </c>
      <c r="N14">
        <v>732.0326666510515</v>
      </c>
      <c r="O14">
        <v>103.30509342359321</v>
      </c>
      <c r="P14">
        <v>123.37500318033757</v>
      </c>
      <c r="Q14">
        <v>109.16148861572883</v>
      </c>
      <c r="R14">
        <v>188.52390129101522</v>
      </c>
      <c r="S14">
        <v>106.53457261172727</v>
      </c>
      <c r="T14">
        <v>150.30535474930409</v>
      </c>
    </row>
    <row r="15" spans="1:22" x14ac:dyDescent="0.3">
      <c r="A15">
        <f t="shared" si="1"/>
        <v>9</v>
      </c>
      <c r="B15">
        <v>585.86222079342235</v>
      </c>
      <c r="C15">
        <v>0</v>
      </c>
      <c r="D15">
        <v>0</v>
      </c>
      <c r="E15">
        <v>0</v>
      </c>
      <c r="F15">
        <v>493.54965496167819</v>
      </c>
      <c r="G15">
        <v>400.7551336062723</v>
      </c>
      <c r="H15">
        <v>0</v>
      </c>
      <c r="I15">
        <v>307.85117336489435</v>
      </c>
      <c r="J15">
        <v>0</v>
      </c>
      <c r="K15">
        <v>210.77850711217496</v>
      </c>
      <c r="L15">
        <v>0</v>
      </c>
      <c r="M15">
        <v>112.63352328085026</v>
      </c>
      <c r="N15">
        <v>585.86222079342235</v>
      </c>
      <c r="O15">
        <v>102.85808580602571</v>
      </c>
      <c r="P15">
        <v>101.67841514471611</v>
      </c>
      <c r="Q15">
        <v>100.11755264629086</v>
      </c>
      <c r="R15">
        <v>102.61398737328746</v>
      </c>
      <c r="S15">
        <v>101.93899695934387</v>
      </c>
      <c r="T15">
        <v>114.66092669990556</v>
      </c>
    </row>
    <row r="16" spans="1:22" x14ac:dyDescent="0.3">
      <c r="A16">
        <f t="shared" si="1"/>
        <v>10</v>
      </c>
      <c r="B16">
        <v>2980.3587261057178</v>
      </c>
      <c r="C16">
        <v>0</v>
      </c>
      <c r="D16">
        <v>0</v>
      </c>
      <c r="E16">
        <v>0</v>
      </c>
      <c r="F16">
        <v>628.0051831756208</v>
      </c>
      <c r="G16">
        <v>473.76379212589825</v>
      </c>
      <c r="H16">
        <v>0</v>
      </c>
      <c r="I16">
        <v>316.2104771560646</v>
      </c>
      <c r="J16">
        <v>0</v>
      </c>
      <c r="K16">
        <v>221.49875156823452</v>
      </c>
      <c r="L16">
        <v>0</v>
      </c>
      <c r="M16">
        <v>125.13535105856022</v>
      </c>
      <c r="N16">
        <v>2980.3587261057178</v>
      </c>
      <c r="O16">
        <v>2406</v>
      </c>
      <c r="P16">
        <v>165.54548434688377</v>
      </c>
      <c r="Q16">
        <v>166.08106322809982</v>
      </c>
      <c r="R16">
        <v>100.40351417663923</v>
      </c>
      <c r="S16">
        <v>100.35037803790254</v>
      </c>
      <c r="T16">
        <v>127.3877873776143</v>
      </c>
    </row>
    <row r="17" spans="1:20" x14ac:dyDescent="0.3">
      <c r="A17">
        <f t="shared" si="1"/>
        <v>11</v>
      </c>
      <c r="B17">
        <v>2341.2790627259051</v>
      </c>
      <c r="C17">
        <v>0</v>
      </c>
      <c r="D17">
        <v>0</v>
      </c>
      <c r="E17">
        <v>0</v>
      </c>
      <c r="F17">
        <v>2211.2067036258622</v>
      </c>
      <c r="G17">
        <v>517.46803073989008</v>
      </c>
      <c r="H17">
        <v>0</v>
      </c>
      <c r="I17">
        <v>355.8403158428481</v>
      </c>
      <c r="J17">
        <v>0</v>
      </c>
      <c r="K17">
        <v>253.1702653312052</v>
      </c>
      <c r="L17">
        <v>0</v>
      </c>
      <c r="M17">
        <v>112.71372335997827</v>
      </c>
      <c r="N17">
        <v>2341.2790627259051</v>
      </c>
      <c r="O17">
        <v>172.2153822291092</v>
      </c>
      <c r="P17">
        <v>1733.5403935512379</v>
      </c>
      <c r="Q17">
        <v>170.94213945036</v>
      </c>
      <c r="R17">
        <v>109.07517619681417</v>
      </c>
      <c r="S17">
        <v>145.01360674718862</v>
      </c>
      <c r="T17">
        <v>114.74257038045788</v>
      </c>
    </row>
    <row r="18" spans="1:20" x14ac:dyDescent="0.3">
      <c r="A18">
        <f t="shared" si="1"/>
        <v>12</v>
      </c>
      <c r="B18">
        <v>2342.6764782895025</v>
      </c>
      <c r="C18">
        <v>0</v>
      </c>
      <c r="D18">
        <v>0</v>
      </c>
      <c r="E18">
        <v>0</v>
      </c>
      <c r="F18">
        <v>2278.8372859427359</v>
      </c>
      <c r="G18">
        <v>2212.8900994930736</v>
      </c>
      <c r="H18">
        <v>0</v>
      </c>
      <c r="I18">
        <v>2098.5456031677518</v>
      </c>
      <c r="J18">
        <v>0</v>
      </c>
      <c r="K18">
        <v>2000.8288361728082</v>
      </c>
      <c r="L18">
        <v>0</v>
      </c>
      <c r="M18">
        <v>1198.7289620784959</v>
      </c>
      <c r="N18">
        <v>2342.6764782895025</v>
      </c>
      <c r="O18">
        <v>106.00736895597751</v>
      </c>
      <c r="P18">
        <v>106.96625759663186</v>
      </c>
      <c r="Q18">
        <v>154.17651811619683</v>
      </c>
      <c r="R18">
        <v>135.49058785196303</v>
      </c>
      <c r="S18">
        <v>838.11479314542294</v>
      </c>
      <c r="T18">
        <v>1220.3060833959089</v>
      </c>
    </row>
    <row r="19" spans="1:20" x14ac:dyDescent="0.3">
      <c r="A19">
        <f t="shared" si="1"/>
        <v>13</v>
      </c>
      <c r="B19">
        <v>2843.0301100603328</v>
      </c>
      <c r="C19">
        <v>0</v>
      </c>
      <c r="D19">
        <v>0</v>
      </c>
      <c r="E19">
        <v>0</v>
      </c>
      <c r="F19">
        <v>2791.2415358269977</v>
      </c>
      <c r="G19">
        <v>435.48388347188342</v>
      </c>
      <c r="H19">
        <v>0</v>
      </c>
      <c r="I19">
        <v>331.15113212035362</v>
      </c>
      <c r="J19">
        <v>0</v>
      </c>
      <c r="K19">
        <v>223.49939807078863</v>
      </c>
      <c r="L19">
        <v>0</v>
      </c>
      <c r="M19">
        <v>121.49062378085617</v>
      </c>
      <c r="N19">
        <v>2843.0301100603328</v>
      </c>
      <c r="O19">
        <v>102.96311621442199</v>
      </c>
      <c r="P19">
        <v>2406</v>
      </c>
      <c r="Q19">
        <v>112.17146125402371</v>
      </c>
      <c r="R19">
        <v>113.61245442773135</v>
      </c>
      <c r="S19">
        <v>106.03176345520666</v>
      </c>
      <c r="T19">
        <v>123.67745500891158</v>
      </c>
    </row>
    <row r="20" spans="1:20" x14ac:dyDescent="0.3">
      <c r="A20">
        <f t="shared" si="1"/>
        <v>14</v>
      </c>
      <c r="B20">
        <v>676.01473766559434</v>
      </c>
      <c r="C20">
        <v>0</v>
      </c>
      <c r="D20">
        <v>0</v>
      </c>
      <c r="E20">
        <v>0</v>
      </c>
      <c r="F20">
        <v>543.17327172538273</v>
      </c>
      <c r="G20">
        <v>452.26693219344702</v>
      </c>
      <c r="H20">
        <v>0</v>
      </c>
      <c r="I20">
        <v>338.36007137663569</v>
      </c>
      <c r="J20">
        <v>0</v>
      </c>
      <c r="K20">
        <v>243.80193297308173</v>
      </c>
      <c r="L20">
        <v>0</v>
      </c>
      <c r="M20">
        <v>135.89614656442629</v>
      </c>
      <c r="N20">
        <v>676.01473766559434</v>
      </c>
      <c r="O20">
        <v>145.00973121819237</v>
      </c>
      <c r="P20">
        <v>100.6834584229926</v>
      </c>
      <c r="Q20">
        <v>122.0476655962934</v>
      </c>
      <c r="R20">
        <v>100.64861968833338</v>
      </c>
      <c r="S20">
        <v>112.29422120217092</v>
      </c>
      <c r="T20">
        <v>138.34227720258596</v>
      </c>
    </row>
    <row r="21" spans="1:20" x14ac:dyDescent="0.3">
      <c r="A21">
        <f t="shared" si="1"/>
        <v>15</v>
      </c>
      <c r="B21">
        <v>777.65718103196764</v>
      </c>
      <c r="C21">
        <v>0</v>
      </c>
      <c r="D21">
        <v>0</v>
      </c>
      <c r="E21">
        <v>0</v>
      </c>
      <c r="F21">
        <v>691.42463015333442</v>
      </c>
      <c r="G21">
        <v>583.8791369022324</v>
      </c>
      <c r="H21">
        <v>0</v>
      </c>
      <c r="I21">
        <v>483.50391673119998</v>
      </c>
      <c r="J21">
        <v>0</v>
      </c>
      <c r="K21">
        <v>353.52021547054699</v>
      </c>
      <c r="L21">
        <v>0</v>
      </c>
      <c r="M21">
        <v>168.38517489981311</v>
      </c>
      <c r="N21">
        <v>777.65718103196764</v>
      </c>
      <c r="O21">
        <v>100.23038013720857</v>
      </c>
      <c r="P21">
        <v>119.99113659386209</v>
      </c>
      <c r="Q21">
        <v>110.88504463527255</v>
      </c>
      <c r="R21">
        <v>138.68677176181461</v>
      </c>
      <c r="S21">
        <v>191.49840444920372</v>
      </c>
      <c r="T21">
        <v>171.41610804800973</v>
      </c>
    </row>
    <row r="22" spans="1:20" x14ac:dyDescent="0.3">
      <c r="A22">
        <f t="shared" si="1"/>
        <v>16</v>
      </c>
      <c r="B22">
        <v>944.5802788611245</v>
      </c>
      <c r="C22">
        <v>0</v>
      </c>
      <c r="D22">
        <v>0</v>
      </c>
      <c r="E22">
        <v>0</v>
      </c>
      <c r="F22">
        <v>743.57114669811392</v>
      </c>
      <c r="G22">
        <v>475.7995377837874</v>
      </c>
      <c r="H22">
        <v>0</v>
      </c>
      <c r="I22">
        <v>325.11919900883635</v>
      </c>
      <c r="J22">
        <v>0</v>
      </c>
      <c r="K22">
        <v>228.76824034273005</v>
      </c>
      <c r="L22">
        <v>0</v>
      </c>
      <c r="M22">
        <v>111.85102337151757</v>
      </c>
      <c r="N22">
        <v>944.5802788611245</v>
      </c>
      <c r="O22">
        <v>218.01157718251085</v>
      </c>
      <c r="P22">
        <v>281.1558895548925</v>
      </c>
      <c r="Q22">
        <v>159.2447304550592</v>
      </c>
      <c r="R22">
        <v>102.20310424826538</v>
      </c>
      <c r="S22">
        <v>121.0350452973816</v>
      </c>
      <c r="T22">
        <v>113.86434179220488</v>
      </c>
    </row>
    <row r="23" spans="1:20" x14ac:dyDescent="0.3">
      <c r="A23">
        <f t="shared" si="1"/>
        <v>17</v>
      </c>
      <c r="B23">
        <v>1365.818554984759</v>
      </c>
      <c r="C23">
        <v>0</v>
      </c>
      <c r="D23">
        <v>0</v>
      </c>
      <c r="E23">
        <v>0</v>
      </c>
      <c r="F23">
        <v>678.66699821597092</v>
      </c>
      <c r="G23">
        <v>567.90958212285079</v>
      </c>
      <c r="H23">
        <v>0</v>
      </c>
      <c r="I23">
        <v>476.29154208205648</v>
      </c>
      <c r="J23">
        <v>0</v>
      </c>
      <c r="K23">
        <v>351.81141191291755</v>
      </c>
      <c r="L23">
        <v>0</v>
      </c>
      <c r="M23">
        <v>220.79915379263085</v>
      </c>
      <c r="N23">
        <v>1365.818554984759</v>
      </c>
      <c r="O23">
        <v>711.73629075851375</v>
      </c>
      <c r="P23">
        <v>122.97342206100762</v>
      </c>
      <c r="Q23">
        <v>101.84041251900562</v>
      </c>
      <c r="R23">
        <v>133.05337792661589</v>
      </c>
      <c r="S23">
        <v>137.34486353471922</v>
      </c>
      <c r="T23">
        <v>224.7735385608982</v>
      </c>
    </row>
    <row r="24" spans="1:20" x14ac:dyDescent="0.3">
      <c r="A24">
        <f t="shared" si="1"/>
        <v>18</v>
      </c>
      <c r="B24">
        <v>2755.256798011415</v>
      </c>
      <c r="C24">
        <v>0</v>
      </c>
      <c r="D24">
        <v>0</v>
      </c>
      <c r="E24">
        <v>0</v>
      </c>
      <c r="F24">
        <v>760.75167738520133</v>
      </c>
      <c r="G24">
        <v>640.43884455753721</v>
      </c>
      <c r="H24">
        <v>0</v>
      </c>
      <c r="I24">
        <v>543.31187595569031</v>
      </c>
      <c r="J24">
        <v>0</v>
      </c>
      <c r="K24">
        <v>441.74196604216331</v>
      </c>
      <c r="L24">
        <v>0</v>
      </c>
      <c r="M24">
        <v>127.97168070834446</v>
      </c>
      <c r="N24">
        <v>2755.256798011415</v>
      </c>
      <c r="O24">
        <v>2044.0997429904189</v>
      </c>
      <c r="P24">
        <v>134.0063630205978</v>
      </c>
      <c r="Q24">
        <v>108.65486780388248</v>
      </c>
      <c r="R24">
        <v>111.34952368072946</v>
      </c>
      <c r="S24">
        <v>321.72164072257777</v>
      </c>
      <c r="T24">
        <v>130.27517096109466</v>
      </c>
    </row>
    <row r="25" spans="1:20" x14ac:dyDescent="0.3">
      <c r="A25">
        <f t="shared" si="1"/>
        <v>19</v>
      </c>
      <c r="B25">
        <v>896.25848980574688</v>
      </c>
      <c r="C25">
        <v>0</v>
      </c>
      <c r="D25">
        <v>0</v>
      </c>
      <c r="E25">
        <v>0</v>
      </c>
      <c r="F25">
        <v>698.1935500087011</v>
      </c>
      <c r="G25">
        <v>610.05630235201477</v>
      </c>
      <c r="H25">
        <v>0</v>
      </c>
      <c r="I25">
        <v>511.69305786606412</v>
      </c>
      <c r="J25">
        <v>0</v>
      </c>
      <c r="K25">
        <v>418.32645561928246</v>
      </c>
      <c r="L25">
        <v>0</v>
      </c>
      <c r="M25">
        <v>129.55798729056812</v>
      </c>
      <c r="N25">
        <v>896.25848980574688</v>
      </c>
      <c r="O25">
        <v>214.1975926135492</v>
      </c>
      <c r="P25">
        <v>100.70473155684286</v>
      </c>
      <c r="Q25">
        <v>109.34425792828692</v>
      </c>
      <c r="R25">
        <v>102.57707728837082</v>
      </c>
      <c r="S25">
        <v>296.29834452986142</v>
      </c>
      <c r="T25">
        <v>131.89003106179834</v>
      </c>
    </row>
    <row r="26" spans="1:20" x14ac:dyDescent="0.3">
      <c r="A26">
        <f t="shared" si="1"/>
        <v>20</v>
      </c>
      <c r="B26">
        <v>3042.061449046324</v>
      </c>
      <c r="C26">
        <v>0</v>
      </c>
      <c r="D26">
        <v>0</v>
      </c>
      <c r="E26">
        <v>0</v>
      </c>
      <c r="F26">
        <v>2979.6082576531198</v>
      </c>
      <c r="G26">
        <v>627.24120629087622</v>
      </c>
      <c r="H26">
        <v>0</v>
      </c>
      <c r="I26">
        <v>454.26522528130431</v>
      </c>
      <c r="J26">
        <v>0</v>
      </c>
      <c r="K26">
        <v>319.48135603150416</v>
      </c>
      <c r="L26">
        <v>0</v>
      </c>
      <c r="M26">
        <v>220.32498440427753</v>
      </c>
      <c r="N26">
        <v>3042.061449046324</v>
      </c>
      <c r="O26">
        <v>117.21029747603779</v>
      </c>
      <c r="P26">
        <v>2406</v>
      </c>
      <c r="Q26">
        <v>184.2663227228077</v>
      </c>
      <c r="R26">
        <v>142.96064330486359</v>
      </c>
      <c r="S26">
        <v>104.90703603579372</v>
      </c>
      <c r="T26">
        <v>224.29083412355453</v>
      </c>
    </row>
    <row r="27" spans="1:20" x14ac:dyDescent="0.3">
      <c r="A27">
        <f t="shared" si="1"/>
        <v>21</v>
      </c>
      <c r="B27">
        <v>2776.656486919816</v>
      </c>
      <c r="C27">
        <v>0</v>
      </c>
      <c r="D27">
        <v>0</v>
      </c>
      <c r="E27">
        <v>0</v>
      </c>
      <c r="F27">
        <v>2724.6632342743537</v>
      </c>
      <c r="G27">
        <v>2668.8116363419081</v>
      </c>
      <c r="H27">
        <v>0</v>
      </c>
      <c r="I27">
        <v>310.85024579606272</v>
      </c>
      <c r="J27">
        <v>0</v>
      </c>
      <c r="K27">
        <v>209.44294353291201</v>
      </c>
      <c r="L27">
        <v>0</v>
      </c>
      <c r="M27">
        <v>105.4739130329603</v>
      </c>
      <c r="N27">
        <v>2776.656486919816</v>
      </c>
      <c r="O27">
        <v>101.97306941001867</v>
      </c>
      <c r="P27">
        <v>104.89553614938447</v>
      </c>
      <c r="Q27">
        <v>2406</v>
      </c>
      <c r="R27">
        <v>107.00260668747987</v>
      </c>
      <c r="S27">
        <v>107.73900348354414</v>
      </c>
      <c r="T27">
        <v>107.37244346755358</v>
      </c>
    </row>
    <row r="28" spans="1:20" x14ac:dyDescent="0.3">
      <c r="A28">
        <f t="shared" si="1"/>
        <v>22</v>
      </c>
      <c r="B28">
        <v>5031.4891529990273</v>
      </c>
      <c r="C28">
        <v>0</v>
      </c>
      <c r="D28">
        <v>0</v>
      </c>
      <c r="E28">
        <v>0</v>
      </c>
      <c r="F28">
        <v>5001.5367639942815</v>
      </c>
      <c r="G28">
        <v>2685.564425746179</v>
      </c>
      <c r="H28">
        <v>0</v>
      </c>
      <c r="I28">
        <v>2627.451513542559</v>
      </c>
      <c r="J28">
        <v>0</v>
      </c>
      <c r="K28">
        <v>2419.9170385400371</v>
      </c>
      <c r="L28">
        <v>0</v>
      </c>
      <c r="M28">
        <v>2363.4577603143416</v>
      </c>
      <c r="N28">
        <v>5031.4891529990273</v>
      </c>
      <c r="O28">
        <v>120.51919375872831</v>
      </c>
      <c r="P28">
        <v>2406</v>
      </c>
      <c r="Q28">
        <v>106.45307186705078</v>
      </c>
      <c r="R28">
        <v>254.82860224628817</v>
      </c>
      <c r="S28">
        <v>100.01778491941599</v>
      </c>
      <c r="T28">
        <v>2406</v>
      </c>
    </row>
    <row r="29" spans="1:20" x14ac:dyDescent="0.3">
      <c r="A29">
        <f t="shared" si="1"/>
        <v>23</v>
      </c>
      <c r="B29">
        <v>882.65008077319806</v>
      </c>
      <c r="C29">
        <v>0</v>
      </c>
      <c r="D29">
        <v>0</v>
      </c>
      <c r="E29">
        <v>0</v>
      </c>
      <c r="F29">
        <v>767.5723795998656</v>
      </c>
      <c r="G29">
        <v>655.41024589654967</v>
      </c>
      <c r="H29">
        <v>0</v>
      </c>
      <c r="I29">
        <v>551.88090915964528</v>
      </c>
      <c r="J29">
        <v>0</v>
      </c>
      <c r="K29">
        <v>448.60301541626887</v>
      </c>
      <c r="L29">
        <v>0</v>
      </c>
      <c r="M29">
        <v>331.75643803027424</v>
      </c>
      <c r="N29">
        <v>882.65008077319806</v>
      </c>
      <c r="O29">
        <v>130.96540262724997</v>
      </c>
      <c r="P29">
        <v>125.97843653611361</v>
      </c>
      <c r="Q29">
        <v>115.32672116304224</v>
      </c>
      <c r="R29">
        <v>113.21175010824996</v>
      </c>
      <c r="S29">
        <v>124.92143166348751</v>
      </c>
      <c r="T29">
        <v>337.72805391481916</v>
      </c>
    </row>
    <row r="30" spans="1:20" x14ac:dyDescent="0.3">
      <c r="A30">
        <f t="shared" si="1"/>
        <v>24</v>
      </c>
      <c r="B30">
        <v>683.08847643603724</v>
      </c>
      <c r="C30">
        <v>0</v>
      </c>
      <c r="D30">
        <v>0</v>
      </c>
      <c r="E30">
        <v>0</v>
      </c>
      <c r="F30">
        <v>583.16432026764085</v>
      </c>
      <c r="G30">
        <v>485.24946558456526</v>
      </c>
      <c r="H30">
        <v>0</v>
      </c>
      <c r="I30">
        <v>317.58075734817623</v>
      </c>
      <c r="J30">
        <v>0</v>
      </c>
      <c r="K30">
        <v>218.11957676527663</v>
      </c>
      <c r="L30">
        <v>0</v>
      </c>
      <c r="M30">
        <v>104.62928988681287</v>
      </c>
      <c r="N30">
        <v>683.08847643603724</v>
      </c>
      <c r="O30">
        <v>112.21974874424502</v>
      </c>
      <c r="P30">
        <v>108.41181244789314</v>
      </c>
      <c r="Q30">
        <v>176.40319861691125</v>
      </c>
      <c r="R30">
        <v>105.17763421516678</v>
      </c>
      <c r="S30">
        <v>117.41643926023872</v>
      </c>
      <c r="T30">
        <v>106.5126171047755</v>
      </c>
    </row>
    <row r="31" spans="1:20" x14ac:dyDescent="0.3">
      <c r="A31">
        <f t="shared" si="1"/>
        <v>25</v>
      </c>
      <c r="B31">
        <v>730.90206536679352</v>
      </c>
      <c r="C31">
        <v>0</v>
      </c>
      <c r="D31">
        <v>0</v>
      </c>
      <c r="E31">
        <v>0</v>
      </c>
      <c r="F31">
        <v>637.38675505379115</v>
      </c>
      <c r="G31">
        <v>547.94579691874412</v>
      </c>
      <c r="H31">
        <v>0</v>
      </c>
      <c r="I31">
        <v>314.17282775132162</v>
      </c>
      <c r="J31">
        <v>0</v>
      </c>
      <c r="K31">
        <v>218.28366889166426</v>
      </c>
      <c r="L31">
        <v>0</v>
      </c>
      <c r="M31">
        <v>121.65671856634063</v>
      </c>
      <c r="N31">
        <v>730.90206536679352</v>
      </c>
      <c r="O31">
        <v>106.67154748960463</v>
      </c>
      <c r="P31">
        <v>100.91391972601522</v>
      </c>
      <c r="Q31">
        <v>243.63599351195998</v>
      </c>
      <c r="R31">
        <v>101.54426975918112</v>
      </c>
      <c r="S31">
        <v>100.55605636537358</v>
      </c>
      <c r="T31">
        <v>123.84653950053476</v>
      </c>
    </row>
    <row r="32" spans="1:20" x14ac:dyDescent="0.3">
      <c r="A32">
        <f t="shared" si="1"/>
        <v>26</v>
      </c>
      <c r="B32">
        <v>2223.0905706298399</v>
      </c>
      <c r="C32">
        <v>0</v>
      </c>
      <c r="D32">
        <v>0</v>
      </c>
      <c r="E32">
        <v>0</v>
      </c>
      <c r="F32">
        <v>2154.7164636294297</v>
      </c>
      <c r="G32">
        <v>2066.0199419683704</v>
      </c>
      <c r="H32">
        <v>0</v>
      </c>
      <c r="I32">
        <v>1947.4227268642157</v>
      </c>
      <c r="J32">
        <v>0</v>
      </c>
      <c r="K32">
        <v>230.52983804525067</v>
      </c>
      <c r="L32">
        <v>0</v>
      </c>
      <c r="M32">
        <v>133.26929487370279</v>
      </c>
      <c r="N32">
        <v>2223.0905706298399</v>
      </c>
      <c r="O32">
        <v>108.38973727174725</v>
      </c>
      <c r="P32">
        <v>127.48141800638892</v>
      </c>
      <c r="Q32">
        <v>155.78557405958531</v>
      </c>
      <c r="R32">
        <v>1751.9464979025211</v>
      </c>
      <c r="S32">
        <v>101.41008025636239</v>
      </c>
      <c r="T32">
        <v>135.66814218142943</v>
      </c>
    </row>
    <row r="33" spans="1:20" x14ac:dyDescent="0.3">
      <c r="A33">
        <f t="shared" si="1"/>
        <v>27</v>
      </c>
      <c r="B33">
        <v>2979.5299978501057</v>
      </c>
      <c r="C33">
        <v>0</v>
      </c>
      <c r="D33">
        <v>0</v>
      </c>
      <c r="E33">
        <v>0</v>
      </c>
      <c r="F33">
        <v>627.16153781140815</v>
      </c>
      <c r="G33">
        <v>438.28908713945884</v>
      </c>
      <c r="H33">
        <v>0</v>
      </c>
      <c r="I33">
        <v>340.43532630615255</v>
      </c>
      <c r="J33">
        <v>0</v>
      </c>
      <c r="K33">
        <v>242.08955169114358</v>
      </c>
      <c r="L33">
        <v>0</v>
      </c>
      <c r="M33">
        <v>106.3473024995462</v>
      </c>
      <c r="N33">
        <v>2979.5299978501057</v>
      </c>
      <c r="O33">
        <v>2406</v>
      </c>
      <c r="P33">
        <v>200.16135835255477</v>
      </c>
      <c r="Q33">
        <v>105.74296440181654</v>
      </c>
      <c r="R33">
        <v>104.47361048851971</v>
      </c>
      <c r="S33">
        <v>140.09986112203799</v>
      </c>
      <c r="T33">
        <v>108.26155394453804</v>
      </c>
    </row>
    <row r="34" spans="1:20" x14ac:dyDescent="0.3">
      <c r="A34">
        <f t="shared" si="1"/>
        <v>28</v>
      </c>
      <c r="B34">
        <v>1389.7625052326573</v>
      </c>
      <c r="C34">
        <v>0</v>
      </c>
      <c r="D34">
        <v>0</v>
      </c>
      <c r="E34">
        <v>0</v>
      </c>
      <c r="F34">
        <v>760.85219190110138</v>
      </c>
      <c r="G34">
        <v>673.7160385047298</v>
      </c>
      <c r="H34">
        <v>0</v>
      </c>
      <c r="I34">
        <v>544.63543521431336</v>
      </c>
      <c r="J34">
        <v>0</v>
      </c>
      <c r="K34">
        <v>454.08839714627436</v>
      </c>
      <c r="L34">
        <v>0</v>
      </c>
      <c r="M34">
        <v>345.17082396252175</v>
      </c>
      <c r="N34">
        <v>1389.7625052326573</v>
      </c>
      <c r="O34">
        <v>653.92603842574385</v>
      </c>
      <c r="P34">
        <v>100.83149285059143</v>
      </c>
      <c r="Q34">
        <v>141.20749198350154</v>
      </c>
      <c r="R34">
        <v>100.35047590189662</v>
      </c>
      <c r="S34">
        <v>117.09116433238555</v>
      </c>
      <c r="T34">
        <v>351.38389879384715</v>
      </c>
    </row>
    <row r="35" spans="1:20" x14ac:dyDescent="0.3">
      <c r="A35">
        <f t="shared" si="1"/>
        <v>29</v>
      </c>
      <c r="B35">
        <v>2863.4584094461516</v>
      </c>
      <c r="C35">
        <v>0</v>
      </c>
      <c r="D35">
        <v>0</v>
      </c>
      <c r="E35">
        <v>0</v>
      </c>
      <c r="F35">
        <v>2806.9974668363866</v>
      </c>
      <c r="G35">
        <v>2682.9015399354498</v>
      </c>
      <c r="H35">
        <v>0</v>
      </c>
      <c r="I35">
        <v>2583.8184020116232</v>
      </c>
      <c r="J35">
        <v>0</v>
      </c>
      <c r="K35">
        <v>224.32713324783253</v>
      </c>
      <c r="L35">
        <v>0</v>
      </c>
      <c r="M35">
        <v>128.25728304301762</v>
      </c>
      <c r="N35">
        <v>2863.4584094461516</v>
      </c>
      <c r="O35">
        <v>108.00319397979601</v>
      </c>
      <c r="P35">
        <v>174.62188130399119</v>
      </c>
      <c r="Q35">
        <v>147.37536564266514</v>
      </c>
      <c r="R35">
        <v>2406</v>
      </c>
      <c r="S35">
        <v>100.10773860327589</v>
      </c>
      <c r="T35">
        <v>130.56591413779194</v>
      </c>
    </row>
    <row r="36" spans="1:20" x14ac:dyDescent="0.3">
      <c r="A36">
        <f t="shared" si="1"/>
        <v>30</v>
      </c>
      <c r="B36">
        <v>1788.6849170086555</v>
      </c>
      <c r="C36">
        <v>0</v>
      </c>
      <c r="D36">
        <v>0</v>
      </c>
      <c r="E36">
        <v>0</v>
      </c>
      <c r="F36">
        <v>687.01814364989855</v>
      </c>
      <c r="G36">
        <v>561.73672241827239</v>
      </c>
      <c r="H36">
        <v>0</v>
      </c>
      <c r="I36">
        <v>385.11487469361748</v>
      </c>
      <c r="J36">
        <v>0</v>
      </c>
      <c r="K36">
        <v>279.90541656866839</v>
      </c>
      <c r="L36">
        <v>0</v>
      </c>
      <c r="M36">
        <v>139.1257211994072</v>
      </c>
      <c r="N36">
        <v>1788.6849170086555</v>
      </c>
      <c r="O36">
        <v>1133.8631018649128</v>
      </c>
      <c r="P36">
        <v>137.64774781732422</v>
      </c>
      <c r="Q36">
        <v>186.73310872818382</v>
      </c>
      <c r="R36">
        <v>112.14152586943425</v>
      </c>
      <c r="S36">
        <v>145.81799286749722</v>
      </c>
      <c r="T36">
        <v>141.62998418099653</v>
      </c>
    </row>
    <row r="37" spans="1:20" x14ac:dyDescent="0.3">
      <c r="A37">
        <f t="shared" si="1"/>
        <v>31</v>
      </c>
      <c r="B37">
        <v>2994.7321090571618</v>
      </c>
      <c r="C37">
        <v>0</v>
      </c>
      <c r="D37">
        <v>0</v>
      </c>
      <c r="E37">
        <v>0</v>
      </c>
      <c r="F37">
        <v>2892.7288059017701</v>
      </c>
      <c r="G37">
        <v>538.79792440800202</v>
      </c>
      <c r="H37">
        <v>0</v>
      </c>
      <c r="I37">
        <v>448.02262414864276</v>
      </c>
      <c r="J37">
        <v>0</v>
      </c>
      <c r="K37">
        <v>220.68077647546892</v>
      </c>
      <c r="L37">
        <v>0</v>
      </c>
      <c r="M37">
        <v>101.66776041877075</v>
      </c>
      <c r="N37">
        <v>2994.7321090571618</v>
      </c>
      <c r="O37">
        <v>155.90848111842061</v>
      </c>
      <c r="P37">
        <v>2406</v>
      </c>
      <c r="Q37">
        <v>100.4736628987033</v>
      </c>
      <c r="R37">
        <v>235.40625490784939</v>
      </c>
      <c r="S37">
        <v>122.98527003325663</v>
      </c>
      <c r="T37">
        <v>103.49778010630862</v>
      </c>
    </row>
    <row r="38" spans="1:20" x14ac:dyDescent="0.3">
      <c r="A38">
        <f t="shared" si="1"/>
        <v>32</v>
      </c>
      <c r="B38">
        <v>1072.5951905675902</v>
      </c>
      <c r="C38">
        <v>0</v>
      </c>
      <c r="D38">
        <v>0</v>
      </c>
      <c r="E38">
        <v>0</v>
      </c>
      <c r="F38">
        <v>974.39852736176647</v>
      </c>
      <c r="G38">
        <v>885.26646782178989</v>
      </c>
      <c r="H38">
        <v>0</v>
      </c>
      <c r="I38">
        <v>562.95164371045132</v>
      </c>
      <c r="J38">
        <v>0</v>
      </c>
      <c r="K38">
        <v>339.64261227609757</v>
      </c>
      <c r="L38">
        <v>0</v>
      </c>
      <c r="M38">
        <v>129.10962223845746</v>
      </c>
      <c r="N38">
        <v>1072.5951905675902</v>
      </c>
      <c r="O38">
        <v>117.50337663604039</v>
      </c>
      <c r="P38">
        <v>106.67123303248843</v>
      </c>
      <c r="Q38">
        <v>338.24962053213073</v>
      </c>
      <c r="R38">
        <v>233.44216102114189</v>
      </c>
      <c r="S38">
        <v>216.64655705860986</v>
      </c>
      <c r="T38">
        <v>131.43359543874971</v>
      </c>
    </row>
    <row r="39" spans="1:20" x14ac:dyDescent="0.3">
      <c r="A39">
        <f t="shared" si="1"/>
        <v>33</v>
      </c>
      <c r="B39">
        <v>1043.207147279152</v>
      </c>
      <c r="C39">
        <v>0</v>
      </c>
      <c r="D39">
        <v>0</v>
      </c>
      <c r="E39">
        <v>0</v>
      </c>
      <c r="F39">
        <v>905.36835082398943</v>
      </c>
      <c r="G39">
        <v>820.78982321485773</v>
      </c>
      <c r="H39">
        <v>0</v>
      </c>
      <c r="I39">
        <v>450.50533485143706</v>
      </c>
      <c r="J39">
        <v>0</v>
      </c>
      <c r="K39">
        <v>345.0655971058942</v>
      </c>
      <c r="L39">
        <v>0</v>
      </c>
      <c r="M39">
        <v>98.652740877260044</v>
      </c>
      <c r="N39">
        <v>1043.207147279152</v>
      </c>
      <c r="O39">
        <v>156.61652510618745</v>
      </c>
      <c r="P39">
        <v>100.87515792396343</v>
      </c>
      <c r="Q39">
        <v>385.05870518128808</v>
      </c>
      <c r="R39">
        <v>113.54883377286875</v>
      </c>
      <c r="S39">
        <v>252.62403697654025</v>
      </c>
      <c r="T39">
        <v>100.42849021305072</v>
      </c>
    </row>
    <row r="40" spans="1:20" x14ac:dyDescent="0.3">
      <c r="A40">
        <f t="shared" si="1"/>
        <v>34</v>
      </c>
      <c r="B40">
        <v>2068.6887313566094</v>
      </c>
      <c r="C40">
        <v>0</v>
      </c>
      <c r="D40">
        <v>0</v>
      </c>
      <c r="E40">
        <v>0</v>
      </c>
      <c r="F40">
        <v>2002.4041393943046</v>
      </c>
      <c r="G40">
        <v>567.5258458363154</v>
      </c>
      <c r="H40">
        <v>0</v>
      </c>
      <c r="I40">
        <v>476.16339843581358</v>
      </c>
      <c r="J40">
        <v>0</v>
      </c>
      <c r="K40">
        <v>373.77048143768849</v>
      </c>
      <c r="L40">
        <v>0</v>
      </c>
      <c r="M40">
        <v>279.60681896614341</v>
      </c>
      <c r="N40">
        <v>2068.6887313566094</v>
      </c>
      <c r="O40">
        <v>103.52098912672368</v>
      </c>
      <c r="P40">
        <v>1470.9215680670868</v>
      </c>
      <c r="Q40">
        <v>101.5779126255555</v>
      </c>
      <c r="R40">
        <v>110.96385816996968</v>
      </c>
      <c r="S40">
        <v>100.89153113742348</v>
      </c>
      <c r="T40">
        <v>284.63974170753397</v>
      </c>
    </row>
    <row r="41" spans="1:20" x14ac:dyDescent="0.3">
      <c r="A41">
        <f t="shared" si="1"/>
        <v>35</v>
      </c>
      <c r="B41">
        <v>3259.1782464130624</v>
      </c>
      <c r="C41">
        <v>0</v>
      </c>
      <c r="D41">
        <v>0</v>
      </c>
      <c r="E41">
        <v>0</v>
      </c>
      <c r="F41">
        <v>2381.9997523958559</v>
      </c>
      <c r="G41">
        <v>2304.0322627539786</v>
      </c>
      <c r="H41">
        <v>0</v>
      </c>
      <c r="I41">
        <v>2236.009646406168</v>
      </c>
      <c r="J41">
        <v>0</v>
      </c>
      <c r="K41">
        <v>2135.882060674649</v>
      </c>
      <c r="L41">
        <v>0</v>
      </c>
      <c r="M41">
        <v>2073.9230814779835</v>
      </c>
      <c r="N41">
        <v>3259.1782464130624</v>
      </c>
      <c r="O41">
        <v>935.84370245264154</v>
      </c>
      <c r="P41">
        <v>120.8434851850029</v>
      </c>
      <c r="Q41">
        <v>109.49519707738251</v>
      </c>
      <c r="R41">
        <v>140.37575936682984</v>
      </c>
      <c r="S41">
        <v>100.40485628880913</v>
      </c>
      <c r="T41">
        <v>2111.2536969445873</v>
      </c>
    </row>
    <row r="42" spans="1:20" x14ac:dyDescent="0.3">
      <c r="A42">
        <f t="shared" si="1"/>
        <v>36</v>
      </c>
      <c r="B42">
        <v>2806.051401396348</v>
      </c>
      <c r="C42">
        <v>0</v>
      </c>
      <c r="D42">
        <v>0</v>
      </c>
      <c r="E42">
        <v>0</v>
      </c>
      <c r="F42">
        <v>2750.2004645925267</v>
      </c>
      <c r="G42">
        <v>2685.7611037728097</v>
      </c>
      <c r="H42">
        <v>0</v>
      </c>
      <c r="I42">
        <v>328.10480364072072</v>
      </c>
      <c r="J42">
        <v>0</v>
      </c>
      <c r="K42">
        <v>200.9611496223352</v>
      </c>
      <c r="L42">
        <v>0</v>
      </c>
      <c r="M42">
        <v>102.41179519243565</v>
      </c>
      <c r="N42">
        <v>2806.051401396348</v>
      </c>
      <c r="O42">
        <v>106.35986202895522</v>
      </c>
      <c r="P42">
        <v>113.94296918238268</v>
      </c>
      <c r="Q42">
        <v>2406</v>
      </c>
      <c r="R42">
        <v>133.04954048391849</v>
      </c>
      <c r="S42">
        <v>102.16665512310159</v>
      </c>
      <c r="T42">
        <v>104.25520750589949</v>
      </c>
    </row>
    <row r="43" spans="1:20" x14ac:dyDescent="0.3">
      <c r="A43">
        <f t="shared" si="1"/>
        <v>37</v>
      </c>
      <c r="B43">
        <v>3631.6588551827535</v>
      </c>
      <c r="C43">
        <v>0</v>
      </c>
      <c r="D43">
        <v>0</v>
      </c>
      <c r="E43">
        <v>0</v>
      </c>
      <c r="F43">
        <v>3465.3069090693693</v>
      </c>
      <c r="G43">
        <v>3083.0856343453293</v>
      </c>
      <c r="H43">
        <v>0</v>
      </c>
      <c r="I43">
        <v>2810.1223526474687</v>
      </c>
      <c r="J43">
        <v>0</v>
      </c>
      <c r="K43">
        <v>454.70455499512371</v>
      </c>
      <c r="L43">
        <v>0</v>
      </c>
      <c r="M43">
        <v>357.8467361262783</v>
      </c>
      <c r="N43">
        <v>3631.6588551827535</v>
      </c>
      <c r="O43">
        <v>231.72180550667284</v>
      </c>
      <c r="P43">
        <v>444.59679908728901</v>
      </c>
      <c r="Q43">
        <v>328.45882311607625</v>
      </c>
      <c r="R43">
        <v>2406</v>
      </c>
      <c r="S43">
        <v>105.04250085875761</v>
      </c>
      <c r="T43">
        <v>364.28797737655134</v>
      </c>
    </row>
    <row r="44" spans="1:20" x14ac:dyDescent="0.3">
      <c r="A44">
        <f t="shared" si="1"/>
        <v>38</v>
      </c>
      <c r="B44">
        <v>956.64852228156269</v>
      </c>
      <c r="C44">
        <v>0</v>
      </c>
      <c r="D44">
        <v>0</v>
      </c>
      <c r="E44">
        <v>0</v>
      </c>
      <c r="F44">
        <v>645.01561678409973</v>
      </c>
      <c r="G44">
        <v>553.29182326633077</v>
      </c>
      <c r="H44">
        <v>0</v>
      </c>
      <c r="I44">
        <v>303.47180574217589</v>
      </c>
      <c r="J44">
        <v>0</v>
      </c>
      <c r="K44">
        <v>207.71052892463223</v>
      </c>
      <c r="L44">
        <v>0</v>
      </c>
      <c r="M44">
        <v>106.71137190306708</v>
      </c>
      <c r="N44">
        <v>956.64852228156269</v>
      </c>
      <c r="O44">
        <v>328.85257889853096</v>
      </c>
      <c r="P44">
        <v>103.33407461988278</v>
      </c>
      <c r="Q44">
        <v>259.77927034294885</v>
      </c>
      <c r="R44">
        <v>101.22376932090285</v>
      </c>
      <c r="S44">
        <v>104.73794654220856</v>
      </c>
      <c r="T44">
        <v>108.63217659732229</v>
      </c>
    </row>
    <row r="45" spans="1:20" x14ac:dyDescent="0.3">
      <c r="A45">
        <f t="shared" si="1"/>
        <v>39</v>
      </c>
      <c r="B45">
        <v>2743.6454075671459</v>
      </c>
      <c r="C45">
        <v>0</v>
      </c>
      <c r="D45">
        <v>0</v>
      </c>
      <c r="E45">
        <v>0</v>
      </c>
      <c r="F45">
        <v>2685.2711810279598</v>
      </c>
      <c r="G45">
        <v>2584.5954165760072</v>
      </c>
      <c r="H45">
        <v>0</v>
      </c>
      <c r="I45">
        <v>2526.1379377758026</v>
      </c>
      <c r="J45">
        <v>0</v>
      </c>
      <c r="K45">
        <v>2470.4929547146544</v>
      </c>
      <c r="L45">
        <v>0</v>
      </c>
      <c r="M45">
        <v>2363.4577603143416</v>
      </c>
      <c r="N45">
        <v>2743.6454075671459</v>
      </c>
      <c r="O45">
        <v>107.75984387539476</v>
      </c>
      <c r="P45">
        <v>149.01064571045637</v>
      </c>
      <c r="Q45">
        <v>104.98019629857225</v>
      </c>
      <c r="R45">
        <v>101.1154659411128</v>
      </c>
      <c r="S45">
        <v>151.50406758517653</v>
      </c>
      <c r="T45">
        <v>2406</v>
      </c>
    </row>
    <row r="46" spans="1:20" x14ac:dyDescent="0.3">
      <c r="A46">
        <f t="shared" si="1"/>
        <v>40</v>
      </c>
      <c r="B46">
        <v>2815.3874806791705</v>
      </c>
      <c r="C46">
        <v>0</v>
      </c>
      <c r="D46">
        <v>0</v>
      </c>
      <c r="E46">
        <v>0</v>
      </c>
      <c r="F46">
        <v>2760.0905098461371</v>
      </c>
      <c r="G46">
        <v>2703.4867662007273</v>
      </c>
      <c r="H46">
        <v>0</v>
      </c>
      <c r="I46">
        <v>2635.9065703421356</v>
      </c>
      <c r="J46">
        <v>0</v>
      </c>
      <c r="K46">
        <v>277.35288860829451</v>
      </c>
      <c r="L46">
        <v>0</v>
      </c>
      <c r="M46">
        <v>176.45892470474865</v>
      </c>
      <c r="N46">
        <v>2815.3874806791705</v>
      </c>
      <c r="O46">
        <v>105.97394548525808</v>
      </c>
      <c r="P46">
        <v>106.28537282264071</v>
      </c>
      <c r="Q46">
        <v>116.24295765020415</v>
      </c>
      <c r="R46">
        <v>2406</v>
      </c>
      <c r="S46">
        <v>105.8863158984952</v>
      </c>
      <c r="T46">
        <v>179.63518534943412</v>
      </c>
    </row>
    <row r="47" spans="1:20" x14ac:dyDescent="0.3">
      <c r="A47">
        <f t="shared" si="1"/>
        <v>41</v>
      </c>
      <c r="B47">
        <v>2205.1263602058157</v>
      </c>
      <c r="C47">
        <v>0</v>
      </c>
      <c r="D47">
        <v>0</v>
      </c>
      <c r="E47">
        <v>0</v>
      </c>
      <c r="F47">
        <v>1738.1167699002449</v>
      </c>
      <c r="G47">
        <v>449.4397772169342</v>
      </c>
      <c r="H47">
        <v>0</v>
      </c>
      <c r="I47">
        <v>355.86894665569389</v>
      </c>
      <c r="J47">
        <v>0</v>
      </c>
      <c r="K47">
        <v>257.44659066687888</v>
      </c>
      <c r="L47">
        <v>0</v>
      </c>
      <c r="M47">
        <v>108.03103126906642</v>
      </c>
      <c r="N47">
        <v>2205.1263602058157</v>
      </c>
      <c r="O47">
        <v>506.70186478927531</v>
      </c>
      <c r="P47">
        <v>1319.9630945415151</v>
      </c>
      <c r="Q47">
        <v>101.66074655114507</v>
      </c>
      <c r="R47">
        <v>104.82799702861756</v>
      </c>
      <c r="S47">
        <v>154.04959802981625</v>
      </c>
      <c r="T47">
        <v>109.97558983190962</v>
      </c>
    </row>
    <row r="48" spans="1:20" x14ac:dyDescent="0.3">
      <c r="A48">
        <f t="shared" si="1"/>
        <v>42</v>
      </c>
      <c r="B48">
        <v>3479.6366410603869</v>
      </c>
      <c r="C48">
        <v>0</v>
      </c>
      <c r="D48">
        <v>0</v>
      </c>
      <c r="E48">
        <v>0</v>
      </c>
      <c r="F48">
        <v>3427.0983796373685</v>
      </c>
      <c r="G48">
        <v>3386.5254716522004</v>
      </c>
      <c r="H48">
        <v>0</v>
      </c>
      <c r="I48">
        <v>1041.4829301419404</v>
      </c>
      <c r="J48">
        <v>0</v>
      </c>
      <c r="K48">
        <v>956.38517914434033</v>
      </c>
      <c r="L48">
        <v>0</v>
      </c>
      <c r="M48">
        <v>104.52218251912761</v>
      </c>
      <c r="N48">
        <v>3479.6366410603869</v>
      </c>
      <c r="O48">
        <v>115.17172096210574</v>
      </c>
      <c r="P48">
        <v>102.2606788186404</v>
      </c>
      <c r="Q48">
        <v>2406</v>
      </c>
      <c r="R48">
        <v>103.8444437401551</v>
      </c>
      <c r="S48">
        <v>869.07792984981074</v>
      </c>
      <c r="T48">
        <v>106.40358180447191</v>
      </c>
    </row>
    <row r="49" spans="1:20" x14ac:dyDescent="0.3">
      <c r="A49">
        <f t="shared" si="1"/>
        <v>43</v>
      </c>
      <c r="B49">
        <v>1107.132407830499</v>
      </c>
      <c r="C49">
        <v>0</v>
      </c>
      <c r="D49">
        <v>0</v>
      </c>
      <c r="E49">
        <v>0</v>
      </c>
      <c r="F49">
        <v>1023.3848644840616</v>
      </c>
      <c r="G49">
        <v>929.21123979320225</v>
      </c>
      <c r="H49">
        <v>0</v>
      </c>
      <c r="I49">
        <v>838.16207684608185</v>
      </c>
      <c r="J49">
        <v>0</v>
      </c>
      <c r="K49">
        <v>747.04685502849952</v>
      </c>
      <c r="L49">
        <v>0</v>
      </c>
      <c r="M49">
        <v>124.10754448047201</v>
      </c>
      <c r="N49">
        <v>1107.132407830499</v>
      </c>
      <c r="O49">
        <v>103.67592668738634</v>
      </c>
      <c r="P49">
        <v>112.59455225157261</v>
      </c>
      <c r="Q49">
        <v>107.77496526339793</v>
      </c>
      <c r="R49">
        <v>106.20213920081176</v>
      </c>
      <c r="S49">
        <v>636.38615393854059</v>
      </c>
      <c r="T49">
        <v>126.34148028112051</v>
      </c>
    </row>
    <row r="50" spans="1:20" x14ac:dyDescent="0.3">
      <c r="A50">
        <f t="shared" si="1"/>
        <v>44</v>
      </c>
      <c r="B50">
        <v>2766.7210426317033</v>
      </c>
      <c r="C50">
        <v>0</v>
      </c>
      <c r="D50">
        <v>0</v>
      </c>
      <c r="E50">
        <v>0</v>
      </c>
      <c r="F50">
        <v>2682.2395836137657</v>
      </c>
      <c r="G50">
        <v>2604.7854707612505</v>
      </c>
      <c r="H50">
        <v>0</v>
      </c>
      <c r="I50">
        <v>2526.5679044483909</v>
      </c>
      <c r="J50">
        <v>0</v>
      </c>
      <c r="K50">
        <v>2470.4876953684861</v>
      </c>
      <c r="L50">
        <v>0</v>
      </c>
      <c r="M50">
        <v>108.95647388511917</v>
      </c>
      <c r="N50">
        <v>2766.7210426317033</v>
      </c>
      <c r="O50">
        <v>134.28243778530825</v>
      </c>
      <c r="P50">
        <v>125.73442535756297</v>
      </c>
      <c r="Q50">
        <v>125.10370478656199</v>
      </c>
      <c r="R50">
        <v>101.55843135997588</v>
      </c>
      <c r="S50">
        <v>2406</v>
      </c>
      <c r="T50">
        <v>110.91769041505131</v>
      </c>
    </row>
    <row r="51" spans="1:20" x14ac:dyDescent="0.3">
      <c r="A51">
        <f t="shared" si="1"/>
        <v>45</v>
      </c>
      <c r="B51">
        <v>695.92092111607178</v>
      </c>
      <c r="C51">
        <v>0</v>
      </c>
      <c r="D51">
        <v>0</v>
      </c>
      <c r="E51">
        <v>0</v>
      </c>
      <c r="F51">
        <v>604.5035425093472</v>
      </c>
      <c r="G51">
        <v>512.78048344137267</v>
      </c>
      <c r="H51">
        <v>0</v>
      </c>
      <c r="I51">
        <v>343.75727947279216</v>
      </c>
      <c r="J51">
        <v>0</v>
      </c>
      <c r="K51">
        <v>223.89445199962489</v>
      </c>
      <c r="L51">
        <v>0</v>
      </c>
      <c r="M51">
        <v>125.75191045656781</v>
      </c>
      <c r="N51">
        <v>695.92092111607178</v>
      </c>
      <c r="O51">
        <v>103.94395518681402</v>
      </c>
      <c r="P51">
        <v>102.60412283314264</v>
      </c>
      <c r="Q51">
        <v>178.25325267052528</v>
      </c>
      <c r="R51">
        <v>126.05045850367752</v>
      </c>
      <c r="S51">
        <v>102.17264167905032</v>
      </c>
      <c r="T51">
        <v>128.01544484478603</v>
      </c>
    </row>
    <row r="52" spans="1:20" x14ac:dyDescent="0.3">
      <c r="A52">
        <f t="shared" si="1"/>
        <v>46</v>
      </c>
      <c r="B52">
        <v>748.74717828129405</v>
      </c>
      <c r="C52">
        <v>0</v>
      </c>
      <c r="D52">
        <v>0</v>
      </c>
      <c r="E52">
        <v>0</v>
      </c>
      <c r="F52">
        <v>642.2421254125843</v>
      </c>
      <c r="G52">
        <v>552.87254495545244</v>
      </c>
      <c r="H52">
        <v>0</v>
      </c>
      <c r="I52">
        <v>394.37889174444081</v>
      </c>
      <c r="J52">
        <v>0</v>
      </c>
      <c r="K52">
        <v>295.61643420767132</v>
      </c>
      <c r="L52">
        <v>0</v>
      </c>
      <c r="M52">
        <v>121.11148637391877</v>
      </c>
      <c r="N52">
        <v>748.74717828129405</v>
      </c>
      <c r="O52">
        <v>119.98250207777315</v>
      </c>
      <c r="P52">
        <v>100.92993871455838</v>
      </c>
      <c r="Q52">
        <v>168.44535902020982</v>
      </c>
      <c r="R52">
        <v>105.86127758816941</v>
      </c>
      <c r="S52">
        <v>179.82604364949063</v>
      </c>
      <c r="T52">
        <v>123.29149312864931</v>
      </c>
    </row>
    <row r="53" spans="1:20" x14ac:dyDescent="0.3">
      <c r="A53">
        <f t="shared" si="1"/>
        <v>47</v>
      </c>
      <c r="B53">
        <v>630.03035861996921</v>
      </c>
      <c r="C53">
        <v>0</v>
      </c>
      <c r="D53">
        <v>0</v>
      </c>
      <c r="E53">
        <v>0</v>
      </c>
      <c r="F53">
        <v>523.95864370984555</v>
      </c>
      <c r="G53">
        <v>429.0620994772529</v>
      </c>
      <c r="H53">
        <v>0</v>
      </c>
      <c r="I53">
        <v>319.00880161915472</v>
      </c>
      <c r="J53">
        <v>0</v>
      </c>
      <c r="K53">
        <v>218.69450387167558</v>
      </c>
      <c r="L53">
        <v>0</v>
      </c>
      <c r="M53">
        <v>114.96189768520823</v>
      </c>
      <c r="N53">
        <v>630.03035861996921</v>
      </c>
      <c r="O53">
        <v>117.41226136528297</v>
      </c>
      <c r="P53">
        <v>104.32779981936991</v>
      </c>
      <c r="Q53">
        <v>117.77641564868871</v>
      </c>
      <c r="R53">
        <v>106.05645617662394</v>
      </c>
      <c r="S53">
        <v>107.6691072561575</v>
      </c>
      <c r="T53">
        <v>117.03121184354198</v>
      </c>
    </row>
    <row r="54" spans="1:20" x14ac:dyDescent="0.3">
      <c r="A54">
        <f t="shared" si="1"/>
        <v>48</v>
      </c>
      <c r="B54">
        <v>802.58599651184898</v>
      </c>
      <c r="C54">
        <v>0</v>
      </c>
      <c r="D54">
        <v>0</v>
      </c>
      <c r="E54">
        <v>0</v>
      </c>
      <c r="F54">
        <v>709.46086346677987</v>
      </c>
      <c r="G54">
        <v>606.82007010530947</v>
      </c>
      <c r="H54">
        <v>0</v>
      </c>
      <c r="I54">
        <v>515.77257490530337</v>
      </c>
      <c r="J54">
        <v>0</v>
      </c>
      <c r="K54">
        <v>210.83504663815324</v>
      </c>
      <c r="L54">
        <v>0</v>
      </c>
      <c r="M54">
        <v>104.57298166376202</v>
      </c>
      <c r="N54">
        <v>802.58599651184898</v>
      </c>
      <c r="O54">
        <v>107.5716809822823</v>
      </c>
      <c r="P54">
        <v>115.41108890387251</v>
      </c>
      <c r="Q54">
        <v>101.97025646190163</v>
      </c>
      <c r="R54">
        <v>314.22143461544556</v>
      </c>
      <c r="S54">
        <v>110.05709581387801</v>
      </c>
      <c r="T54">
        <v>106.45529533370974</v>
      </c>
    </row>
    <row r="55" spans="1:20" x14ac:dyDescent="0.3">
      <c r="A55">
        <f t="shared" si="1"/>
        <v>49</v>
      </c>
      <c r="B55">
        <v>1014.0682107386086</v>
      </c>
      <c r="C55">
        <v>0</v>
      </c>
      <c r="D55">
        <v>0</v>
      </c>
      <c r="E55">
        <v>0</v>
      </c>
      <c r="F55">
        <v>928.45549120718908</v>
      </c>
      <c r="G55">
        <v>835.35107607214513</v>
      </c>
      <c r="H55">
        <v>0</v>
      </c>
      <c r="I55">
        <v>736.74284630394664</v>
      </c>
      <c r="J55">
        <v>0</v>
      </c>
      <c r="K55">
        <v>648.24998846414178</v>
      </c>
      <c r="L55">
        <v>0</v>
      </c>
      <c r="M55">
        <v>109.21456258882557</v>
      </c>
      <c r="N55">
        <v>1014.0682107386086</v>
      </c>
      <c r="O55">
        <v>103.86594732471468</v>
      </c>
      <c r="P55">
        <v>109.81661397677321</v>
      </c>
      <c r="Q55">
        <v>113.64454913749708</v>
      </c>
      <c r="R55">
        <v>101.75422907327602</v>
      </c>
      <c r="S55">
        <v>550.70392566767077</v>
      </c>
      <c r="T55">
        <v>111.18042471542444</v>
      </c>
    </row>
    <row r="56" spans="1:20" x14ac:dyDescent="0.3">
      <c r="A56">
        <f t="shared" si="1"/>
        <v>50</v>
      </c>
      <c r="B56">
        <v>598.56182459731883</v>
      </c>
      <c r="C56">
        <v>0</v>
      </c>
      <c r="D56">
        <v>0</v>
      </c>
      <c r="E56">
        <v>0</v>
      </c>
      <c r="F56">
        <v>502.90333422841957</v>
      </c>
      <c r="G56">
        <v>389.88152482900881</v>
      </c>
      <c r="H56">
        <v>0</v>
      </c>
      <c r="I56">
        <v>296.24369133668472</v>
      </c>
      <c r="J56">
        <v>0</v>
      </c>
      <c r="K56">
        <v>196.2253648861643</v>
      </c>
      <c r="L56">
        <v>0</v>
      </c>
      <c r="M56">
        <v>98.630864522024325</v>
      </c>
      <c r="N56">
        <v>598.56182459731883</v>
      </c>
      <c r="O56">
        <v>106.43260321165113</v>
      </c>
      <c r="P56">
        <v>122.07406941552233</v>
      </c>
      <c r="Q56">
        <v>100.65570093924619</v>
      </c>
      <c r="R56">
        <v>105.35071289458078</v>
      </c>
      <c r="S56">
        <v>101.12655693209092</v>
      </c>
      <c r="T56">
        <v>100.40622008342076</v>
      </c>
    </row>
    <row r="57" spans="1:20" x14ac:dyDescent="0.3">
      <c r="A57">
        <f t="shared" si="1"/>
        <v>51</v>
      </c>
      <c r="B57">
        <v>741.59407577087052</v>
      </c>
      <c r="C57">
        <v>0</v>
      </c>
      <c r="D57">
        <v>0</v>
      </c>
      <c r="E57">
        <v>0</v>
      </c>
      <c r="F57">
        <v>648.57924439818578</v>
      </c>
      <c r="G57">
        <v>551.06542661175388</v>
      </c>
      <c r="H57">
        <v>0</v>
      </c>
      <c r="I57">
        <v>455.2301992129693</v>
      </c>
      <c r="J57">
        <v>0</v>
      </c>
      <c r="K57">
        <v>221.26381100223466</v>
      </c>
      <c r="L57">
        <v>0</v>
      </c>
      <c r="M57">
        <v>108.63037158919398</v>
      </c>
      <c r="N57">
        <v>741.59407577087052</v>
      </c>
      <c r="O57">
        <v>106.36352473656029</v>
      </c>
      <c r="P57">
        <v>109.1882441855993</v>
      </c>
      <c r="Q57">
        <v>105.75440507779616</v>
      </c>
      <c r="R57">
        <v>242.16053179656808</v>
      </c>
      <c r="S57">
        <v>116.61618801108089</v>
      </c>
      <c r="T57">
        <v>110.58571827779947</v>
      </c>
    </row>
    <row r="58" spans="1:20" x14ac:dyDescent="0.3">
      <c r="A58">
        <f t="shared" si="1"/>
        <v>52</v>
      </c>
      <c r="B58">
        <v>2298.6546374761965</v>
      </c>
      <c r="C58">
        <v>0</v>
      </c>
      <c r="D58">
        <v>0</v>
      </c>
      <c r="E58">
        <v>0</v>
      </c>
      <c r="F58">
        <v>1899.5197627733542</v>
      </c>
      <c r="G58">
        <v>1827.5592523314649</v>
      </c>
      <c r="H58">
        <v>0</v>
      </c>
      <c r="I58">
        <v>1724.2258116215351</v>
      </c>
      <c r="J58">
        <v>0</v>
      </c>
      <c r="K58">
        <v>210.37082550038775</v>
      </c>
      <c r="L58">
        <v>0</v>
      </c>
      <c r="M58">
        <v>112.62175843190343</v>
      </c>
      <c r="N58">
        <v>2298.6546374761965</v>
      </c>
      <c r="O58">
        <v>440.51065817741431</v>
      </c>
      <c r="P58">
        <v>106.15186617180943</v>
      </c>
      <c r="Q58">
        <v>136.22950725189608</v>
      </c>
      <c r="R58">
        <v>1544.8910507303351</v>
      </c>
      <c r="S58">
        <v>101.53574192749129</v>
      </c>
      <c r="T58">
        <v>114.64895008367769</v>
      </c>
    </row>
    <row r="59" spans="1:20" x14ac:dyDescent="0.3">
      <c r="A59">
        <f t="shared" si="1"/>
        <v>53</v>
      </c>
      <c r="B59">
        <v>2775.6940555033757</v>
      </c>
      <c r="C59">
        <v>0</v>
      </c>
      <c r="D59">
        <v>0</v>
      </c>
      <c r="E59">
        <v>0</v>
      </c>
      <c r="F59">
        <v>2712.720823647976</v>
      </c>
      <c r="G59">
        <v>2648.2033229591434</v>
      </c>
      <c r="H59">
        <v>0</v>
      </c>
      <c r="I59">
        <v>2591.174322283126</v>
      </c>
      <c r="J59">
        <v>0</v>
      </c>
      <c r="K59">
        <v>231.81546008422282</v>
      </c>
      <c r="L59">
        <v>0</v>
      </c>
      <c r="M59">
        <v>102.91213365586798</v>
      </c>
      <c r="N59">
        <v>2775.6940555033757</v>
      </c>
      <c r="O59">
        <v>112.93572485446008</v>
      </c>
      <c r="P59">
        <v>113.34647551449625</v>
      </c>
      <c r="Q59">
        <v>104.69666048928156</v>
      </c>
      <c r="R59">
        <v>2406</v>
      </c>
      <c r="S59">
        <v>133.07600470987086</v>
      </c>
      <c r="T59">
        <v>104.7645520616736</v>
      </c>
    </row>
    <row r="60" spans="1:20" x14ac:dyDescent="0.3">
      <c r="A60">
        <f t="shared" si="1"/>
        <v>54</v>
      </c>
      <c r="B60">
        <v>2941.6888721386968</v>
      </c>
      <c r="C60">
        <v>0</v>
      </c>
      <c r="D60">
        <v>0</v>
      </c>
      <c r="E60">
        <v>0</v>
      </c>
      <c r="F60">
        <v>588.63927183719295</v>
      </c>
      <c r="G60">
        <v>436.84825880311269</v>
      </c>
      <c r="H60">
        <v>0</v>
      </c>
      <c r="I60">
        <v>340.64310405118016</v>
      </c>
      <c r="J60">
        <v>0</v>
      </c>
      <c r="K60">
        <v>241.59352181490343</v>
      </c>
      <c r="L60">
        <v>0</v>
      </c>
      <c r="M60">
        <v>110.86982878648682</v>
      </c>
      <c r="N60">
        <v>2941.6888721386968</v>
      </c>
      <c r="O60">
        <v>2406</v>
      </c>
      <c r="P60">
        <v>162.38651992714972</v>
      </c>
      <c r="Q60">
        <v>104.06842341038856</v>
      </c>
      <c r="R60">
        <v>105.18115810919798</v>
      </c>
      <c r="S60">
        <v>135.07237642108487</v>
      </c>
      <c r="T60">
        <v>112.86548570464359</v>
      </c>
    </row>
    <row r="61" spans="1:20" x14ac:dyDescent="0.3">
      <c r="A61">
        <f t="shared" si="1"/>
        <v>55</v>
      </c>
      <c r="B61">
        <v>658.40906732630458</v>
      </c>
      <c r="C61">
        <v>0</v>
      </c>
      <c r="D61">
        <v>0</v>
      </c>
      <c r="E61">
        <v>0</v>
      </c>
      <c r="F61">
        <v>569.63247781448524</v>
      </c>
      <c r="G61">
        <v>478.68750236127482</v>
      </c>
      <c r="H61">
        <v>0</v>
      </c>
      <c r="I61">
        <v>374.22324404920488</v>
      </c>
      <c r="J61">
        <v>0</v>
      </c>
      <c r="K61">
        <v>276.43367358566303</v>
      </c>
      <c r="L61">
        <v>0</v>
      </c>
      <c r="M61">
        <v>180.84394783534648</v>
      </c>
      <c r="N61">
        <v>658.40906732630458</v>
      </c>
      <c r="O61">
        <v>100.62795272369286</v>
      </c>
      <c r="P61">
        <v>101.19836005387111</v>
      </c>
      <c r="Q61">
        <v>113.08063335457291</v>
      </c>
      <c r="R61">
        <v>104.52558885642753</v>
      </c>
      <c r="S61">
        <v>100.56553187485848</v>
      </c>
      <c r="T61">
        <v>184.09913889638273</v>
      </c>
    </row>
    <row r="62" spans="1:20" x14ac:dyDescent="0.3">
      <c r="A62">
        <f t="shared" si="1"/>
        <v>56</v>
      </c>
      <c r="B62">
        <v>660.69048741080906</v>
      </c>
      <c r="C62">
        <v>0</v>
      </c>
      <c r="D62">
        <v>0</v>
      </c>
      <c r="E62">
        <v>0</v>
      </c>
      <c r="F62">
        <v>551.72562031129496</v>
      </c>
      <c r="G62">
        <v>452.52600083450051</v>
      </c>
      <c r="H62">
        <v>0</v>
      </c>
      <c r="I62">
        <v>360.39103107215783</v>
      </c>
      <c r="J62">
        <v>0</v>
      </c>
      <c r="K62">
        <v>247.80332728722175</v>
      </c>
      <c r="L62">
        <v>0</v>
      </c>
      <c r="M62">
        <v>118.198079690371</v>
      </c>
      <c r="N62">
        <v>660.69048741080906</v>
      </c>
      <c r="O62">
        <v>120.85729587290867</v>
      </c>
      <c r="P62">
        <v>109.13068064239773</v>
      </c>
      <c r="Q62">
        <v>100.28043777736372</v>
      </c>
      <c r="R62">
        <v>119.07474234423489</v>
      </c>
      <c r="S62">
        <v>134.06570748802073</v>
      </c>
      <c r="T62">
        <v>120.32564512479769</v>
      </c>
    </row>
    <row r="63" spans="1:20" x14ac:dyDescent="0.3">
      <c r="A63">
        <f t="shared" si="1"/>
        <v>57</v>
      </c>
      <c r="B63">
        <v>772.67894596156793</v>
      </c>
      <c r="C63">
        <v>0</v>
      </c>
      <c r="D63">
        <v>0</v>
      </c>
      <c r="E63">
        <v>0</v>
      </c>
      <c r="F63">
        <v>675.12535739165878</v>
      </c>
      <c r="G63">
        <v>448.24252841967245</v>
      </c>
      <c r="H63">
        <v>0</v>
      </c>
      <c r="I63">
        <v>340.49246911563364</v>
      </c>
      <c r="J63">
        <v>0</v>
      </c>
      <c r="K63">
        <v>240.55253073026429</v>
      </c>
      <c r="L63">
        <v>0</v>
      </c>
      <c r="M63">
        <v>125.36979824146022</v>
      </c>
      <c r="N63">
        <v>772.67894596156793</v>
      </c>
      <c r="O63">
        <v>111.46180959721754</v>
      </c>
      <c r="P63">
        <v>239.03508540503617</v>
      </c>
      <c r="Q63">
        <v>115.81842481559291</v>
      </c>
      <c r="R63">
        <v>106.06880282945072</v>
      </c>
      <c r="S63">
        <v>119.51267804194885</v>
      </c>
      <c r="T63">
        <v>127.6264546098065</v>
      </c>
    </row>
    <row r="64" spans="1:20" x14ac:dyDescent="0.3">
      <c r="A64">
        <f t="shared" si="1"/>
        <v>58</v>
      </c>
      <c r="B64">
        <v>3215.1573524596042</v>
      </c>
      <c r="C64">
        <v>0</v>
      </c>
      <c r="D64">
        <v>0</v>
      </c>
      <c r="E64">
        <v>0</v>
      </c>
      <c r="F64">
        <v>3107.6560919076128</v>
      </c>
      <c r="G64">
        <v>3063.448026694608</v>
      </c>
      <c r="H64">
        <v>0</v>
      </c>
      <c r="I64">
        <v>712.59009117511118</v>
      </c>
      <c r="J64">
        <v>0</v>
      </c>
      <c r="K64">
        <v>616.13989365812347</v>
      </c>
      <c r="L64">
        <v>0</v>
      </c>
      <c r="M64">
        <v>523.11279061494088</v>
      </c>
      <c r="N64">
        <v>3215.1573524596042</v>
      </c>
      <c r="O64">
        <v>165.37409289626493</v>
      </c>
      <c r="P64">
        <v>100.1458748673416</v>
      </c>
      <c r="Q64">
        <v>2406</v>
      </c>
      <c r="R64">
        <v>109.27681915813966</v>
      </c>
      <c r="S64">
        <v>104.11762112902882</v>
      </c>
      <c r="T64">
        <v>532.52882084600981</v>
      </c>
    </row>
    <row r="65" spans="1:20" x14ac:dyDescent="0.3">
      <c r="A65">
        <f t="shared" si="1"/>
        <v>59</v>
      </c>
      <c r="B65">
        <v>650.26877654055272</v>
      </c>
      <c r="C65">
        <v>0</v>
      </c>
      <c r="D65">
        <v>0</v>
      </c>
      <c r="E65">
        <v>0</v>
      </c>
      <c r="F65">
        <v>502.02539623709043</v>
      </c>
      <c r="G65">
        <v>409.85866482918692</v>
      </c>
      <c r="H65">
        <v>0</v>
      </c>
      <c r="I65">
        <v>310.44962691871422</v>
      </c>
      <c r="J65">
        <v>0</v>
      </c>
      <c r="K65">
        <v>212.52030348070994</v>
      </c>
      <c r="L65">
        <v>0</v>
      </c>
      <c r="M65">
        <v>107.59091829844731</v>
      </c>
      <c r="N65">
        <v>650.26877654055272</v>
      </c>
      <c r="O65">
        <v>159.9482182811922</v>
      </c>
      <c r="P65">
        <v>101.20318854017115</v>
      </c>
      <c r="Q65">
        <v>106.78649387739804</v>
      </c>
      <c r="R65">
        <v>103.51741672254116</v>
      </c>
      <c r="S65">
        <v>108.75475064491542</v>
      </c>
      <c r="T65">
        <v>109.52755482781936</v>
      </c>
    </row>
    <row r="66" spans="1:20" x14ac:dyDescent="0.3">
      <c r="A66">
        <f t="shared" si="1"/>
        <v>60</v>
      </c>
      <c r="B66">
        <v>1148.7959930065772</v>
      </c>
      <c r="C66">
        <v>0</v>
      </c>
      <c r="D66">
        <v>0</v>
      </c>
      <c r="E66">
        <v>0</v>
      </c>
      <c r="F66">
        <v>1068.6679348319099</v>
      </c>
      <c r="G66">
        <v>952.09494875704706</v>
      </c>
      <c r="H66">
        <v>0</v>
      </c>
      <c r="I66">
        <v>693.22764522321745</v>
      </c>
      <c r="J66">
        <v>0</v>
      </c>
      <c r="K66">
        <v>476.43433739564</v>
      </c>
      <c r="L66">
        <v>0</v>
      </c>
      <c r="M66">
        <v>98.899051679528199</v>
      </c>
      <c r="N66">
        <v>1148.7959930065772</v>
      </c>
      <c r="O66">
        <v>100.80638604878568</v>
      </c>
      <c r="P66">
        <v>135.80900890183716</v>
      </c>
      <c r="Q66">
        <v>276.00501261145655</v>
      </c>
      <c r="R66">
        <v>229.27140544159531</v>
      </c>
      <c r="S66">
        <v>386.11110378923337</v>
      </c>
      <c r="T66">
        <v>100.6792346097597</v>
      </c>
    </row>
    <row r="67" spans="1:20" x14ac:dyDescent="0.3">
      <c r="A67">
        <f t="shared" si="1"/>
        <v>61</v>
      </c>
      <c r="B67">
        <v>2830.0525313882181</v>
      </c>
      <c r="C67">
        <v>0</v>
      </c>
      <c r="D67">
        <v>0</v>
      </c>
      <c r="E67">
        <v>0</v>
      </c>
      <c r="F67">
        <v>2741.6691500059324</v>
      </c>
      <c r="G67">
        <v>2681.0275027235716</v>
      </c>
      <c r="H67">
        <v>0</v>
      </c>
      <c r="I67">
        <v>396.78510066397575</v>
      </c>
      <c r="J67">
        <v>0</v>
      </c>
      <c r="K67">
        <v>293.73131315460449</v>
      </c>
      <c r="L67">
        <v>0</v>
      </c>
      <c r="M67">
        <v>191.67420973763723</v>
      </c>
      <c r="N67">
        <v>2830.0525313882181</v>
      </c>
      <c r="O67">
        <v>139.32432694727328</v>
      </c>
      <c r="P67">
        <v>109.9916919824679</v>
      </c>
      <c r="Q67">
        <v>2332.5008971086199</v>
      </c>
      <c r="R67">
        <v>110.19591932132278</v>
      </c>
      <c r="S67">
        <v>107.34426705375016</v>
      </c>
      <c r="T67">
        <v>195.12434551291469</v>
      </c>
    </row>
    <row r="68" spans="1:20" x14ac:dyDescent="0.3">
      <c r="A68">
        <f t="shared" si="1"/>
        <v>62</v>
      </c>
      <c r="B68">
        <v>1418.5003619368431</v>
      </c>
      <c r="C68">
        <v>0</v>
      </c>
      <c r="D68">
        <v>0</v>
      </c>
      <c r="E68">
        <v>0</v>
      </c>
      <c r="F68">
        <v>1265.8043051660945</v>
      </c>
      <c r="G68">
        <v>691.54658680101511</v>
      </c>
      <c r="H68">
        <v>0</v>
      </c>
      <c r="I68">
        <v>603.08866805915682</v>
      </c>
      <c r="J68">
        <v>0</v>
      </c>
      <c r="K68">
        <v>496.75988283664856</v>
      </c>
      <c r="L68">
        <v>0</v>
      </c>
      <c r="M68">
        <v>401.63050179599065</v>
      </c>
      <c r="N68">
        <v>1418.5003619368431</v>
      </c>
      <c r="O68">
        <v>178.22906328561163</v>
      </c>
      <c r="P68">
        <v>597.04219585806914</v>
      </c>
      <c r="Q68">
        <v>100.90575730427655</v>
      </c>
      <c r="R68">
        <v>117.18438124757301</v>
      </c>
      <c r="S68">
        <v>104.07105893171763</v>
      </c>
      <c r="T68">
        <v>408.85985082831849</v>
      </c>
    </row>
    <row r="69" spans="1:20" x14ac:dyDescent="0.3">
      <c r="A69">
        <f t="shared" si="1"/>
        <v>63</v>
      </c>
      <c r="B69">
        <v>3454.3545405888804</v>
      </c>
      <c r="C69">
        <v>0</v>
      </c>
      <c r="D69">
        <v>0</v>
      </c>
      <c r="E69">
        <v>0</v>
      </c>
      <c r="F69">
        <v>3395.4788303862088</v>
      </c>
      <c r="G69">
        <v>3225.700672982116</v>
      </c>
      <c r="H69">
        <v>0</v>
      </c>
      <c r="I69">
        <v>2779.2321593476136</v>
      </c>
      <c r="J69">
        <v>0</v>
      </c>
      <c r="K69">
        <v>2503.6663024282034</v>
      </c>
      <c r="L69">
        <v>0</v>
      </c>
      <c r="M69">
        <v>142.73229587191125</v>
      </c>
      <c r="N69">
        <v>3454.3545405888804</v>
      </c>
      <c r="O69">
        <v>121.05409193327216</v>
      </c>
      <c r="P69">
        <v>230.89677635104442</v>
      </c>
      <c r="Q69">
        <v>504.53112574818027</v>
      </c>
      <c r="R69">
        <v>325.59203578766721</v>
      </c>
      <c r="S69">
        <v>2406</v>
      </c>
      <c r="T69">
        <v>145.30147719760566</v>
      </c>
    </row>
    <row r="70" spans="1:20" x14ac:dyDescent="0.3">
      <c r="A70">
        <f t="shared" si="1"/>
        <v>64</v>
      </c>
      <c r="B70">
        <v>3115.812985434372</v>
      </c>
      <c r="C70">
        <v>0</v>
      </c>
      <c r="D70">
        <v>0</v>
      </c>
      <c r="E70">
        <v>0</v>
      </c>
      <c r="F70">
        <v>765.89761917219084</v>
      </c>
      <c r="G70">
        <v>678.81168243489083</v>
      </c>
      <c r="H70">
        <v>0</v>
      </c>
      <c r="I70">
        <v>571.72828151313001</v>
      </c>
      <c r="J70">
        <v>0</v>
      </c>
      <c r="K70">
        <v>481.86021102043844</v>
      </c>
      <c r="L70">
        <v>0</v>
      </c>
      <c r="M70">
        <v>98.819976808455465</v>
      </c>
      <c r="N70">
        <v>3115.812985434372</v>
      </c>
      <c r="O70">
        <v>2406</v>
      </c>
      <c r="P70">
        <v>100.87209388239937</v>
      </c>
      <c r="Q70">
        <v>119.30201120558897</v>
      </c>
      <c r="R70">
        <v>100.15917955992785</v>
      </c>
      <c r="S70">
        <v>391.71371801035087</v>
      </c>
      <c r="T70">
        <v>100.59873639100766</v>
      </c>
    </row>
    <row r="71" spans="1:20" x14ac:dyDescent="0.3">
      <c r="A71">
        <f t="shared" si="1"/>
        <v>65</v>
      </c>
      <c r="B71">
        <v>849.51435135426311</v>
      </c>
      <c r="C71">
        <v>0</v>
      </c>
      <c r="D71">
        <v>0</v>
      </c>
      <c r="E71">
        <v>0</v>
      </c>
      <c r="F71">
        <v>628.91579023931581</v>
      </c>
      <c r="G71">
        <v>530.69712453670081</v>
      </c>
      <c r="H71">
        <v>0</v>
      </c>
      <c r="I71">
        <v>438.31420051751957</v>
      </c>
      <c r="J71">
        <v>0</v>
      </c>
      <c r="K71">
        <v>305.52590048525059</v>
      </c>
      <c r="L71">
        <v>0</v>
      </c>
      <c r="M71">
        <v>134.99966415942112</v>
      </c>
      <c r="N71">
        <v>849.51435135426311</v>
      </c>
      <c r="O71">
        <v>235.88981943932419</v>
      </c>
      <c r="P71">
        <v>109.53914992692263</v>
      </c>
      <c r="Q71">
        <v>101.93547226084182</v>
      </c>
      <c r="R71">
        <v>140.67795564158433</v>
      </c>
      <c r="S71">
        <v>176.025702534564</v>
      </c>
      <c r="T71">
        <v>137.4296581142907</v>
      </c>
    </row>
    <row r="72" spans="1:20" x14ac:dyDescent="0.3">
      <c r="A72">
        <f t="shared" si="1"/>
        <v>66</v>
      </c>
      <c r="B72">
        <v>1751.192721261966</v>
      </c>
      <c r="C72">
        <v>0</v>
      </c>
      <c r="D72">
        <v>0</v>
      </c>
      <c r="E72">
        <v>0</v>
      </c>
      <c r="F72">
        <v>1679.973945591418</v>
      </c>
      <c r="G72">
        <v>1609.1512821268382</v>
      </c>
      <c r="H72">
        <v>0</v>
      </c>
      <c r="I72">
        <v>1199.5820646594584</v>
      </c>
      <c r="J72">
        <v>0</v>
      </c>
      <c r="K72">
        <v>230.59699685074054</v>
      </c>
      <c r="L72">
        <v>0</v>
      </c>
      <c r="M72">
        <v>110.26933715057341</v>
      </c>
      <c r="N72">
        <v>1751.192721261966</v>
      </c>
      <c r="O72">
        <v>102.74024465326342</v>
      </c>
      <c r="P72">
        <v>101.06219448522504</v>
      </c>
      <c r="Q72">
        <v>438.53394054566309</v>
      </c>
      <c r="R72">
        <v>990.57754497258804</v>
      </c>
      <c r="S72">
        <v>124.47840564348046</v>
      </c>
      <c r="T72">
        <v>112.25418521928373</v>
      </c>
    </row>
    <row r="73" spans="1:20" x14ac:dyDescent="0.3">
      <c r="A73">
        <f t="shared" ref="A73:A106" si="2">A72 + 1</f>
        <v>67</v>
      </c>
      <c r="B73">
        <v>2362.0668107980141</v>
      </c>
      <c r="C73">
        <v>0</v>
      </c>
      <c r="D73">
        <v>0</v>
      </c>
      <c r="E73">
        <v>0</v>
      </c>
      <c r="F73">
        <v>745.94744916977436</v>
      </c>
      <c r="G73">
        <v>423.47643174423172</v>
      </c>
      <c r="H73">
        <v>0</v>
      </c>
      <c r="I73">
        <v>327.95620526568177</v>
      </c>
      <c r="J73">
        <v>0</v>
      </c>
      <c r="K73">
        <v>230.82787449454327</v>
      </c>
      <c r="L73">
        <v>0</v>
      </c>
      <c r="M73">
        <v>113.80576932256443</v>
      </c>
      <c r="N73">
        <v>2362.0668107980141</v>
      </c>
      <c r="O73">
        <v>1658.6365642226044</v>
      </c>
      <c r="P73">
        <v>335.89807151059858</v>
      </c>
      <c r="Q73">
        <v>103.14280224994614</v>
      </c>
      <c r="R73">
        <v>103.03154246592074</v>
      </c>
      <c r="S73">
        <v>121.17700691288061</v>
      </c>
      <c r="T73">
        <v>115.85427317037059</v>
      </c>
    </row>
    <row r="74" spans="1:20" x14ac:dyDescent="0.3">
      <c r="A74">
        <f t="shared" si="2"/>
        <v>68</v>
      </c>
      <c r="B74">
        <v>3095.6959570282243</v>
      </c>
      <c r="C74">
        <v>0</v>
      </c>
      <c r="D74">
        <v>0</v>
      </c>
      <c r="E74">
        <v>0</v>
      </c>
      <c r="F74">
        <v>2986.8400842622905</v>
      </c>
      <c r="G74">
        <v>634.60320577901143</v>
      </c>
      <c r="H74">
        <v>0</v>
      </c>
      <c r="I74">
        <v>516.80672788232994</v>
      </c>
      <c r="J74">
        <v>0</v>
      </c>
      <c r="K74">
        <v>417.48083800042184</v>
      </c>
      <c r="L74">
        <v>0</v>
      </c>
      <c r="M74">
        <v>121.47903588070493</v>
      </c>
      <c r="N74">
        <v>3095.6959570282243</v>
      </c>
      <c r="O74">
        <v>164.57839999244263</v>
      </c>
      <c r="P74">
        <v>2406</v>
      </c>
      <c r="Q74">
        <v>129.21933560070369</v>
      </c>
      <c r="R74">
        <v>108.62841098379009</v>
      </c>
      <c r="S74">
        <v>303.51645720372449</v>
      </c>
      <c r="T74">
        <v>123.66565852655762</v>
      </c>
    </row>
    <row r="75" spans="1:20" x14ac:dyDescent="0.3">
      <c r="A75">
        <f t="shared" si="2"/>
        <v>69</v>
      </c>
      <c r="B75">
        <v>2324.0933130889948</v>
      </c>
      <c r="C75">
        <v>0</v>
      </c>
      <c r="D75">
        <v>0</v>
      </c>
      <c r="E75">
        <v>0</v>
      </c>
      <c r="F75">
        <v>2229.7468329228259</v>
      </c>
      <c r="G75">
        <v>2036.2106551762997</v>
      </c>
      <c r="H75">
        <v>0</v>
      </c>
      <c r="I75">
        <v>1969.396549134714</v>
      </c>
      <c r="J75">
        <v>0</v>
      </c>
      <c r="K75">
        <v>1903.044567209253</v>
      </c>
      <c r="L75">
        <v>0</v>
      </c>
      <c r="M75">
        <v>99.895463857584758</v>
      </c>
      <c r="N75">
        <v>2324.0933130889948</v>
      </c>
      <c r="O75">
        <v>136.1801598017708</v>
      </c>
      <c r="P75">
        <v>233.67162073913707</v>
      </c>
      <c r="Q75">
        <v>103.46589783475899</v>
      </c>
      <c r="R75">
        <v>101.80111980988583</v>
      </c>
      <c r="S75">
        <v>1837.4039055614348</v>
      </c>
      <c r="T75">
        <v>101.69358220702128</v>
      </c>
    </row>
    <row r="76" spans="1:20" x14ac:dyDescent="0.3">
      <c r="A76">
        <f t="shared" si="2"/>
        <v>70</v>
      </c>
      <c r="B76">
        <v>2631.2197220919447</v>
      </c>
      <c r="C76">
        <v>0</v>
      </c>
      <c r="D76">
        <v>0</v>
      </c>
      <c r="E76">
        <v>0</v>
      </c>
      <c r="F76">
        <v>558.00403329350399</v>
      </c>
      <c r="G76">
        <v>461.86193979430539</v>
      </c>
      <c r="H76">
        <v>0</v>
      </c>
      <c r="I76">
        <v>358.93841448684418</v>
      </c>
      <c r="J76">
        <v>0</v>
      </c>
      <c r="K76">
        <v>260.9232377280361</v>
      </c>
      <c r="L76">
        <v>0</v>
      </c>
      <c r="M76">
        <v>106.7209989080112</v>
      </c>
      <c r="N76">
        <v>2631.2197220919447</v>
      </c>
      <c r="O76">
        <v>2120.5776437960958</v>
      </c>
      <c r="P76">
        <v>106.18616609848162</v>
      </c>
      <c r="Q76">
        <v>111.23704022375874</v>
      </c>
      <c r="R76">
        <v>104.47606821957126</v>
      </c>
      <c r="S76">
        <v>158.89885709912957</v>
      </c>
      <c r="T76">
        <v>108.6419768883554</v>
      </c>
    </row>
    <row r="77" spans="1:20" x14ac:dyDescent="0.3">
      <c r="A77">
        <f t="shared" si="2"/>
        <v>71</v>
      </c>
      <c r="B77">
        <v>2864.1194478610855</v>
      </c>
      <c r="C77">
        <v>0</v>
      </c>
      <c r="D77">
        <v>0</v>
      </c>
      <c r="E77">
        <v>0</v>
      </c>
      <c r="F77">
        <v>2806.8159387078922</v>
      </c>
      <c r="G77">
        <v>2713.9917599469027</v>
      </c>
      <c r="H77">
        <v>0</v>
      </c>
      <c r="I77">
        <v>356.84361162594678</v>
      </c>
      <c r="J77">
        <v>0</v>
      </c>
      <c r="K77">
        <v>254.07336987993654</v>
      </c>
      <c r="L77">
        <v>0</v>
      </c>
      <c r="M77">
        <v>156.3481500054782</v>
      </c>
      <c r="N77">
        <v>2864.1194478610855</v>
      </c>
      <c r="O77">
        <v>108.85765921469297</v>
      </c>
      <c r="P77">
        <v>143.34686565773217</v>
      </c>
      <c r="Q77">
        <v>2406</v>
      </c>
      <c r="R77">
        <v>109.19342675527732</v>
      </c>
      <c r="S77">
        <v>102.29854053229721</v>
      </c>
      <c r="T77">
        <v>159.16241670557682</v>
      </c>
    </row>
    <row r="78" spans="1:20" x14ac:dyDescent="0.3">
      <c r="A78">
        <f t="shared" si="2"/>
        <v>72</v>
      </c>
      <c r="B78">
        <v>5134.1708388512689</v>
      </c>
      <c r="C78">
        <v>0</v>
      </c>
      <c r="D78">
        <v>0</v>
      </c>
      <c r="E78">
        <v>0</v>
      </c>
      <c r="F78">
        <v>5111.2468054568253</v>
      </c>
      <c r="G78">
        <v>2797.2492479550483</v>
      </c>
      <c r="H78">
        <v>0</v>
      </c>
      <c r="I78">
        <v>2562.3804737831388</v>
      </c>
      <c r="J78">
        <v>0</v>
      </c>
      <c r="K78">
        <v>202.50332231123573</v>
      </c>
      <c r="L78">
        <v>0</v>
      </c>
      <c r="M78">
        <v>103.54834255695555</v>
      </c>
      <c r="N78">
        <v>5134.1708388512689</v>
      </c>
      <c r="O78">
        <v>115.33910849376633</v>
      </c>
      <c r="P78">
        <v>2406</v>
      </c>
      <c r="Q78">
        <v>285.21926063509994</v>
      </c>
      <c r="R78">
        <v>2406</v>
      </c>
      <c r="S78">
        <v>102.60003955588243</v>
      </c>
      <c r="T78">
        <v>105.41221272298074</v>
      </c>
    </row>
    <row r="79" spans="1:20" x14ac:dyDescent="0.3">
      <c r="A79">
        <f t="shared" si="2"/>
        <v>73</v>
      </c>
      <c r="B79">
        <v>790.73448997974833</v>
      </c>
      <c r="C79">
        <v>0</v>
      </c>
      <c r="D79">
        <v>0</v>
      </c>
      <c r="E79">
        <v>0</v>
      </c>
      <c r="F79">
        <v>670.69834750182929</v>
      </c>
      <c r="G79">
        <v>572.80449323054904</v>
      </c>
      <c r="H79">
        <v>0</v>
      </c>
      <c r="I79">
        <v>305.05390859404497</v>
      </c>
      <c r="J79">
        <v>0</v>
      </c>
      <c r="K79">
        <v>199.7313896943192</v>
      </c>
      <c r="L79">
        <v>0</v>
      </c>
      <c r="M79">
        <v>98.851322526458901</v>
      </c>
      <c r="N79">
        <v>790.73448997974833</v>
      </c>
      <c r="O79">
        <v>134.26936329755458</v>
      </c>
      <c r="P79">
        <v>109.96642452631306</v>
      </c>
      <c r="Q79">
        <v>278.06106551465405</v>
      </c>
      <c r="R79">
        <v>110.81348925441854</v>
      </c>
      <c r="S79">
        <v>104.47523218235807</v>
      </c>
      <c r="T79">
        <v>100.63064633193517</v>
      </c>
    </row>
    <row r="80" spans="1:20" x14ac:dyDescent="0.3">
      <c r="A80">
        <f t="shared" si="2"/>
        <v>74</v>
      </c>
      <c r="B80">
        <v>2984.6457359560936</v>
      </c>
      <c r="C80">
        <v>0</v>
      </c>
      <c r="D80">
        <v>0</v>
      </c>
      <c r="E80">
        <v>0</v>
      </c>
      <c r="F80">
        <v>632.36935920330382</v>
      </c>
      <c r="G80">
        <v>525.01369905675836</v>
      </c>
      <c r="H80">
        <v>0</v>
      </c>
      <c r="I80">
        <v>433.86936468403007</v>
      </c>
      <c r="J80">
        <v>0</v>
      </c>
      <c r="K80">
        <v>333.60833030415682</v>
      </c>
      <c r="L80">
        <v>0</v>
      </c>
      <c r="M80">
        <v>111.76151153092174</v>
      </c>
      <c r="N80">
        <v>2984.6457359560936</v>
      </c>
      <c r="O80">
        <v>2406</v>
      </c>
      <c r="P80">
        <v>118.73830861220489</v>
      </c>
      <c r="Q80">
        <v>100.59458095574988</v>
      </c>
      <c r="R80">
        <v>108.07068294418583</v>
      </c>
      <c r="S80">
        <v>227.85176871870993</v>
      </c>
      <c r="T80">
        <v>113.77321873847833</v>
      </c>
    </row>
    <row r="81" spans="1:20" x14ac:dyDescent="0.3">
      <c r="A81">
        <f t="shared" si="2"/>
        <v>75</v>
      </c>
      <c r="B81">
        <v>850.70179839816103</v>
      </c>
      <c r="C81">
        <v>0</v>
      </c>
      <c r="D81">
        <v>0</v>
      </c>
      <c r="E81">
        <v>0</v>
      </c>
      <c r="F81">
        <v>761.25407938700027</v>
      </c>
      <c r="G81">
        <v>666.79228117333253</v>
      </c>
      <c r="H81">
        <v>0</v>
      </c>
      <c r="I81">
        <v>424.79288791696939</v>
      </c>
      <c r="J81">
        <v>0</v>
      </c>
      <c r="K81">
        <v>312.11688205843586</v>
      </c>
      <c r="L81">
        <v>0</v>
      </c>
      <c r="M81">
        <v>105.61904869311708</v>
      </c>
      <c r="N81">
        <v>850.70179839816103</v>
      </c>
      <c r="O81">
        <v>104.76035138232768</v>
      </c>
      <c r="P81">
        <v>108.16437164263375</v>
      </c>
      <c r="Q81">
        <v>254.00165431748314</v>
      </c>
      <c r="R81">
        <v>120.32227784103891</v>
      </c>
      <c r="S81">
        <v>212.11593724237065</v>
      </c>
      <c r="T81">
        <v>107.52019156959319</v>
      </c>
    </row>
    <row r="82" spans="1:20" x14ac:dyDescent="0.3">
      <c r="A82">
        <f t="shared" si="2"/>
        <v>76</v>
      </c>
      <c r="B82">
        <v>646.66960021802674</v>
      </c>
      <c r="C82">
        <v>0</v>
      </c>
      <c r="D82">
        <v>0</v>
      </c>
      <c r="E82">
        <v>0</v>
      </c>
      <c r="F82">
        <v>557.68827100177953</v>
      </c>
      <c r="G82">
        <v>467.05206779114235</v>
      </c>
      <c r="H82">
        <v>0</v>
      </c>
      <c r="I82">
        <v>312.76952689713721</v>
      </c>
      <c r="J82">
        <v>0</v>
      </c>
      <c r="K82">
        <v>197.32717463429384</v>
      </c>
      <c r="L82">
        <v>0</v>
      </c>
      <c r="M82">
        <v>99.517767815294732</v>
      </c>
      <c r="N82">
        <v>646.66960021802674</v>
      </c>
      <c r="O82">
        <v>100.62138202017174</v>
      </c>
      <c r="P82">
        <v>100.67459208866919</v>
      </c>
      <c r="Q82">
        <v>162.68947811424567</v>
      </c>
      <c r="R82">
        <v>121.07220374699185</v>
      </c>
      <c r="S82">
        <v>101.36129596241639</v>
      </c>
      <c r="T82">
        <v>101.30908763597004</v>
      </c>
    </row>
    <row r="83" spans="1:20" x14ac:dyDescent="0.3">
      <c r="A83">
        <f t="shared" si="2"/>
        <v>77</v>
      </c>
      <c r="B83">
        <v>752.58298323672898</v>
      </c>
      <c r="C83">
        <v>0</v>
      </c>
      <c r="D83">
        <v>0</v>
      </c>
      <c r="E83">
        <v>0</v>
      </c>
      <c r="F83">
        <v>634.34332514717198</v>
      </c>
      <c r="G83">
        <v>541.90615435035875</v>
      </c>
      <c r="H83">
        <v>0</v>
      </c>
      <c r="I83">
        <v>451.46212422782503</v>
      </c>
      <c r="J83">
        <v>0</v>
      </c>
      <c r="K83">
        <v>353.6075045262175</v>
      </c>
      <c r="L83">
        <v>0</v>
      </c>
      <c r="M83">
        <v>241.36229560554352</v>
      </c>
      <c r="N83">
        <v>752.58298323672898</v>
      </c>
      <c r="O83">
        <v>131.78615178781794</v>
      </c>
      <c r="P83">
        <v>103.85535064946241</v>
      </c>
      <c r="Q83">
        <v>100.19834090084019</v>
      </c>
      <c r="R83">
        <v>105.98093793770833</v>
      </c>
      <c r="S83">
        <v>118.6101440021459</v>
      </c>
      <c r="T83">
        <v>245.70681692644331</v>
      </c>
    </row>
    <row r="84" spans="1:20" x14ac:dyDescent="0.3">
      <c r="A84">
        <f t="shared" si="2"/>
        <v>78</v>
      </c>
      <c r="B84">
        <v>1357.5570158048806</v>
      </c>
      <c r="C84">
        <v>0</v>
      </c>
      <c r="D84">
        <v>0</v>
      </c>
      <c r="E84">
        <v>0</v>
      </c>
      <c r="F84">
        <v>1226.0343868839504</v>
      </c>
      <c r="G84">
        <v>580.11354310781871</v>
      </c>
      <c r="H84">
        <v>0</v>
      </c>
      <c r="I84">
        <v>454.12761160287084</v>
      </c>
      <c r="J84">
        <v>0</v>
      </c>
      <c r="K84">
        <v>252.44366673501426</v>
      </c>
      <c r="L84">
        <v>0</v>
      </c>
      <c r="M84">
        <v>105.81425895049632</v>
      </c>
      <c r="N84">
        <v>1357.5570158048806</v>
      </c>
      <c r="O84">
        <v>155.95865520541813</v>
      </c>
      <c r="P84">
        <v>667.98946274004288</v>
      </c>
      <c r="Q84">
        <v>136.42797528088863</v>
      </c>
      <c r="R84">
        <v>209.85824187670823</v>
      </c>
      <c r="S84">
        <v>151.1733937857482</v>
      </c>
      <c r="T84">
        <v>107.71891561160525</v>
      </c>
    </row>
    <row r="85" spans="1:20" x14ac:dyDescent="0.3">
      <c r="A85">
        <f t="shared" si="2"/>
        <v>79</v>
      </c>
      <c r="B85">
        <v>2485.2587285472632</v>
      </c>
      <c r="C85">
        <v>0</v>
      </c>
      <c r="D85">
        <v>0</v>
      </c>
      <c r="E85">
        <v>0</v>
      </c>
      <c r="F85">
        <v>738.05508001339922</v>
      </c>
      <c r="G85">
        <v>599.09594235035956</v>
      </c>
      <c r="H85">
        <v>0</v>
      </c>
      <c r="I85">
        <v>503.70548320932062</v>
      </c>
      <c r="J85">
        <v>0</v>
      </c>
      <c r="K85">
        <v>358.7910211025569</v>
      </c>
      <c r="L85">
        <v>0</v>
      </c>
      <c r="M85">
        <v>180.77451264749411</v>
      </c>
      <c r="N85">
        <v>2485.2587285472632</v>
      </c>
      <c r="O85">
        <v>1791.9383056477152</v>
      </c>
      <c r="P85">
        <v>152.2441291032809</v>
      </c>
      <c r="Q85">
        <v>106.17418610334532</v>
      </c>
      <c r="R85">
        <v>153.98116080453153</v>
      </c>
      <c r="S85">
        <v>184.47474683490881</v>
      </c>
      <c r="T85">
        <v>184.02845387514901</v>
      </c>
    </row>
    <row r="86" spans="1:20" x14ac:dyDescent="0.3">
      <c r="A86">
        <f t="shared" si="2"/>
        <v>80</v>
      </c>
      <c r="B86">
        <v>3770.8535978848213</v>
      </c>
      <c r="C86">
        <v>0</v>
      </c>
      <c r="D86">
        <v>0</v>
      </c>
      <c r="E86">
        <v>0</v>
      </c>
      <c r="F86">
        <v>1432.7289626467482</v>
      </c>
      <c r="G86">
        <v>1358.0833894221446</v>
      </c>
      <c r="H86">
        <v>0</v>
      </c>
      <c r="I86">
        <v>1259.2228731448326</v>
      </c>
      <c r="J86">
        <v>0</v>
      </c>
      <c r="K86">
        <v>1176.3571716297756</v>
      </c>
      <c r="L86">
        <v>0</v>
      </c>
      <c r="M86">
        <v>600.1228042765963</v>
      </c>
      <c r="N86">
        <v>3770.8535978848213</v>
      </c>
      <c r="O86">
        <v>2406</v>
      </c>
      <c r="P86">
        <v>100.43469455224503</v>
      </c>
      <c r="Q86">
        <v>123.30601728691062</v>
      </c>
      <c r="R86">
        <v>105.53171323166376</v>
      </c>
      <c r="S86">
        <v>597.4087964425155</v>
      </c>
      <c r="T86">
        <v>610.92501475357506</v>
      </c>
    </row>
    <row r="87" spans="1:20" x14ac:dyDescent="0.3">
      <c r="A87">
        <f t="shared" si="2"/>
        <v>81</v>
      </c>
      <c r="B87">
        <v>2722.634391517533</v>
      </c>
      <c r="C87">
        <v>0</v>
      </c>
      <c r="D87">
        <v>0</v>
      </c>
      <c r="E87">
        <v>0</v>
      </c>
      <c r="F87">
        <v>2660.1347111103005</v>
      </c>
      <c r="G87">
        <v>2605.2189856969967</v>
      </c>
      <c r="H87">
        <v>0</v>
      </c>
      <c r="I87">
        <v>2518.793496385113</v>
      </c>
      <c r="J87">
        <v>0</v>
      </c>
      <c r="K87">
        <v>2462.8267542791232</v>
      </c>
      <c r="L87">
        <v>0</v>
      </c>
      <c r="M87">
        <v>2363.4577603143416</v>
      </c>
      <c r="N87">
        <v>2722.634391517533</v>
      </c>
      <c r="O87">
        <v>111.50709945454813</v>
      </c>
      <c r="P87">
        <v>102.79815021328945</v>
      </c>
      <c r="Q87">
        <v>133.31943105442949</v>
      </c>
      <c r="R87">
        <v>101.30502504092205</v>
      </c>
      <c r="S87">
        <v>143.69987554180565</v>
      </c>
      <c r="T87">
        <v>2406</v>
      </c>
    </row>
    <row r="88" spans="1:20" x14ac:dyDescent="0.3">
      <c r="A88">
        <f t="shared" si="2"/>
        <v>82</v>
      </c>
      <c r="B88">
        <v>1169.0148711483409</v>
      </c>
      <c r="C88">
        <v>0</v>
      </c>
      <c r="D88">
        <v>0</v>
      </c>
      <c r="E88">
        <v>0</v>
      </c>
      <c r="F88">
        <v>551.77248408963874</v>
      </c>
      <c r="G88">
        <v>445.92005261307901</v>
      </c>
      <c r="H88">
        <v>0</v>
      </c>
      <c r="I88">
        <v>343.37229398039608</v>
      </c>
      <c r="J88">
        <v>0</v>
      </c>
      <c r="K88">
        <v>216.51363910927006</v>
      </c>
      <c r="L88">
        <v>0</v>
      </c>
      <c r="M88">
        <v>101.90940694582503</v>
      </c>
      <c r="N88">
        <v>1169.0148711483409</v>
      </c>
      <c r="O88">
        <v>638.28465473937263</v>
      </c>
      <c r="P88">
        <v>115.78433619017324</v>
      </c>
      <c r="Q88">
        <v>110.57431957971833</v>
      </c>
      <c r="R88">
        <v>133.03935616277317</v>
      </c>
      <c r="S88">
        <v>118.5014776674119</v>
      </c>
      <c r="T88">
        <v>103.74377627084988</v>
      </c>
    </row>
    <row r="89" spans="1:20" x14ac:dyDescent="0.3">
      <c r="A89">
        <f t="shared" si="2"/>
        <v>83</v>
      </c>
      <c r="B89">
        <v>1151.2881602334603</v>
      </c>
      <c r="C89">
        <v>0</v>
      </c>
      <c r="D89">
        <v>0</v>
      </c>
      <c r="E89">
        <v>0</v>
      </c>
      <c r="F89">
        <v>1070.5949494753265</v>
      </c>
      <c r="G89">
        <v>988.88495818279671</v>
      </c>
      <c r="H89">
        <v>0</v>
      </c>
      <c r="I89">
        <v>887.47022446920073</v>
      </c>
      <c r="J89">
        <v>0</v>
      </c>
      <c r="K89">
        <v>795.50871199755852</v>
      </c>
      <c r="L89">
        <v>0</v>
      </c>
      <c r="M89">
        <v>704.41256185957218</v>
      </c>
      <c r="N89">
        <v>1151.2881602334603</v>
      </c>
      <c r="O89">
        <v>101.41639764233595</v>
      </c>
      <c r="P89">
        <v>100.9807003830858</v>
      </c>
      <c r="Q89">
        <v>119.21466296088627</v>
      </c>
      <c r="R89">
        <v>107.93597651208776</v>
      </c>
      <c r="S89">
        <v>105.41530695394242</v>
      </c>
      <c r="T89">
        <v>717.09198797304452</v>
      </c>
    </row>
    <row r="90" spans="1:20" x14ac:dyDescent="0.3">
      <c r="A90">
        <f t="shared" si="2"/>
        <v>84</v>
      </c>
      <c r="B90">
        <v>825.10484863792203</v>
      </c>
      <c r="C90">
        <v>0</v>
      </c>
      <c r="D90">
        <v>0</v>
      </c>
      <c r="E90">
        <v>0</v>
      </c>
      <c r="F90">
        <v>739.00047672378423</v>
      </c>
      <c r="G90">
        <v>644.50673087620805</v>
      </c>
      <c r="H90">
        <v>0</v>
      </c>
      <c r="I90">
        <v>494.06998981586077</v>
      </c>
      <c r="J90">
        <v>0</v>
      </c>
      <c r="K90">
        <v>379.83260491412045</v>
      </c>
      <c r="L90">
        <v>0</v>
      </c>
      <c r="M90">
        <v>104.0005790018555</v>
      </c>
      <c r="N90">
        <v>825.10484863792203</v>
      </c>
      <c r="O90">
        <v>100.95625918962057</v>
      </c>
      <c r="P90">
        <v>107.79575442860421</v>
      </c>
      <c r="Q90">
        <v>162.03786221611904</v>
      </c>
      <c r="R90">
        <v>123.13064471842586</v>
      </c>
      <c r="S90">
        <v>282.66901280071909</v>
      </c>
      <c r="T90">
        <v>105.8725894238889</v>
      </c>
    </row>
    <row r="91" spans="1:20" x14ac:dyDescent="0.3">
      <c r="A91">
        <f t="shared" si="2"/>
        <v>85</v>
      </c>
      <c r="B91">
        <v>1051.0181916246488</v>
      </c>
      <c r="C91">
        <v>0</v>
      </c>
      <c r="D91">
        <v>0</v>
      </c>
      <c r="E91">
        <v>0</v>
      </c>
      <c r="F91">
        <v>916.36393187313683</v>
      </c>
      <c r="G91">
        <v>785.14064514461802</v>
      </c>
      <c r="H91">
        <v>0</v>
      </c>
      <c r="I91">
        <v>655.40744825313004</v>
      </c>
      <c r="J91">
        <v>0</v>
      </c>
      <c r="K91">
        <v>548.95321561931382</v>
      </c>
      <c r="L91">
        <v>0</v>
      </c>
      <c r="M91">
        <v>184.24562003189331</v>
      </c>
      <c r="N91">
        <v>1051.0181916246488</v>
      </c>
      <c r="O91">
        <v>153.57258720075552</v>
      </c>
      <c r="P91">
        <v>147.71783750223528</v>
      </c>
      <c r="Q91">
        <v>143.86572850409129</v>
      </c>
      <c r="R91">
        <v>118.2515667023725</v>
      </c>
      <c r="S91">
        <v>374.58875346856814</v>
      </c>
      <c r="T91">
        <v>187.5620411924674</v>
      </c>
    </row>
    <row r="92" spans="1:20" x14ac:dyDescent="0.3">
      <c r="A92">
        <f t="shared" si="2"/>
        <v>86</v>
      </c>
      <c r="B92">
        <v>1937.3703877371859</v>
      </c>
      <c r="C92">
        <v>0</v>
      </c>
      <c r="D92">
        <v>0</v>
      </c>
      <c r="E92">
        <v>0</v>
      </c>
      <c r="F92">
        <v>1784.3421028169907</v>
      </c>
      <c r="G92">
        <v>1533.7527164850408</v>
      </c>
      <c r="H92">
        <v>0</v>
      </c>
      <c r="I92">
        <v>390.55684499935273</v>
      </c>
      <c r="J92">
        <v>0</v>
      </c>
      <c r="K92">
        <v>279.17812537930524</v>
      </c>
      <c r="L92">
        <v>0</v>
      </c>
      <c r="M92">
        <v>99.755887562451676</v>
      </c>
      <c r="N92">
        <v>1937.3703877371859</v>
      </c>
      <c r="O92">
        <v>187.90095189946456</v>
      </c>
      <c r="P92">
        <v>282.70754418265562</v>
      </c>
      <c r="Q92">
        <v>1170.8034203824191</v>
      </c>
      <c r="R92">
        <v>118.40874283003592</v>
      </c>
      <c r="S92">
        <v>184.44744407368103</v>
      </c>
      <c r="T92">
        <v>101.55149353857581</v>
      </c>
    </row>
    <row r="93" spans="1:20" x14ac:dyDescent="0.3">
      <c r="A93">
        <f t="shared" si="2"/>
        <v>87</v>
      </c>
      <c r="B93">
        <v>2805.8980029110903</v>
      </c>
      <c r="C93">
        <v>0</v>
      </c>
      <c r="D93">
        <v>0</v>
      </c>
      <c r="E93">
        <v>0</v>
      </c>
      <c r="F93">
        <v>2718.8642221842738</v>
      </c>
      <c r="G93">
        <v>2651.6157333141214</v>
      </c>
      <c r="H93">
        <v>0</v>
      </c>
      <c r="I93">
        <v>2593.9824035357424</v>
      </c>
      <c r="J93">
        <v>0</v>
      </c>
      <c r="K93">
        <v>234.67408679938592</v>
      </c>
      <c r="L93">
        <v>0</v>
      </c>
      <c r="M93">
        <v>134.74562392489707</v>
      </c>
      <c r="N93">
        <v>2805.8980029110903</v>
      </c>
      <c r="O93">
        <v>137.53994477921623</v>
      </c>
      <c r="P93">
        <v>116.18804486946891</v>
      </c>
      <c r="Q93">
        <v>105.36241297803352</v>
      </c>
      <c r="R93">
        <v>2406</v>
      </c>
      <c r="S93">
        <v>104.1525964368778</v>
      </c>
      <c r="T93">
        <v>137.17104515554522</v>
      </c>
    </row>
    <row r="94" spans="1:20" x14ac:dyDescent="0.3">
      <c r="A94">
        <f t="shared" si="2"/>
        <v>88</v>
      </c>
      <c r="B94">
        <v>6044.9106515109725</v>
      </c>
      <c r="C94">
        <v>0</v>
      </c>
      <c r="D94">
        <v>0</v>
      </c>
      <c r="E94">
        <v>0</v>
      </c>
      <c r="F94">
        <v>3747.7190432381699</v>
      </c>
      <c r="G94">
        <v>3654.6596098567024</v>
      </c>
      <c r="H94">
        <v>0</v>
      </c>
      <c r="I94">
        <v>2580.6881805209741</v>
      </c>
      <c r="J94">
        <v>0</v>
      </c>
      <c r="K94">
        <v>2466.9204616656198</v>
      </c>
      <c r="L94">
        <v>0</v>
      </c>
      <c r="M94">
        <v>105.32502997560135</v>
      </c>
      <c r="N94">
        <v>6044.9106515109725</v>
      </c>
      <c r="O94">
        <v>2406</v>
      </c>
      <c r="P94">
        <v>160.51837615975384</v>
      </c>
      <c r="Q94">
        <v>1139.7553023131495</v>
      </c>
      <c r="R94">
        <v>160.22010610473154</v>
      </c>
      <c r="S94">
        <v>2406</v>
      </c>
      <c r="T94">
        <v>107.22088051516218</v>
      </c>
    </row>
    <row r="95" spans="1:20" x14ac:dyDescent="0.3">
      <c r="A95">
        <f t="shared" si="2"/>
        <v>89</v>
      </c>
      <c r="B95">
        <v>902.88060232369776</v>
      </c>
      <c r="C95">
        <v>0</v>
      </c>
      <c r="D95">
        <v>0</v>
      </c>
      <c r="E95">
        <v>0</v>
      </c>
      <c r="F95">
        <v>798.63153167479254</v>
      </c>
      <c r="G95">
        <v>661.26265871054261</v>
      </c>
      <c r="H95">
        <v>0</v>
      </c>
      <c r="I95">
        <v>569.16891155469762</v>
      </c>
      <c r="J95">
        <v>0</v>
      </c>
      <c r="K95">
        <v>452.37808289384316</v>
      </c>
      <c r="L95">
        <v>0</v>
      </c>
      <c r="M95">
        <v>355.91612485255098</v>
      </c>
      <c r="N95">
        <v>902.88060232369776</v>
      </c>
      <c r="O95">
        <v>120.50092149073174</v>
      </c>
      <c r="P95">
        <v>151.74424053439628</v>
      </c>
      <c r="Q95">
        <v>103.99647501263463</v>
      </c>
      <c r="R95">
        <v>127.03586906883908</v>
      </c>
      <c r="S95">
        <v>104.60476353338134</v>
      </c>
      <c r="T95">
        <v>362.32261509989689</v>
      </c>
    </row>
    <row r="96" spans="1:20" x14ac:dyDescent="0.3">
      <c r="A96">
        <f t="shared" si="2"/>
        <v>90</v>
      </c>
      <c r="B96">
        <v>4853.7731072034603</v>
      </c>
      <c r="C96">
        <v>0</v>
      </c>
      <c r="D96">
        <v>0</v>
      </c>
      <c r="E96">
        <v>0</v>
      </c>
      <c r="F96">
        <v>4793.3730176168519</v>
      </c>
      <c r="G96">
        <v>4770.2194897929821</v>
      </c>
      <c r="H96">
        <v>0</v>
      </c>
      <c r="I96">
        <v>4754.4766577435012</v>
      </c>
      <c r="J96">
        <v>0</v>
      </c>
      <c r="K96">
        <v>2434.0572375828842</v>
      </c>
      <c r="L96">
        <v>0</v>
      </c>
      <c r="M96">
        <v>2363.4577603143416</v>
      </c>
      <c r="N96">
        <v>4853.7731072034603</v>
      </c>
      <c r="O96">
        <v>147.76800551627088</v>
      </c>
      <c r="P96">
        <v>109.4342421409728</v>
      </c>
      <c r="Q96">
        <v>101.60678286575528</v>
      </c>
      <c r="R96">
        <v>2406</v>
      </c>
      <c r="S96">
        <v>114.41250754503477</v>
      </c>
      <c r="T96">
        <v>2406</v>
      </c>
    </row>
    <row r="97" spans="1:20" x14ac:dyDescent="0.3">
      <c r="A97">
        <f t="shared" si="2"/>
        <v>91</v>
      </c>
      <c r="B97">
        <v>5615.6271765922438</v>
      </c>
      <c r="C97">
        <v>0</v>
      </c>
      <c r="D97">
        <v>0</v>
      </c>
      <c r="E97">
        <v>0</v>
      </c>
      <c r="F97">
        <v>5021.533505317062</v>
      </c>
      <c r="G97">
        <v>2705.9211084127701</v>
      </c>
      <c r="H97">
        <v>0</v>
      </c>
      <c r="I97">
        <v>2638.6721620252483</v>
      </c>
      <c r="J97">
        <v>0</v>
      </c>
      <c r="K97">
        <v>2585.6089146984646</v>
      </c>
      <c r="L97">
        <v>0</v>
      </c>
      <c r="M97">
        <v>226.14987516303717</v>
      </c>
      <c r="N97">
        <v>5615.6271765922438</v>
      </c>
      <c r="O97">
        <v>695.17496045384166</v>
      </c>
      <c r="P97">
        <v>2406</v>
      </c>
      <c r="Q97">
        <v>115.95552633895132</v>
      </c>
      <c r="R97">
        <v>100.55934624323824</v>
      </c>
      <c r="S97">
        <v>2406</v>
      </c>
      <c r="T97">
        <v>230.22057291597184</v>
      </c>
    </row>
    <row r="98" spans="1:20" x14ac:dyDescent="0.3">
      <c r="A98">
        <f t="shared" si="2"/>
        <v>92</v>
      </c>
      <c r="B98">
        <v>4921.7198889718547</v>
      </c>
      <c r="C98">
        <v>0</v>
      </c>
      <c r="D98">
        <v>0</v>
      </c>
      <c r="E98">
        <v>0</v>
      </c>
      <c r="F98">
        <v>4793.8043331608596</v>
      </c>
      <c r="G98">
        <v>4771.2706401849782</v>
      </c>
      <c r="H98">
        <v>0</v>
      </c>
      <c r="I98">
        <v>4753.1404535934544</v>
      </c>
      <c r="J98">
        <v>0</v>
      </c>
      <c r="K98">
        <v>2432.6969817581376</v>
      </c>
      <c r="L98">
        <v>0</v>
      </c>
      <c r="M98">
        <v>2363.4577603143416</v>
      </c>
      <c r="N98">
        <v>4921.7198889718547</v>
      </c>
      <c r="O98">
        <v>216.50651381248906</v>
      </c>
      <c r="P98">
        <v>108.82217097277712</v>
      </c>
      <c r="Q98">
        <v>104.01305811485253</v>
      </c>
      <c r="R98">
        <v>2406</v>
      </c>
      <c r="S98">
        <v>113.02776711544234</v>
      </c>
      <c r="T98">
        <v>2406</v>
      </c>
    </row>
    <row r="99" spans="1:20" x14ac:dyDescent="0.3">
      <c r="A99">
        <f t="shared" si="2"/>
        <v>93</v>
      </c>
      <c r="B99">
        <v>651.16783304098601</v>
      </c>
      <c r="C99">
        <v>0</v>
      </c>
      <c r="D99">
        <v>0</v>
      </c>
      <c r="E99">
        <v>0</v>
      </c>
      <c r="F99">
        <v>545.23489281653815</v>
      </c>
      <c r="G99">
        <v>444.48779177673578</v>
      </c>
      <c r="H99">
        <v>0</v>
      </c>
      <c r="I99">
        <v>351.02841495303329</v>
      </c>
      <c r="J99">
        <v>0</v>
      </c>
      <c r="K99">
        <v>213.9658180333908</v>
      </c>
      <c r="L99">
        <v>0</v>
      </c>
      <c r="M99">
        <v>116.68001523875984</v>
      </c>
      <c r="N99">
        <v>651.16783304098601</v>
      </c>
      <c r="O99">
        <v>117.65396121918555</v>
      </c>
      <c r="P99">
        <v>110.56132911050013</v>
      </c>
      <c r="Q99">
        <v>101.46015707568372</v>
      </c>
      <c r="R99">
        <v>143.38110838879712</v>
      </c>
      <c r="S99">
        <v>101.13718751923199</v>
      </c>
      <c r="T99">
        <v>118.78025551305751</v>
      </c>
    </row>
    <row r="100" spans="1:20" x14ac:dyDescent="0.3">
      <c r="A100">
        <f t="shared" si="2"/>
        <v>94</v>
      </c>
      <c r="B100">
        <v>5316.8206923929647</v>
      </c>
      <c r="C100">
        <v>0</v>
      </c>
      <c r="D100">
        <v>0</v>
      </c>
      <c r="E100">
        <v>0</v>
      </c>
      <c r="F100">
        <v>5133.4248128171994</v>
      </c>
      <c r="G100">
        <v>3288.0584185685293</v>
      </c>
      <c r="H100">
        <v>0</v>
      </c>
      <c r="I100">
        <v>3161.5974674865056</v>
      </c>
      <c r="J100">
        <v>0</v>
      </c>
      <c r="K100">
        <v>812.50622190126296</v>
      </c>
      <c r="L100">
        <v>0</v>
      </c>
      <c r="M100">
        <v>726.12159988658323</v>
      </c>
      <c r="N100">
        <v>5316.8206923929647</v>
      </c>
      <c r="O100">
        <v>279.09865203883783</v>
      </c>
      <c r="P100">
        <v>1937.7680408793799</v>
      </c>
      <c r="Q100">
        <v>185.64600261625711</v>
      </c>
      <c r="R100">
        <v>2406</v>
      </c>
      <c r="S100">
        <v>101.00973400890254</v>
      </c>
      <c r="T100">
        <v>739.19178868454173</v>
      </c>
    </row>
    <row r="101" spans="1:20" x14ac:dyDescent="0.3">
      <c r="A101">
        <f t="shared" si="2"/>
        <v>95</v>
      </c>
      <c r="B101">
        <v>713.82550634641734</v>
      </c>
      <c r="C101">
        <v>0</v>
      </c>
      <c r="D101">
        <v>0</v>
      </c>
      <c r="E101">
        <v>0</v>
      </c>
      <c r="F101">
        <v>622.14558995391508</v>
      </c>
      <c r="G101">
        <v>501.75919845750843</v>
      </c>
      <c r="H101">
        <v>0</v>
      </c>
      <c r="I101">
        <v>402.28042044735838</v>
      </c>
      <c r="J101">
        <v>0</v>
      </c>
      <c r="K101">
        <v>266.59860973044522</v>
      </c>
      <c r="L101">
        <v>0</v>
      </c>
      <c r="M101">
        <v>101.46713685408143</v>
      </c>
      <c r="N101">
        <v>713.82550634641734</v>
      </c>
      <c r="O101">
        <v>104.52877550673799</v>
      </c>
      <c r="P101">
        <v>131.58501211557703</v>
      </c>
      <c r="Q101">
        <v>108.51044358238514</v>
      </c>
      <c r="R101">
        <v>142.92285828496566</v>
      </c>
      <c r="S101">
        <v>169.93024785151178</v>
      </c>
      <c r="T101">
        <v>103.2935453174549</v>
      </c>
    </row>
    <row r="102" spans="1:20" x14ac:dyDescent="0.3">
      <c r="A102">
        <f t="shared" si="2"/>
        <v>96</v>
      </c>
      <c r="B102">
        <v>4538.7409022054644</v>
      </c>
      <c r="C102">
        <v>0</v>
      </c>
      <c r="D102">
        <v>0</v>
      </c>
      <c r="E102">
        <v>0</v>
      </c>
      <c r="F102">
        <v>4417.0742704301556</v>
      </c>
      <c r="G102">
        <v>2090.5816072978987</v>
      </c>
      <c r="H102">
        <v>0</v>
      </c>
      <c r="I102">
        <v>575.91894321345637</v>
      </c>
      <c r="J102">
        <v>0</v>
      </c>
      <c r="K102">
        <v>482.20673748662421</v>
      </c>
      <c r="L102">
        <v>0</v>
      </c>
      <c r="M102">
        <v>318.12137176810865</v>
      </c>
      <c r="N102">
        <v>4538.7409022054644</v>
      </c>
      <c r="O102">
        <v>203.36396801500729</v>
      </c>
      <c r="P102">
        <v>2406</v>
      </c>
      <c r="Q102">
        <v>1552.2931330158044</v>
      </c>
      <c r="R102">
        <v>104.07874670467439</v>
      </c>
      <c r="S102">
        <v>172.76508699327479</v>
      </c>
      <c r="T102">
        <v>323.84755645993459</v>
      </c>
    </row>
    <row r="103" spans="1:20" x14ac:dyDescent="0.3">
      <c r="A103">
        <f t="shared" si="2"/>
        <v>97</v>
      </c>
      <c r="B103">
        <v>2886.1101049129052</v>
      </c>
      <c r="C103">
        <v>0</v>
      </c>
      <c r="D103">
        <v>0</v>
      </c>
      <c r="E103">
        <v>0</v>
      </c>
      <c r="F103">
        <v>532.06008680133789</v>
      </c>
      <c r="G103">
        <v>424.90872668558541</v>
      </c>
      <c r="H103">
        <v>0</v>
      </c>
      <c r="I103">
        <v>324.65989046161405</v>
      </c>
      <c r="J103">
        <v>0</v>
      </c>
      <c r="K103">
        <v>200.25079510757928</v>
      </c>
      <c r="L103">
        <v>0</v>
      </c>
      <c r="M103">
        <v>102.72840528843926</v>
      </c>
      <c r="N103">
        <v>2886.1101049129052</v>
      </c>
      <c r="O103">
        <v>2406</v>
      </c>
      <c r="P103">
        <v>116.72844167817664</v>
      </c>
      <c r="Q103">
        <v>107.89719330431186</v>
      </c>
      <c r="R103">
        <v>130.25297338234381</v>
      </c>
      <c r="S103">
        <v>101.12690413107646</v>
      </c>
      <c r="T103">
        <v>104.57751658363117</v>
      </c>
    </row>
    <row r="104" spans="1:20" x14ac:dyDescent="0.3">
      <c r="A104">
        <f t="shared" si="2"/>
        <v>98</v>
      </c>
      <c r="B104">
        <v>1094.6352937404506</v>
      </c>
      <c r="C104">
        <v>0</v>
      </c>
      <c r="D104">
        <v>0</v>
      </c>
      <c r="E104">
        <v>0</v>
      </c>
      <c r="F104">
        <v>1000.8488735637111</v>
      </c>
      <c r="G104">
        <v>689.49534821356735</v>
      </c>
      <c r="H104">
        <v>0</v>
      </c>
      <c r="I104">
        <v>488.0764162213203</v>
      </c>
      <c r="J104">
        <v>0</v>
      </c>
      <c r="K104">
        <v>384.03658405835711</v>
      </c>
      <c r="L104">
        <v>0</v>
      </c>
      <c r="M104">
        <v>105.80588750809977</v>
      </c>
      <c r="N104">
        <v>1094.6352937404506</v>
      </c>
      <c r="O104">
        <v>113.48985546406722</v>
      </c>
      <c r="P104">
        <v>329.36880507429066</v>
      </c>
      <c r="Q104">
        <v>213.82984826009124</v>
      </c>
      <c r="R104">
        <v>112.82520765494699</v>
      </c>
      <c r="S104">
        <v>285.14335506330775</v>
      </c>
      <c r="T104">
        <v>107.71039348324557</v>
      </c>
    </row>
    <row r="105" spans="1:20" x14ac:dyDescent="0.3">
      <c r="A105">
        <f t="shared" si="2"/>
        <v>99</v>
      </c>
      <c r="B105">
        <v>1063.2002731017105</v>
      </c>
      <c r="C105">
        <v>0</v>
      </c>
      <c r="D105">
        <v>0</v>
      </c>
      <c r="E105">
        <v>0</v>
      </c>
      <c r="F105">
        <v>979.27429412214963</v>
      </c>
      <c r="G105">
        <v>861.26651981939835</v>
      </c>
      <c r="H105">
        <v>0</v>
      </c>
      <c r="I105">
        <v>770.07949080973106</v>
      </c>
      <c r="J105">
        <v>0</v>
      </c>
      <c r="K105">
        <v>653.40098159205525</v>
      </c>
      <c r="L105">
        <v>0</v>
      </c>
      <c r="M105">
        <v>561.62965633331089</v>
      </c>
      <c r="N105">
        <v>1063.2002731017105</v>
      </c>
      <c r="O105">
        <v>103.06358389539166</v>
      </c>
      <c r="P105">
        <v>135.63471159695004</v>
      </c>
      <c r="Q105">
        <v>106.6898263664164</v>
      </c>
      <c r="R105">
        <v>130.53994005225104</v>
      </c>
      <c r="S105">
        <v>103.53254292740132</v>
      </c>
      <c r="T105">
        <v>571.73899014731046</v>
      </c>
    </row>
    <row r="106" spans="1:20" x14ac:dyDescent="0.3">
      <c r="A106">
        <f t="shared" si="2"/>
        <v>100</v>
      </c>
      <c r="B106">
        <v>3228.2177145873866</v>
      </c>
      <c r="C106">
        <v>0</v>
      </c>
      <c r="D106">
        <v>0</v>
      </c>
      <c r="E106">
        <v>0</v>
      </c>
      <c r="F106">
        <v>2711.4662778800871</v>
      </c>
      <c r="G106">
        <v>2612.98113979036</v>
      </c>
      <c r="H106">
        <v>0</v>
      </c>
      <c r="I106">
        <v>2554.6620302017259</v>
      </c>
      <c r="J106">
        <v>0</v>
      </c>
      <c r="K106">
        <v>2482.1684293016497</v>
      </c>
      <c r="L106">
        <v>0</v>
      </c>
      <c r="M106">
        <v>120.84746102907941</v>
      </c>
      <c r="N106">
        <v>3228.2177145873866</v>
      </c>
      <c r="O106">
        <v>574.85935556987295</v>
      </c>
      <c r="P106">
        <v>147.29153109156829</v>
      </c>
      <c r="Q106">
        <v>105.35277010486033</v>
      </c>
      <c r="R106">
        <v>118.47751744370771</v>
      </c>
      <c r="S106">
        <v>2406</v>
      </c>
      <c r="T106">
        <v>123.02271532760284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0022-E196-400A-8A2A-EA30996619A0}">
  <dimension ref="A6:T106"/>
  <sheetViews>
    <sheetView workbookViewId="0">
      <selection activeCell="O7" sqref="O7"/>
    </sheetView>
  </sheetViews>
  <sheetFormatPr defaultColWidth="8.77734375" defaultRowHeight="14.4" x14ac:dyDescent="0.3"/>
  <cols>
    <col min="14" max="14" width="14" customWidth="1"/>
  </cols>
  <sheetData>
    <row r="6" spans="1:20" x14ac:dyDescent="0.3">
      <c r="A6" s="76" t="s">
        <v>114</v>
      </c>
      <c r="B6" s="61" t="s">
        <v>151</v>
      </c>
      <c r="C6" s="61">
        <f t="shared" ref="C6:T6" si="0">C3</f>
        <v>0</v>
      </c>
      <c r="D6" s="61">
        <f t="shared" si="0"/>
        <v>0</v>
      </c>
      <c r="E6" s="61">
        <f t="shared" si="0"/>
        <v>0</v>
      </c>
      <c r="F6" s="61">
        <f t="shared" si="0"/>
        <v>0</v>
      </c>
      <c r="G6" s="61">
        <f t="shared" si="0"/>
        <v>0</v>
      </c>
      <c r="H6" s="61">
        <f t="shared" si="0"/>
        <v>0</v>
      </c>
      <c r="I6" s="61">
        <f t="shared" si="0"/>
        <v>0</v>
      </c>
      <c r="J6" s="61">
        <f t="shared" si="0"/>
        <v>0</v>
      </c>
      <c r="K6" s="61">
        <f t="shared" si="0"/>
        <v>0</v>
      </c>
      <c r="L6" s="61">
        <f t="shared" si="0"/>
        <v>0</v>
      </c>
      <c r="M6" s="61">
        <f t="shared" si="0"/>
        <v>0</v>
      </c>
      <c r="N6" s="61" t="s">
        <v>147</v>
      </c>
      <c r="O6" s="61">
        <f t="shared" si="0"/>
        <v>0</v>
      </c>
      <c r="P6" s="61">
        <f t="shared" si="0"/>
        <v>0</v>
      </c>
      <c r="Q6" s="61">
        <f t="shared" si="0"/>
        <v>0</v>
      </c>
      <c r="R6" s="61">
        <f t="shared" si="0"/>
        <v>0</v>
      </c>
      <c r="S6" s="61">
        <f t="shared" si="0"/>
        <v>0</v>
      </c>
      <c r="T6" s="61">
        <f t="shared" si="0"/>
        <v>0</v>
      </c>
    </row>
    <row r="7" spans="1:20" x14ac:dyDescent="0.3">
      <c r="A7">
        <v>1</v>
      </c>
      <c r="B7">
        <v>105.76200717301118</v>
      </c>
      <c r="C7">
        <v>0</v>
      </c>
      <c r="D7">
        <v>0</v>
      </c>
      <c r="E7">
        <v>0</v>
      </c>
      <c r="F7">
        <v>624.62946428970656</v>
      </c>
      <c r="G7">
        <v>265.15104597602846</v>
      </c>
      <c r="H7">
        <v>223.3505653215102</v>
      </c>
      <c r="I7">
        <v>0</v>
      </c>
      <c r="J7">
        <v>96.651091923336594</v>
      </c>
      <c r="K7">
        <v>130.28448530584777</v>
      </c>
      <c r="L7">
        <v>0</v>
      </c>
      <c r="M7">
        <v>0</v>
      </c>
      <c r="N7">
        <v>105.76200717301118</v>
      </c>
      <c r="O7">
        <v>107.66572330212539</v>
      </c>
      <c r="P7">
        <v>147.37118334938259</v>
      </c>
      <c r="Q7">
        <v>173.27267288026039</v>
      </c>
      <c r="R7">
        <v>100.88334980191527</v>
      </c>
      <c r="S7">
        <v>132.62960604135301</v>
      </c>
      <c r="T7">
        <v>102.25685525489013</v>
      </c>
    </row>
    <row r="8" spans="1:20" x14ac:dyDescent="0.3">
      <c r="A8">
        <f>A7 + 1</f>
        <v>2</v>
      </c>
      <c r="B8">
        <v>161.41048242625229</v>
      </c>
      <c r="C8">
        <v>0</v>
      </c>
      <c r="D8">
        <v>0</v>
      </c>
      <c r="E8">
        <v>0</v>
      </c>
      <c r="F8">
        <v>604.59086771385398</v>
      </c>
      <c r="G8">
        <v>300.43505628835283</v>
      </c>
      <c r="H8">
        <v>209.81001473771289</v>
      </c>
      <c r="I8">
        <v>0</v>
      </c>
      <c r="J8">
        <v>95.037455050768841</v>
      </c>
      <c r="K8">
        <v>100.45317797631003</v>
      </c>
      <c r="L8">
        <v>0</v>
      </c>
      <c r="M8">
        <v>0</v>
      </c>
      <c r="N8">
        <v>161.41048242625229</v>
      </c>
      <c r="O8">
        <v>164.31587110992484</v>
      </c>
      <c r="P8">
        <v>105.22843230663759</v>
      </c>
      <c r="Q8">
        <v>210.8054322507744</v>
      </c>
      <c r="R8">
        <v>116.70018727722278</v>
      </c>
      <c r="S8">
        <v>102.26133517988362</v>
      </c>
      <c r="T8">
        <v>100.54962744371345</v>
      </c>
    </row>
    <row r="9" spans="1:20" x14ac:dyDescent="0.3">
      <c r="A9">
        <f t="shared" ref="A9:A72" si="1">A8 + 1</f>
        <v>3</v>
      </c>
      <c r="B9">
        <v>119.39923145717763</v>
      </c>
      <c r="C9">
        <v>0</v>
      </c>
      <c r="D9">
        <v>0</v>
      </c>
      <c r="E9">
        <v>0</v>
      </c>
      <c r="F9">
        <v>2860.862735834723</v>
      </c>
      <c r="G9">
        <v>2473.1195921222716</v>
      </c>
      <c r="H9">
        <v>234.94991052868642</v>
      </c>
      <c r="I9">
        <v>0</v>
      </c>
      <c r="J9">
        <v>111.63574478047259</v>
      </c>
      <c r="K9">
        <v>138.71684075695407</v>
      </c>
      <c r="L9">
        <v>0</v>
      </c>
      <c r="M9">
        <v>0</v>
      </c>
      <c r="N9">
        <v>119.39923145717763</v>
      </c>
      <c r="O9">
        <v>121.54841762340683</v>
      </c>
      <c r="P9">
        <v>204.28876242879016</v>
      </c>
      <c r="Q9">
        <v>2406</v>
      </c>
      <c r="R9">
        <v>104.45631664023634</v>
      </c>
      <c r="S9">
        <v>141.21374389057925</v>
      </c>
      <c r="T9">
        <v>118.11061797774002</v>
      </c>
    </row>
    <row r="10" spans="1:20" x14ac:dyDescent="0.3">
      <c r="A10">
        <f t="shared" si="1"/>
        <v>4</v>
      </c>
      <c r="B10">
        <v>131.04703038027486</v>
      </c>
      <c r="C10">
        <v>0</v>
      </c>
      <c r="D10">
        <v>0</v>
      </c>
      <c r="E10">
        <v>0</v>
      </c>
      <c r="F10">
        <v>660.08599559135359</v>
      </c>
      <c r="G10">
        <v>211.09675910813405</v>
      </c>
      <c r="H10">
        <v>354.66984464893017</v>
      </c>
      <c r="I10">
        <v>0</v>
      </c>
      <c r="J10">
        <v>113.09545997895545</v>
      </c>
      <c r="K10">
        <v>229.21892906917199</v>
      </c>
      <c r="L10">
        <v>0</v>
      </c>
      <c r="M10">
        <v>0</v>
      </c>
      <c r="N10">
        <v>131.04703038027486</v>
      </c>
      <c r="O10">
        <v>133.40587692711981</v>
      </c>
      <c r="P10">
        <v>106.20093975493361</v>
      </c>
      <c r="Q10">
        <v>101.80104079312504</v>
      </c>
      <c r="R10">
        <v>137.86436014247073</v>
      </c>
      <c r="S10">
        <v>233.34486979241709</v>
      </c>
      <c r="T10">
        <v>119.65499665773487</v>
      </c>
    </row>
    <row r="11" spans="1:20" x14ac:dyDescent="0.3">
      <c r="A11">
        <f t="shared" si="1"/>
        <v>5</v>
      </c>
      <c r="B11">
        <v>2363.4577603143416</v>
      </c>
      <c r="C11">
        <v>0</v>
      </c>
      <c r="D11">
        <v>0</v>
      </c>
      <c r="E11">
        <v>0</v>
      </c>
      <c r="F11">
        <v>3753.968363746309</v>
      </c>
      <c r="G11">
        <v>208.58804695480882</v>
      </c>
      <c r="H11">
        <v>2656.1363820059114</v>
      </c>
      <c r="I11">
        <v>0</v>
      </c>
      <c r="J11">
        <v>105.48226373425108</v>
      </c>
      <c r="K11">
        <v>357.58011567553791</v>
      </c>
      <c r="L11">
        <v>0</v>
      </c>
      <c r="M11">
        <v>0</v>
      </c>
      <c r="N11">
        <v>2363.4577603143416</v>
      </c>
      <c r="O11">
        <v>2406</v>
      </c>
      <c r="P11">
        <v>956.81536533302221</v>
      </c>
      <c r="Q11">
        <v>106.86036806574434</v>
      </c>
      <c r="R11">
        <v>2391.5210397005803</v>
      </c>
      <c r="S11">
        <v>364.01655775769757</v>
      </c>
      <c r="T11">
        <v>111.60023503083765</v>
      </c>
    </row>
    <row r="12" spans="1:20" x14ac:dyDescent="0.3">
      <c r="A12">
        <f t="shared" si="1"/>
        <v>6</v>
      </c>
      <c r="B12">
        <v>99.871140627729488</v>
      </c>
      <c r="C12">
        <v>0</v>
      </c>
      <c r="D12">
        <v>0</v>
      </c>
      <c r="E12">
        <v>0</v>
      </c>
      <c r="F12">
        <v>2772.7274264003377</v>
      </c>
      <c r="G12">
        <v>2479.1955632728623</v>
      </c>
      <c r="H12">
        <v>242.43386814497802</v>
      </c>
      <c r="I12">
        <v>0</v>
      </c>
      <c r="J12">
        <v>117.82108341177428</v>
      </c>
      <c r="K12">
        <v>132.55367800666977</v>
      </c>
      <c r="L12">
        <v>0</v>
      </c>
      <c r="M12">
        <v>0</v>
      </c>
      <c r="N12">
        <v>99.871140627729488</v>
      </c>
      <c r="O12">
        <v>101.66882115902862</v>
      </c>
      <c r="P12">
        <v>101.00708865770336</v>
      </c>
      <c r="Q12">
        <v>2406</v>
      </c>
      <c r="R12">
        <v>118.36537552338248</v>
      </c>
      <c r="S12">
        <v>134.93964421078982</v>
      </c>
      <c r="T12">
        <v>124.6547062496572</v>
      </c>
    </row>
    <row r="13" spans="1:20" x14ac:dyDescent="0.3">
      <c r="A13">
        <f t="shared" si="1"/>
        <v>7</v>
      </c>
      <c r="B13">
        <v>101.76868659360764</v>
      </c>
      <c r="C13">
        <v>0</v>
      </c>
      <c r="D13">
        <v>0</v>
      </c>
      <c r="E13">
        <v>0</v>
      </c>
      <c r="F13">
        <v>2822.6226316933758</v>
      </c>
      <c r="G13">
        <v>348.37998468682264</v>
      </c>
      <c r="H13">
        <v>2421.2046668593835</v>
      </c>
      <c r="I13">
        <v>0</v>
      </c>
      <c r="J13">
        <v>117.20306070144537</v>
      </c>
      <c r="K13">
        <v>99.946830199461772</v>
      </c>
      <c r="L13">
        <v>0</v>
      </c>
      <c r="M13">
        <v>0</v>
      </c>
      <c r="N13">
        <v>101.76868659360764</v>
      </c>
      <c r="O13">
        <v>103.60052295229258</v>
      </c>
      <c r="P13">
        <v>103.84518751765113</v>
      </c>
      <c r="Q13">
        <v>237.44776370974012</v>
      </c>
      <c r="R13">
        <v>2406</v>
      </c>
      <c r="S13">
        <v>101.74587314305208</v>
      </c>
      <c r="T13">
        <v>124.0008382221292</v>
      </c>
    </row>
    <row r="14" spans="1:20" x14ac:dyDescent="0.3">
      <c r="A14">
        <f t="shared" si="1"/>
        <v>8</v>
      </c>
      <c r="B14">
        <v>171.59628549102447</v>
      </c>
      <c r="C14">
        <v>0</v>
      </c>
      <c r="D14">
        <v>0</v>
      </c>
      <c r="E14">
        <v>0</v>
      </c>
      <c r="F14">
        <v>2505.4986800924125</v>
      </c>
      <c r="G14">
        <v>2125.2381094061811</v>
      </c>
      <c r="H14">
        <v>322.23151817123687</v>
      </c>
      <c r="I14">
        <v>0</v>
      </c>
      <c r="J14">
        <v>472.3079428389027</v>
      </c>
      <c r="K14">
        <v>113.10931324358782</v>
      </c>
      <c r="L14">
        <v>0</v>
      </c>
      <c r="M14">
        <v>0</v>
      </c>
      <c r="N14">
        <v>171.59628549102447</v>
      </c>
      <c r="O14">
        <v>174.68501862986292</v>
      </c>
      <c r="P14">
        <v>103.12802875665798</v>
      </c>
      <c r="Q14">
        <v>1691.1844525365898</v>
      </c>
      <c r="R14">
        <v>220.40030806364234</v>
      </c>
      <c r="S14">
        <v>115.1452808819724</v>
      </c>
      <c r="T14">
        <v>499.70180352355908</v>
      </c>
    </row>
    <row r="15" spans="1:20" x14ac:dyDescent="0.3">
      <c r="A15">
        <f t="shared" si="1"/>
        <v>9</v>
      </c>
      <c r="B15">
        <v>132.68743906311798</v>
      </c>
      <c r="C15">
        <v>0</v>
      </c>
      <c r="D15">
        <v>0</v>
      </c>
      <c r="E15">
        <v>0</v>
      </c>
      <c r="F15">
        <v>2699.3292032462296</v>
      </c>
      <c r="G15">
        <v>222.19763129904283</v>
      </c>
      <c r="H15">
        <v>2419.7492915606808</v>
      </c>
      <c r="I15">
        <v>0</v>
      </c>
      <c r="J15">
        <v>125.776637836802</v>
      </c>
      <c r="K15">
        <v>98.440516765304352</v>
      </c>
      <c r="L15">
        <v>0</v>
      </c>
      <c r="M15">
        <v>0</v>
      </c>
      <c r="N15">
        <v>132.68743906311798</v>
      </c>
      <c r="O15">
        <v>135.07581296625409</v>
      </c>
      <c r="P15">
        <v>105.97020604493818</v>
      </c>
      <c r="Q15">
        <v>100.42055082562364</v>
      </c>
      <c r="R15">
        <v>2406</v>
      </c>
      <c r="S15">
        <v>100.21244606707982</v>
      </c>
      <c r="T15">
        <v>133.07168283133652</v>
      </c>
    </row>
    <row r="16" spans="1:20" x14ac:dyDescent="0.3">
      <c r="A16">
        <f t="shared" si="1"/>
        <v>10</v>
      </c>
      <c r="B16">
        <v>125.60288277664735</v>
      </c>
      <c r="C16">
        <v>0</v>
      </c>
      <c r="D16">
        <v>0</v>
      </c>
      <c r="E16">
        <v>0</v>
      </c>
      <c r="F16">
        <v>2784.6631800886685</v>
      </c>
      <c r="G16">
        <v>2459.3794715390732</v>
      </c>
      <c r="H16">
        <v>216.96749361559858</v>
      </c>
      <c r="I16">
        <v>0</v>
      </c>
      <c r="J16">
        <v>97.648302026776932</v>
      </c>
      <c r="K16">
        <v>102.18165787274134</v>
      </c>
      <c r="L16">
        <v>0</v>
      </c>
      <c r="M16">
        <v>0</v>
      </c>
      <c r="N16">
        <v>125.60288277664735</v>
      </c>
      <c r="O16">
        <v>127.863734666627</v>
      </c>
      <c r="P16">
        <v>158.44015217559283</v>
      </c>
      <c r="Q16">
        <v>2406</v>
      </c>
      <c r="R16">
        <v>122.37969801940318</v>
      </c>
      <c r="S16">
        <v>104.02092771445068</v>
      </c>
      <c r="T16">
        <v>103.31190354432999</v>
      </c>
    </row>
    <row r="17" spans="1:20" x14ac:dyDescent="0.3">
      <c r="A17">
        <f t="shared" si="1"/>
        <v>11</v>
      </c>
      <c r="B17">
        <v>112.60834377743332</v>
      </c>
      <c r="C17">
        <v>0</v>
      </c>
      <c r="D17">
        <v>0</v>
      </c>
      <c r="E17">
        <v>0</v>
      </c>
      <c r="F17">
        <v>4257.1017454545763</v>
      </c>
      <c r="G17">
        <v>1783.878526529998</v>
      </c>
      <c r="H17">
        <v>2447.7773178622597</v>
      </c>
      <c r="I17">
        <v>0</v>
      </c>
      <c r="J17">
        <v>1666.2178883041406</v>
      </c>
      <c r="K17">
        <v>127.44952398743834</v>
      </c>
      <c r="L17">
        <v>0</v>
      </c>
      <c r="M17">
        <v>0</v>
      </c>
      <c r="N17">
        <v>112.60834377743332</v>
      </c>
      <c r="O17">
        <v>114.63529396542712</v>
      </c>
      <c r="P17">
        <v>102.07373248050058</v>
      </c>
      <c r="Q17">
        <v>149.77045170339778</v>
      </c>
      <c r="R17">
        <v>2406</v>
      </c>
      <c r="S17">
        <v>129.74361541921223</v>
      </c>
      <c r="T17">
        <v>1762.858525825781</v>
      </c>
    </row>
    <row r="18" spans="1:20" x14ac:dyDescent="0.3">
      <c r="A18">
        <f t="shared" si="1"/>
        <v>12</v>
      </c>
      <c r="B18">
        <v>113.5962077487</v>
      </c>
      <c r="C18">
        <v>0</v>
      </c>
      <c r="D18">
        <v>0</v>
      </c>
      <c r="E18">
        <v>0</v>
      </c>
      <c r="F18">
        <v>3325.3563276694281</v>
      </c>
      <c r="G18">
        <v>3058.1259200262975</v>
      </c>
      <c r="H18">
        <v>203.91330831940695</v>
      </c>
      <c r="I18">
        <v>0</v>
      </c>
      <c r="J18">
        <v>707.1721865867712</v>
      </c>
      <c r="K18">
        <v>108.94899979867849</v>
      </c>
      <c r="L18">
        <v>0</v>
      </c>
      <c r="M18">
        <v>0</v>
      </c>
      <c r="N18">
        <v>113.5962077487</v>
      </c>
      <c r="O18">
        <v>115.6409394881766</v>
      </c>
      <c r="P18">
        <v>123.17351322177329</v>
      </c>
      <c r="Q18">
        <v>2406</v>
      </c>
      <c r="R18">
        <v>102.1012743119077</v>
      </c>
      <c r="S18">
        <v>110.91008179505469</v>
      </c>
      <c r="T18">
        <v>748.188173408804</v>
      </c>
    </row>
    <row r="19" spans="1:20" x14ac:dyDescent="0.3">
      <c r="A19">
        <f t="shared" si="1"/>
        <v>13</v>
      </c>
      <c r="B19">
        <v>117.34568428294669</v>
      </c>
      <c r="C19">
        <v>0</v>
      </c>
      <c r="D19">
        <v>0</v>
      </c>
      <c r="E19">
        <v>0</v>
      </c>
      <c r="F19">
        <v>2850.2577198792683</v>
      </c>
      <c r="G19">
        <v>269.7044165662536</v>
      </c>
      <c r="H19">
        <v>225.85794227084162</v>
      </c>
      <c r="I19">
        <v>0</v>
      </c>
      <c r="J19">
        <v>120.15523524347481</v>
      </c>
      <c r="K19">
        <v>106.00958583514428</v>
      </c>
      <c r="L19">
        <v>0</v>
      </c>
      <c r="M19">
        <v>0</v>
      </c>
      <c r="N19">
        <v>117.34568428294669</v>
      </c>
      <c r="O19">
        <v>119.45790660003973</v>
      </c>
      <c r="P19">
        <v>2406</v>
      </c>
      <c r="Q19">
        <v>154.40386082097137</v>
      </c>
      <c r="R19">
        <v>127.75338441517677</v>
      </c>
      <c r="S19">
        <v>107.91775838017688</v>
      </c>
      <c r="T19">
        <v>127.12423888759635</v>
      </c>
    </row>
    <row r="20" spans="1:20" x14ac:dyDescent="0.3">
      <c r="A20">
        <f t="shared" si="1"/>
        <v>14</v>
      </c>
      <c r="B20">
        <v>394.72595646512082</v>
      </c>
      <c r="C20">
        <v>0</v>
      </c>
      <c r="D20">
        <v>0</v>
      </c>
      <c r="E20">
        <v>0</v>
      </c>
      <c r="F20">
        <v>3134.5785635541051</v>
      </c>
      <c r="G20">
        <v>2691.7844590539921</v>
      </c>
      <c r="H20">
        <v>342.41633712316764</v>
      </c>
      <c r="I20">
        <v>0</v>
      </c>
      <c r="J20">
        <v>2129.9668765396868</v>
      </c>
      <c r="K20">
        <v>148.07730654521745</v>
      </c>
      <c r="L20">
        <v>0</v>
      </c>
      <c r="M20">
        <v>0</v>
      </c>
      <c r="N20">
        <v>394.72595646512082</v>
      </c>
      <c r="O20">
        <v>401.83102368149298</v>
      </c>
      <c r="P20">
        <v>156.8001815209189</v>
      </c>
      <c r="Q20">
        <v>610.26970277727753</v>
      </c>
      <c r="R20">
        <v>206.32360237726101</v>
      </c>
      <c r="S20">
        <v>150.74269806303136</v>
      </c>
      <c r="T20">
        <v>2253.5049553789891</v>
      </c>
    </row>
    <row r="21" spans="1:20" x14ac:dyDescent="0.3">
      <c r="A21">
        <f t="shared" si="1"/>
        <v>15</v>
      </c>
      <c r="B21">
        <v>114.31148529473553</v>
      </c>
      <c r="C21">
        <v>0</v>
      </c>
      <c r="D21">
        <v>0</v>
      </c>
      <c r="E21">
        <v>0</v>
      </c>
      <c r="F21">
        <v>2740.4405227184852</v>
      </c>
      <c r="G21">
        <v>249.31866814439059</v>
      </c>
      <c r="H21">
        <v>2422.1973536049209</v>
      </c>
      <c r="I21">
        <v>0</v>
      </c>
      <c r="J21">
        <v>139.89299375746722</v>
      </c>
      <c r="K21">
        <v>100.97426098109304</v>
      </c>
      <c r="L21">
        <v>0</v>
      </c>
      <c r="M21">
        <v>0</v>
      </c>
      <c r="N21">
        <v>114.31148529473553</v>
      </c>
      <c r="O21">
        <v>116.36909203004078</v>
      </c>
      <c r="P21">
        <v>118.2524303781065</v>
      </c>
      <c r="Q21">
        <v>113.91341041352241</v>
      </c>
      <c r="R21">
        <v>2406</v>
      </c>
      <c r="S21">
        <v>102.79179767875272</v>
      </c>
      <c r="T21">
        <v>148.00678739540035</v>
      </c>
    </row>
    <row r="22" spans="1:20" x14ac:dyDescent="0.3">
      <c r="A22">
        <f t="shared" si="1"/>
        <v>16</v>
      </c>
      <c r="B22">
        <v>109.69406146990131</v>
      </c>
      <c r="C22">
        <v>0</v>
      </c>
      <c r="D22">
        <v>0</v>
      </c>
      <c r="E22">
        <v>0</v>
      </c>
      <c r="F22">
        <v>1381.2557194368833</v>
      </c>
      <c r="G22">
        <v>234.90992502444618</v>
      </c>
      <c r="H22">
        <v>380.30924616025976</v>
      </c>
      <c r="I22">
        <v>0</v>
      </c>
      <c r="J22">
        <v>121.66900349172532</v>
      </c>
      <c r="K22">
        <v>236.75155342489305</v>
      </c>
      <c r="L22">
        <v>0</v>
      </c>
      <c r="M22">
        <v>0</v>
      </c>
      <c r="N22">
        <v>109.69406146990131</v>
      </c>
      <c r="O22">
        <v>111.66855457635954</v>
      </c>
      <c r="P22">
        <v>790.89915120204103</v>
      </c>
      <c r="Q22">
        <v>117.46930018316091</v>
      </c>
      <c r="R22">
        <v>156.86851635097577</v>
      </c>
      <c r="S22">
        <v>241.01308138654113</v>
      </c>
      <c r="T22">
        <v>128.72580569424539</v>
      </c>
    </row>
    <row r="23" spans="1:20" x14ac:dyDescent="0.3">
      <c r="A23">
        <f t="shared" si="1"/>
        <v>17</v>
      </c>
      <c r="B23">
        <v>117.18174092211022</v>
      </c>
      <c r="C23">
        <v>0</v>
      </c>
      <c r="D23">
        <v>0</v>
      </c>
      <c r="E23">
        <v>0</v>
      </c>
      <c r="F23">
        <v>3028.3576315602727</v>
      </c>
      <c r="G23">
        <v>336.13418090994861</v>
      </c>
      <c r="H23">
        <v>340.73388801840889</v>
      </c>
      <c r="I23">
        <v>0</v>
      </c>
      <c r="J23">
        <v>241.07642314312892</v>
      </c>
      <c r="K23">
        <v>101.68703857827286</v>
      </c>
      <c r="L23">
        <v>0</v>
      </c>
      <c r="M23">
        <v>0</v>
      </c>
      <c r="N23">
        <v>117.18174092211022</v>
      </c>
      <c r="O23">
        <v>119.29101225870821</v>
      </c>
      <c r="P23">
        <v>2406</v>
      </c>
      <c r="Q23">
        <v>101.10817302319879</v>
      </c>
      <c r="R23">
        <v>250.9725355207803</v>
      </c>
      <c r="S23">
        <v>103.51740527268177</v>
      </c>
      <c r="T23">
        <v>255.05885568543042</v>
      </c>
    </row>
    <row r="24" spans="1:20" x14ac:dyDescent="0.3">
      <c r="A24">
        <f t="shared" si="1"/>
        <v>18</v>
      </c>
      <c r="B24">
        <v>124.62408154684269</v>
      </c>
      <c r="C24">
        <v>0</v>
      </c>
      <c r="D24">
        <v>0</v>
      </c>
      <c r="E24">
        <v>0</v>
      </c>
      <c r="F24">
        <v>4927.3228231160683</v>
      </c>
      <c r="G24">
        <v>2339.2377140517524</v>
      </c>
      <c r="H24">
        <v>2494.5093293993395</v>
      </c>
      <c r="I24">
        <v>0</v>
      </c>
      <c r="J24">
        <v>2274.1020793950852</v>
      </c>
      <c r="K24">
        <v>2363.4577603143416</v>
      </c>
      <c r="L24">
        <v>0</v>
      </c>
      <c r="M24">
        <v>0</v>
      </c>
      <c r="N24">
        <v>124.62408154684269</v>
      </c>
      <c r="O24">
        <v>126.86731501468586</v>
      </c>
      <c r="P24">
        <v>182.26759048106524</v>
      </c>
      <c r="Q24">
        <v>107.24191350959913</v>
      </c>
      <c r="R24">
        <v>218.3593956139747</v>
      </c>
      <c r="S24">
        <v>2406</v>
      </c>
      <c r="T24">
        <v>2406</v>
      </c>
    </row>
    <row r="25" spans="1:20" x14ac:dyDescent="0.3">
      <c r="A25">
        <f t="shared" si="1"/>
        <v>19</v>
      </c>
      <c r="B25">
        <v>546.82866043033948</v>
      </c>
      <c r="C25">
        <v>0</v>
      </c>
      <c r="D25">
        <v>0</v>
      </c>
      <c r="E25">
        <v>0</v>
      </c>
      <c r="F25">
        <v>4814.2133037821895</v>
      </c>
      <c r="G25">
        <v>2336.4870363848167</v>
      </c>
      <c r="H25">
        <v>2395.2292193744729</v>
      </c>
      <c r="I25">
        <v>0</v>
      </c>
      <c r="J25">
        <v>2274.1020793950852</v>
      </c>
      <c r="K25">
        <v>2363.4577603143416</v>
      </c>
      <c r="L25">
        <v>0</v>
      </c>
      <c r="M25">
        <v>0</v>
      </c>
      <c r="N25">
        <v>546.82866043033948</v>
      </c>
      <c r="O25">
        <v>556.67157631808561</v>
      </c>
      <c r="P25">
        <v>169.15288749098028</v>
      </c>
      <c r="Q25">
        <v>104.4417236446585</v>
      </c>
      <c r="R25">
        <v>115.60448173823747</v>
      </c>
      <c r="S25">
        <v>2406</v>
      </c>
      <c r="T25">
        <v>2406</v>
      </c>
    </row>
    <row r="26" spans="1:20" x14ac:dyDescent="0.3">
      <c r="A26">
        <f t="shared" si="1"/>
        <v>20</v>
      </c>
      <c r="B26">
        <v>1175.1932946492959</v>
      </c>
      <c r="C26">
        <v>0</v>
      </c>
      <c r="D26">
        <v>0</v>
      </c>
      <c r="E26">
        <v>0</v>
      </c>
      <c r="F26">
        <v>609.00628373065058</v>
      </c>
      <c r="G26">
        <v>236.43468931636446</v>
      </c>
      <c r="H26">
        <v>273.0069223557602</v>
      </c>
      <c r="I26">
        <v>0</v>
      </c>
      <c r="J26">
        <v>134.04019712867694</v>
      </c>
      <c r="K26">
        <v>180.3311745753544</v>
      </c>
      <c r="L26">
        <v>0</v>
      </c>
      <c r="M26">
        <v>0</v>
      </c>
      <c r="N26">
        <v>1175.1932946492959</v>
      </c>
      <c r="O26">
        <v>1196.3467739529833</v>
      </c>
      <c r="P26">
        <v>110.52678516567758</v>
      </c>
      <c r="Q26">
        <v>106.65031659538211</v>
      </c>
      <c r="R26">
        <v>102.23099006285737</v>
      </c>
      <c r="S26">
        <v>183.57713571771077</v>
      </c>
      <c r="T26">
        <v>141.81452856214023</v>
      </c>
    </row>
    <row r="27" spans="1:20" x14ac:dyDescent="0.3">
      <c r="A27">
        <f t="shared" si="1"/>
        <v>21</v>
      </c>
      <c r="B27">
        <v>98.955808738057755</v>
      </c>
      <c r="C27">
        <v>0</v>
      </c>
      <c r="D27">
        <v>0</v>
      </c>
      <c r="E27">
        <v>0</v>
      </c>
      <c r="F27">
        <v>576.8517649457807</v>
      </c>
      <c r="G27">
        <v>213.7775718785266</v>
      </c>
      <c r="H27">
        <v>224.15713387426075</v>
      </c>
      <c r="I27">
        <v>0</v>
      </c>
      <c r="J27">
        <v>114.57739504272111</v>
      </c>
      <c r="K27">
        <v>104.47798849582523</v>
      </c>
      <c r="L27">
        <v>0</v>
      </c>
      <c r="M27">
        <v>0</v>
      </c>
      <c r="N27">
        <v>98.955808738057755</v>
      </c>
      <c r="O27">
        <v>100.73701329534279</v>
      </c>
      <c r="P27">
        <v>149.30039096201745</v>
      </c>
      <c r="Q27">
        <v>103.04817312961899</v>
      </c>
      <c r="R27">
        <v>127.52464506403463</v>
      </c>
      <c r="S27">
        <v>106.35859228875009</v>
      </c>
      <c r="T27">
        <v>121.22288395519894</v>
      </c>
    </row>
    <row r="28" spans="1:20" x14ac:dyDescent="0.3">
      <c r="A28">
        <f t="shared" si="1"/>
        <v>22</v>
      </c>
      <c r="B28">
        <v>276.4555517874457</v>
      </c>
      <c r="C28">
        <v>0</v>
      </c>
      <c r="D28">
        <v>0</v>
      </c>
      <c r="E28">
        <v>0</v>
      </c>
      <c r="F28">
        <v>597.1966648813559</v>
      </c>
      <c r="G28">
        <v>239.9930798060887</v>
      </c>
      <c r="H28">
        <v>241.76135704828516</v>
      </c>
      <c r="I28">
        <v>0</v>
      </c>
      <c r="J28">
        <v>141.21510417175233</v>
      </c>
      <c r="K28">
        <v>105.64958780952988</v>
      </c>
      <c r="L28">
        <v>0</v>
      </c>
      <c r="M28">
        <v>0</v>
      </c>
      <c r="N28">
        <v>276.4555517874457</v>
      </c>
      <c r="O28">
        <v>281.43175171961974</v>
      </c>
      <c r="P28">
        <v>126.1917679948464</v>
      </c>
      <c r="Q28">
        <v>103.09785107084599</v>
      </c>
      <c r="R28">
        <v>144.57341673544525</v>
      </c>
      <c r="S28">
        <v>107.55128039010141</v>
      </c>
      <c r="T28">
        <v>149.40558021371399</v>
      </c>
    </row>
    <row r="29" spans="1:20" x14ac:dyDescent="0.3">
      <c r="A29">
        <f t="shared" si="1"/>
        <v>23</v>
      </c>
      <c r="B29">
        <v>165.36962218300411</v>
      </c>
      <c r="C29">
        <v>0</v>
      </c>
      <c r="D29">
        <v>0</v>
      </c>
      <c r="E29">
        <v>0</v>
      </c>
      <c r="F29">
        <v>4850.7363238205417</v>
      </c>
      <c r="G29">
        <v>2593.586478145714</v>
      </c>
      <c r="H29">
        <v>2039.6046865807871</v>
      </c>
      <c r="I29">
        <v>0</v>
      </c>
      <c r="J29">
        <v>1448.9342464383737</v>
      </c>
      <c r="K29">
        <v>106.56848956029577</v>
      </c>
      <c r="L29">
        <v>0</v>
      </c>
      <c r="M29">
        <v>0</v>
      </c>
      <c r="N29">
        <v>165.36962218300411</v>
      </c>
      <c r="O29">
        <v>168.34627538229819</v>
      </c>
      <c r="P29">
        <v>304.85841292281043</v>
      </c>
      <c r="Q29">
        <v>1191.3367883139636</v>
      </c>
      <c r="R29">
        <v>2004.4223610508186</v>
      </c>
      <c r="S29">
        <v>108.4867223723811</v>
      </c>
      <c r="T29">
        <v>1532.9724327317997</v>
      </c>
    </row>
    <row r="30" spans="1:20" x14ac:dyDescent="0.3">
      <c r="A30">
        <f t="shared" si="1"/>
        <v>24</v>
      </c>
      <c r="B30">
        <v>103.74693419376446</v>
      </c>
      <c r="C30">
        <v>0</v>
      </c>
      <c r="D30">
        <v>0</v>
      </c>
      <c r="E30">
        <v>0</v>
      </c>
      <c r="F30">
        <v>1289.529027303297</v>
      </c>
      <c r="G30">
        <v>413.91795216216639</v>
      </c>
      <c r="H30">
        <v>196.2106672058743</v>
      </c>
      <c r="I30">
        <v>0</v>
      </c>
      <c r="J30">
        <v>316.34536742701533</v>
      </c>
      <c r="K30">
        <v>99.759643642839592</v>
      </c>
      <c r="L30">
        <v>0</v>
      </c>
      <c r="M30">
        <v>0</v>
      </c>
      <c r="N30">
        <v>103.74693419376446</v>
      </c>
      <c r="O30">
        <v>105.61437900925222</v>
      </c>
      <c r="P30">
        <v>702.61193042671562</v>
      </c>
      <c r="Q30">
        <v>105.02310787407011</v>
      </c>
      <c r="R30">
        <v>103.31839691524027</v>
      </c>
      <c r="S30">
        <v>101.5553172284107</v>
      </c>
      <c r="T30">
        <v>334.69339873778222</v>
      </c>
    </row>
    <row r="31" spans="1:20" x14ac:dyDescent="0.3">
      <c r="A31">
        <f t="shared" si="1"/>
        <v>25</v>
      </c>
      <c r="B31">
        <v>98.842299538004525</v>
      </c>
      <c r="C31">
        <v>0</v>
      </c>
      <c r="D31">
        <v>0</v>
      </c>
      <c r="E31">
        <v>0</v>
      </c>
      <c r="F31">
        <v>4209.3706435665999</v>
      </c>
      <c r="G31">
        <v>221.13648158405255</v>
      </c>
      <c r="H31">
        <v>3949.2230066347302</v>
      </c>
      <c r="I31">
        <v>0</v>
      </c>
      <c r="J31">
        <v>96.173123902485671</v>
      </c>
      <c r="K31">
        <v>1681.4458118669454</v>
      </c>
      <c r="L31">
        <v>0</v>
      </c>
      <c r="M31">
        <v>0</v>
      </c>
      <c r="N31">
        <v>98.842299538004525</v>
      </c>
      <c r="O31">
        <v>100.62146092968861</v>
      </c>
      <c r="P31">
        <v>114.77982693201602</v>
      </c>
      <c r="Q31">
        <v>128.94381435007983</v>
      </c>
      <c r="R31">
        <v>2406</v>
      </c>
      <c r="S31">
        <v>1711.7118364805503</v>
      </c>
      <c r="T31">
        <v>101.75116508882985</v>
      </c>
    </row>
    <row r="32" spans="1:20" x14ac:dyDescent="0.3">
      <c r="A32">
        <f t="shared" si="1"/>
        <v>26</v>
      </c>
      <c r="B32">
        <v>161.01127408331422</v>
      </c>
      <c r="C32">
        <v>0</v>
      </c>
      <c r="D32">
        <v>0</v>
      </c>
      <c r="E32">
        <v>0</v>
      </c>
      <c r="F32">
        <v>2417.07947893563</v>
      </c>
      <c r="G32">
        <v>1889.0504034215157</v>
      </c>
      <c r="H32">
        <v>469.42052798550668</v>
      </c>
      <c r="I32">
        <v>0</v>
      </c>
      <c r="J32">
        <v>95.226736035470907</v>
      </c>
      <c r="K32">
        <v>137.16648826268462</v>
      </c>
      <c r="L32">
        <v>0</v>
      </c>
      <c r="M32">
        <v>0</v>
      </c>
      <c r="N32">
        <v>161.01127408331422</v>
      </c>
      <c r="O32">
        <v>163.90947701681387</v>
      </c>
      <c r="P32">
        <v>102.11597814944875</v>
      </c>
      <c r="Q32">
        <v>1827.8265746476322</v>
      </c>
      <c r="R32">
        <v>348.68375820231472</v>
      </c>
      <c r="S32">
        <v>139.63548505141296</v>
      </c>
      <c r="T32">
        <v>100.74988672552823</v>
      </c>
    </row>
    <row r="33" spans="1:20" x14ac:dyDescent="0.3">
      <c r="A33">
        <f t="shared" si="1"/>
        <v>27</v>
      </c>
      <c r="B33">
        <v>119.58185731597064</v>
      </c>
      <c r="C33">
        <v>0</v>
      </c>
      <c r="D33">
        <v>0</v>
      </c>
      <c r="E33">
        <v>0</v>
      </c>
      <c r="F33">
        <v>1335.2590449104575</v>
      </c>
      <c r="G33">
        <v>224.13564448803723</v>
      </c>
      <c r="H33">
        <v>970.47786534669717</v>
      </c>
      <c r="I33">
        <v>0</v>
      </c>
      <c r="J33">
        <v>123.30721568003011</v>
      </c>
      <c r="K33">
        <v>890.40534620637834</v>
      </c>
      <c r="L33">
        <v>0</v>
      </c>
      <c r="M33">
        <v>0</v>
      </c>
      <c r="N33">
        <v>119.58185731597064</v>
      </c>
      <c r="O33">
        <v>121.73433074765811</v>
      </c>
      <c r="P33">
        <v>164.68019788411141</v>
      </c>
      <c r="Q33">
        <v>104.86287040879182</v>
      </c>
      <c r="R33">
        <v>114.03924442745316</v>
      </c>
      <c r="S33">
        <v>906.43264243809313</v>
      </c>
      <c r="T33">
        <v>130.45903418947188</v>
      </c>
    </row>
    <row r="34" spans="1:20" x14ac:dyDescent="0.3">
      <c r="A34">
        <f t="shared" si="1"/>
        <v>28</v>
      </c>
      <c r="B34">
        <v>356.59469756349984</v>
      </c>
      <c r="C34">
        <v>0</v>
      </c>
      <c r="D34">
        <v>0</v>
      </c>
      <c r="E34">
        <v>0</v>
      </c>
      <c r="F34">
        <v>2881.4113882547122</v>
      </c>
      <c r="G34">
        <v>401.68068785168634</v>
      </c>
      <c r="H34">
        <v>2425.9372846256333</v>
      </c>
      <c r="I34">
        <v>0</v>
      </c>
      <c r="J34">
        <v>96.391785024837617</v>
      </c>
      <c r="K34">
        <v>104.84508958753047</v>
      </c>
      <c r="L34">
        <v>0</v>
      </c>
      <c r="M34">
        <v>0</v>
      </c>
      <c r="N34">
        <v>356.59469756349984</v>
      </c>
      <c r="O34">
        <v>363.01340211964282</v>
      </c>
      <c r="P34">
        <v>105.65882076597765</v>
      </c>
      <c r="Q34">
        <v>312.51915520817909</v>
      </c>
      <c r="R34">
        <v>2406</v>
      </c>
      <c r="S34">
        <v>106.73230120010602</v>
      </c>
      <c r="T34">
        <v>101.9825085562782</v>
      </c>
    </row>
    <row r="35" spans="1:20" x14ac:dyDescent="0.3">
      <c r="A35">
        <f t="shared" si="1"/>
        <v>29</v>
      </c>
      <c r="B35">
        <v>172.95434035498795</v>
      </c>
      <c r="C35">
        <v>0</v>
      </c>
      <c r="D35">
        <v>0</v>
      </c>
      <c r="E35">
        <v>0</v>
      </c>
      <c r="F35">
        <v>710.95111518291401</v>
      </c>
      <c r="G35">
        <v>239.19885968319403</v>
      </c>
      <c r="H35">
        <v>380.01477807078629</v>
      </c>
      <c r="I35">
        <v>0</v>
      </c>
      <c r="J35">
        <v>94.701058965799746</v>
      </c>
      <c r="K35">
        <v>276.96164179479581</v>
      </c>
      <c r="L35">
        <v>0</v>
      </c>
      <c r="M35">
        <v>0</v>
      </c>
      <c r="N35">
        <v>172.95434035498795</v>
      </c>
      <c r="O35">
        <v>176.06751848137773</v>
      </c>
      <c r="P35">
        <v>104.53459750222613</v>
      </c>
      <c r="Q35">
        <v>148.80338019169182</v>
      </c>
      <c r="R35">
        <v>116.35365350846797</v>
      </c>
      <c r="S35">
        <v>281.94695134710213</v>
      </c>
      <c r="T35">
        <v>100.19372038581614</v>
      </c>
    </row>
    <row r="36" spans="1:20" x14ac:dyDescent="0.3">
      <c r="A36">
        <f t="shared" si="1"/>
        <v>30</v>
      </c>
      <c r="B36">
        <v>132.67819261101874</v>
      </c>
      <c r="C36">
        <v>0</v>
      </c>
      <c r="D36">
        <v>0</v>
      </c>
      <c r="E36">
        <v>0</v>
      </c>
      <c r="F36">
        <v>532.88251548611368</v>
      </c>
      <c r="G36">
        <v>198.68192713009131</v>
      </c>
      <c r="H36">
        <v>204.30811945439621</v>
      </c>
      <c r="I36">
        <v>0</v>
      </c>
      <c r="J36">
        <v>97.21228879223618</v>
      </c>
      <c r="K36">
        <v>111.05631737167602</v>
      </c>
      <c r="L36">
        <v>0</v>
      </c>
      <c r="M36">
        <v>0</v>
      </c>
      <c r="N36">
        <v>132.67819261101874</v>
      </c>
      <c r="O36">
        <v>135.06640007801707</v>
      </c>
      <c r="P36">
        <v>139.48435418037622</v>
      </c>
      <c r="Q36">
        <v>105.04591302619681</v>
      </c>
      <c r="R36">
        <v>100.40258626362404</v>
      </c>
      <c r="S36">
        <v>113.05533108436619</v>
      </c>
      <c r="T36">
        <v>102.85060154218588</v>
      </c>
    </row>
    <row r="37" spans="1:20" x14ac:dyDescent="0.3">
      <c r="A37">
        <f t="shared" si="1"/>
        <v>31</v>
      </c>
      <c r="B37">
        <v>112.17601239633534</v>
      </c>
      <c r="C37">
        <v>0</v>
      </c>
      <c r="D37">
        <v>0</v>
      </c>
      <c r="E37">
        <v>0</v>
      </c>
      <c r="F37">
        <v>852.33365212401486</v>
      </c>
      <c r="G37">
        <v>521.2982683105306</v>
      </c>
      <c r="H37">
        <v>242.93672531567927</v>
      </c>
      <c r="I37">
        <v>0</v>
      </c>
      <c r="J37">
        <v>422.25541523102976</v>
      </c>
      <c r="K37">
        <v>121.51905191389707</v>
      </c>
      <c r="L37">
        <v>0</v>
      </c>
      <c r="M37">
        <v>0</v>
      </c>
      <c r="N37">
        <v>112.17601239633534</v>
      </c>
      <c r="O37">
        <v>114.19518061946937</v>
      </c>
      <c r="P37">
        <v>103.44066423603718</v>
      </c>
      <c r="Q37">
        <v>108.42622190909049</v>
      </c>
      <c r="R37">
        <v>129.92045878783097</v>
      </c>
      <c r="S37">
        <v>123.70639484834722</v>
      </c>
      <c r="T37">
        <v>446.74622931442951</v>
      </c>
    </row>
    <row r="38" spans="1:20" x14ac:dyDescent="0.3">
      <c r="A38">
        <f t="shared" si="1"/>
        <v>32</v>
      </c>
      <c r="B38">
        <v>117.72887607407563</v>
      </c>
      <c r="C38">
        <v>0</v>
      </c>
      <c r="D38">
        <v>0</v>
      </c>
      <c r="E38">
        <v>0</v>
      </c>
      <c r="F38">
        <v>606.46442496617169</v>
      </c>
      <c r="G38">
        <v>196.88971484421955</v>
      </c>
      <c r="H38">
        <v>197.49134503218181</v>
      </c>
      <c r="I38">
        <v>0</v>
      </c>
      <c r="J38">
        <v>98.019714604561202</v>
      </c>
      <c r="K38">
        <v>102.25619181789023</v>
      </c>
      <c r="L38">
        <v>0</v>
      </c>
      <c r="M38">
        <v>0</v>
      </c>
      <c r="N38">
        <v>117.72887607407563</v>
      </c>
      <c r="O38">
        <v>119.847995843409</v>
      </c>
      <c r="P38">
        <v>222.99972473916131</v>
      </c>
      <c r="Q38">
        <v>102.41401510685432</v>
      </c>
      <c r="R38">
        <v>102.14735029041792</v>
      </c>
      <c r="S38">
        <v>104.09680327061226</v>
      </c>
      <c r="T38">
        <v>103.70485805162576</v>
      </c>
    </row>
    <row r="39" spans="1:20" x14ac:dyDescent="0.3">
      <c r="A39">
        <f t="shared" si="1"/>
        <v>33</v>
      </c>
      <c r="B39">
        <v>498.28817126602337</v>
      </c>
      <c r="C39">
        <v>0</v>
      </c>
      <c r="D39">
        <v>0</v>
      </c>
      <c r="E39">
        <v>0</v>
      </c>
      <c r="F39">
        <v>502.88258658519919</v>
      </c>
      <c r="G39">
        <v>201.77292426480491</v>
      </c>
      <c r="H39">
        <v>208.70275942256404</v>
      </c>
      <c r="I39">
        <v>0</v>
      </c>
      <c r="J39">
        <v>99.730949895018085</v>
      </c>
      <c r="K39">
        <v>110.63344294001615</v>
      </c>
      <c r="L39">
        <v>0</v>
      </c>
      <c r="M39">
        <v>0</v>
      </c>
      <c r="N39">
        <v>498.28817126602337</v>
      </c>
      <c r="O39">
        <v>507.25735834881181</v>
      </c>
      <c r="P39">
        <v>101.45878945636385</v>
      </c>
      <c r="Q39">
        <v>105.67388700655334</v>
      </c>
      <c r="R39">
        <v>105.37391306233762</v>
      </c>
      <c r="S39">
        <v>112.62484491293644</v>
      </c>
      <c r="T39">
        <v>105.51534498892914</v>
      </c>
    </row>
    <row r="40" spans="1:20" x14ac:dyDescent="0.3">
      <c r="A40">
        <f t="shared" si="1"/>
        <v>34</v>
      </c>
      <c r="B40">
        <v>155.72335837486065</v>
      </c>
      <c r="C40">
        <v>0</v>
      </c>
      <c r="D40">
        <v>0</v>
      </c>
      <c r="E40">
        <v>0</v>
      </c>
      <c r="F40">
        <v>664.3299805033198</v>
      </c>
      <c r="G40">
        <v>283.32917870665983</v>
      </c>
      <c r="H40">
        <v>228.22906249678852</v>
      </c>
      <c r="I40">
        <v>0</v>
      </c>
      <c r="J40">
        <v>136.08067951052371</v>
      </c>
      <c r="K40">
        <v>121.41013662908288</v>
      </c>
      <c r="L40">
        <v>0</v>
      </c>
      <c r="M40">
        <v>0</v>
      </c>
      <c r="N40">
        <v>155.72335837486065</v>
      </c>
      <c r="O40">
        <v>158.52637882560813</v>
      </c>
      <c r="P40">
        <v>164.72967894893117</v>
      </c>
      <c r="Q40">
        <v>152.34842441285605</v>
      </c>
      <c r="R40">
        <v>114.80694305509319</v>
      </c>
      <c r="S40">
        <v>123.59551908840638</v>
      </c>
      <c r="T40">
        <v>143.97335892213411</v>
      </c>
    </row>
    <row r="41" spans="1:20" x14ac:dyDescent="0.3">
      <c r="A41">
        <f t="shared" si="1"/>
        <v>35</v>
      </c>
      <c r="B41">
        <v>169.5267884929851</v>
      </c>
      <c r="C41">
        <v>0</v>
      </c>
      <c r="D41">
        <v>0</v>
      </c>
      <c r="E41">
        <v>0</v>
      </c>
      <c r="F41">
        <v>4932.1887297074281</v>
      </c>
      <c r="G41">
        <v>2348.8952330064803</v>
      </c>
      <c r="H41">
        <v>2529.5549552198672</v>
      </c>
      <c r="I41">
        <v>0</v>
      </c>
      <c r="J41">
        <v>2274.1020793950852</v>
      </c>
      <c r="K41">
        <v>212.08937865256243</v>
      </c>
      <c r="L41">
        <v>0</v>
      </c>
      <c r="M41">
        <v>0</v>
      </c>
      <c r="N41">
        <v>169.5267884929851</v>
      </c>
      <c r="O41">
        <v>172.57827068585883</v>
      </c>
      <c r="P41">
        <v>142.51793861581447</v>
      </c>
      <c r="Q41">
        <v>117.07326780551205</v>
      </c>
      <c r="R41">
        <v>2406</v>
      </c>
      <c r="S41">
        <v>215.90698746830856</v>
      </c>
      <c r="T41">
        <v>2406</v>
      </c>
    </row>
    <row r="42" spans="1:20" x14ac:dyDescent="0.3">
      <c r="A42">
        <f t="shared" si="1"/>
        <v>36</v>
      </c>
      <c r="B42">
        <v>99.682076492427129</v>
      </c>
      <c r="C42">
        <v>0</v>
      </c>
      <c r="D42">
        <v>0</v>
      </c>
      <c r="E42">
        <v>0</v>
      </c>
      <c r="F42">
        <v>1124.7252275164601</v>
      </c>
      <c r="G42">
        <v>482.50372267605229</v>
      </c>
      <c r="H42">
        <v>202.22655149830007</v>
      </c>
      <c r="I42">
        <v>0</v>
      </c>
      <c r="J42">
        <v>184.07696435339088</v>
      </c>
      <c r="K42">
        <v>103.12568540376721</v>
      </c>
      <c r="L42">
        <v>0</v>
      </c>
      <c r="M42">
        <v>0</v>
      </c>
      <c r="N42">
        <v>99.682076492427129</v>
      </c>
      <c r="O42">
        <v>101.47635386929082</v>
      </c>
      <c r="P42">
        <v>460.24000743740413</v>
      </c>
      <c r="Q42">
        <v>307.11182533083041</v>
      </c>
      <c r="R42">
        <v>106.17879539697333</v>
      </c>
      <c r="S42">
        <v>104.98194774103501</v>
      </c>
      <c r="T42">
        <v>194.75342828588757</v>
      </c>
    </row>
    <row r="43" spans="1:20" x14ac:dyDescent="0.3">
      <c r="A43">
        <f t="shared" si="1"/>
        <v>37</v>
      </c>
      <c r="B43">
        <v>100.8852543342238</v>
      </c>
      <c r="C43">
        <v>0</v>
      </c>
      <c r="D43">
        <v>0</v>
      </c>
      <c r="E43">
        <v>0</v>
      </c>
      <c r="F43">
        <v>5676.597533630289</v>
      </c>
      <c r="G43">
        <v>2430.3986060664611</v>
      </c>
      <c r="H43">
        <v>1965.3944185472596</v>
      </c>
      <c r="I43">
        <v>0</v>
      </c>
      <c r="J43">
        <v>2274.1020793950852</v>
      </c>
      <c r="K43">
        <v>107.04355232463708</v>
      </c>
      <c r="L43">
        <v>0</v>
      </c>
      <c r="M43">
        <v>0</v>
      </c>
      <c r="N43">
        <v>100.8852543342238</v>
      </c>
      <c r="O43">
        <v>102.70118891223983</v>
      </c>
      <c r="P43">
        <v>1382.983264621914</v>
      </c>
      <c r="Q43">
        <v>200.0437015805727</v>
      </c>
      <c r="R43">
        <v>1927.1396708717766</v>
      </c>
      <c r="S43">
        <v>108.97033626648054</v>
      </c>
      <c r="T43">
        <v>2406</v>
      </c>
    </row>
    <row r="44" spans="1:20" x14ac:dyDescent="0.3">
      <c r="A44">
        <f t="shared" si="1"/>
        <v>38</v>
      </c>
      <c r="B44">
        <v>98.509153719750756</v>
      </c>
      <c r="C44">
        <v>0</v>
      </c>
      <c r="D44">
        <v>0</v>
      </c>
      <c r="E44">
        <v>0</v>
      </c>
      <c r="F44">
        <v>553.07876215046701</v>
      </c>
      <c r="G44">
        <v>243.20354887151819</v>
      </c>
      <c r="H44">
        <v>209.97259168937495</v>
      </c>
      <c r="I44">
        <v>0</v>
      </c>
      <c r="J44">
        <v>147.07945750505405</v>
      </c>
      <c r="K44">
        <v>115.23812696567079</v>
      </c>
      <c r="L44">
        <v>0</v>
      </c>
      <c r="M44">
        <v>0</v>
      </c>
      <c r="N44">
        <v>98.509153719750756</v>
      </c>
      <c r="O44">
        <v>100.28231848670627</v>
      </c>
      <c r="P44">
        <v>109.85803930828223</v>
      </c>
      <c r="Q44">
        <v>100.5017552461515</v>
      </c>
      <c r="R44">
        <v>102.08350543283228</v>
      </c>
      <c r="S44">
        <v>117.31241325105286</v>
      </c>
      <c r="T44">
        <v>155.61006604034719</v>
      </c>
    </row>
    <row r="45" spans="1:20" x14ac:dyDescent="0.3">
      <c r="A45">
        <f t="shared" si="1"/>
        <v>39</v>
      </c>
      <c r="B45">
        <v>2363.4577603143416</v>
      </c>
      <c r="C45">
        <v>0</v>
      </c>
      <c r="D45">
        <v>0</v>
      </c>
      <c r="E45">
        <v>0</v>
      </c>
      <c r="F45">
        <v>547.81598918425766</v>
      </c>
      <c r="G45">
        <v>236.77015856544375</v>
      </c>
      <c r="H45">
        <v>196.13202048956538</v>
      </c>
      <c r="I45">
        <v>0</v>
      </c>
      <c r="J45">
        <v>140.9984640209515</v>
      </c>
      <c r="K45">
        <v>101.29951985586743</v>
      </c>
      <c r="L45">
        <v>0</v>
      </c>
      <c r="M45">
        <v>0</v>
      </c>
      <c r="N45">
        <v>2363.4577603143416</v>
      </c>
      <c r="O45">
        <v>2406</v>
      </c>
      <c r="P45">
        <v>124.77449793456518</v>
      </c>
      <c r="Q45">
        <v>100.0335573986703</v>
      </c>
      <c r="R45">
        <v>101.69712135083272</v>
      </c>
      <c r="S45">
        <v>103.12291121327304</v>
      </c>
      <c r="T45">
        <v>149.17637493416669</v>
      </c>
    </row>
    <row r="46" spans="1:20" x14ac:dyDescent="0.3">
      <c r="A46">
        <f t="shared" si="1"/>
        <v>40</v>
      </c>
      <c r="B46">
        <v>401.19011585389649</v>
      </c>
      <c r="C46">
        <v>0</v>
      </c>
      <c r="D46">
        <v>0</v>
      </c>
      <c r="E46">
        <v>0</v>
      </c>
      <c r="F46">
        <v>2719.7135489868888</v>
      </c>
      <c r="G46">
        <v>239.13757342214501</v>
      </c>
      <c r="H46">
        <v>2426.4753906616229</v>
      </c>
      <c r="I46">
        <v>0</v>
      </c>
      <c r="J46">
        <v>126.00531481305805</v>
      </c>
      <c r="K46">
        <v>105.40202933477947</v>
      </c>
      <c r="L46">
        <v>0</v>
      </c>
      <c r="M46">
        <v>0</v>
      </c>
      <c r="N46">
        <v>401.19011585389649</v>
      </c>
      <c r="O46">
        <v>408.41153793926662</v>
      </c>
      <c r="P46">
        <v>103.05542878488481</v>
      </c>
      <c r="Q46">
        <v>117.43673493068562</v>
      </c>
      <c r="R46">
        <v>2406</v>
      </c>
      <c r="S46">
        <v>107.2992658628055</v>
      </c>
      <c r="T46">
        <v>133.31362307221542</v>
      </c>
    </row>
    <row r="47" spans="1:20" x14ac:dyDescent="0.3">
      <c r="A47">
        <f t="shared" si="1"/>
        <v>41</v>
      </c>
      <c r="B47">
        <v>99.047524301336225</v>
      </c>
      <c r="C47">
        <v>0</v>
      </c>
      <c r="D47">
        <v>0</v>
      </c>
      <c r="E47">
        <v>0</v>
      </c>
      <c r="F47">
        <v>2694.2575779997842</v>
      </c>
      <c r="G47">
        <v>2349.5021644537665</v>
      </c>
      <c r="H47">
        <v>276.73037818303777</v>
      </c>
      <c r="I47">
        <v>0</v>
      </c>
      <c r="J47">
        <v>2274.1020793950852</v>
      </c>
      <c r="K47">
        <v>164.9121106292103</v>
      </c>
      <c r="L47">
        <v>0</v>
      </c>
      <c r="M47">
        <v>0</v>
      </c>
      <c r="N47">
        <v>99.047524301336225</v>
      </c>
      <c r="O47">
        <v>100.83037973876027</v>
      </c>
      <c r="P47">
        <v>116.52167176697658</v>
      </c>
      <c r="Q47">
        <v>117.69112401884918</v>
      </c>
      <c r="R47">
        <v>121.50383079023376</v>
      </c>
      <c r="S47">
        <v>167.8805286205361</v>
      </c>
      <c r="T47">
        <v>2406</v>
      </c>
    </row>
    <row r="48" spans="1:20" x14ac:dyDescent="0.3">
      <c r="A48">
        <f t="shared" si="1"/>
        <v>42</v>
      </c>
      <c r="B48">
        <v>99.963095573999027</v>
      </c>
      <c r="C48">
        <v>0</v>
      </c>
      <c r="D48">
        <v>0</v>
      </c>
      <c r="E48">
        <v>0</v>
      </c>
      <c r="F48">
        <v>2750.9239349624604</v>
      </c>
      <c r="G48">
        <v>232.01665362888301</v>
      </c>
      <c r="H48">
        <v>2422.712546779379</v>
      </c>
      <c r="I48">
        <v>0</v>
      </c>
      <c r="J48">
        <v>110.06819716896526</v>
      </c>
      <c r="K48">
        <v>101.5074859166572</v>
      </c>
      <c r="L48">
        <v>0</v>
      </c>
      <c r="M48">
        <v>0</v>
      </c>
      <c r="N48">
        <v>99.963095573999027</v>
      </c>
      <c r="O48">
        <v>101.76243129433101</v>
      </c>
      <c r="P48">
        <v>145.71136538352209</v>
      </c>
      <c r="Q48">
        <v>126.12475622523766</v>
      </c>
      <c r="R48">
        <v>2406</v>
      </c>
      <c r="S48">
        <v>103.33462066315704</v>
      </c>
      <c r="T48">
        <v>116.45215260476525</v>
      </c>
    </row>
    <row r="49" spans="1:20" x14ac:dyDescent="0.3">
      <c r="A49">
        <f t="shared" si="1"/>
        <v>43</v>
      </c>
      <c r="B49">
        <v>100.40339101200853</v>
      </c>
      <c r="C49">
        <v>0</v>
      </c>
      <c r="D49">
        <v>0</v>
      </c>
      <c r="E49">
        <v>0</v>
      </c>
      <c r="F49">
        <v>512.57299545634658</v>
      </c>
      <c r="G49">
        <v>192.52989904010269</v>
      </c>
      <c r="H49">
        <v>216.53799019641215</v>
      </c>
      <c r="I49">
        <v>0</v>
      </c>
      <c r="J49">
        <v>95.736999993142319</v>
      </c>
      <c r="K49">
        <v>110.63583177411337</v>
      </c>
      <c r="L49">
        <v>0</v>
      </c>
      <c r="M49">
        <v>0</v>
      </c>
      <c r="N49">
        <v>100.40339101200853</v>
      </c>
      <c r="O49">
        <v>102.21065205022468</v>
      </c>
      <c r="P49">
        <v>112.73142013804602</v>
      </c>
      <c r="Q49">
        <v>100.25843722968223</v>
      </c>
      <c r="R49">
        <v>113.48098807917319</v>
      </c>
      <c r="S49">
        <v>112.62727674604741</v>
      </c>
      <c r="T49">
        <v>101.28974599274459</v>
      </c>
    </row>
    <row r="50" spans="1:20" x14ac:dyDescent="0.3">
      <c r="A50">
        <f t="shared" si="1"/>
        <v>44</v>
      </c>
      <c r="B50">
        <v>100.91804554224854</v>
      </c>
      <c r="C50">
        <v>0</v>
      </c>
      <c r="D50">
        <v>0</v>
      </c>
      <c r="E50">
        <v>0</v>
      </c>
      <c r="F50">
        <v>708.12021095035573</v>
      </c>
      <c r="G50">
        <v>225.69465964239313</v>
      </c>
      <c r="H50">
        <v>322.46701941297783</v>
      </c>
      <c r="I50">
        <v>0</v>
      </c>
      <c r="J50">
        <v>95.505766570640191</v>
      </c>
      <c r="K50">
        <v>98.6123819724437</v>
      </c>
      <c r="L50">
        <v>0</v>
      </c>
      <c r="M50">
        <v>0</v>
      </c>
      <c r="N50">
        <v>100.91804554224854</v>
      </c>
      <c r="O50">
        <v>102.73457036200901</v>
      </c>
      <c r="P50">
        <v>172.70469569209109</v>
      </c>
      <c r="Q50">
        <v>134.25139694531603</v>
      </c>
      <c r="R50">
        <v>235.14098311998833</v>
      </c>
      <c r="S50">
        <v>100.38740484794769</v>
      </c>
      <c r="T50">
        <v>101.04510103173733</v>
      </c>
    </row>
    <row r="51" spans="1:20" x14ac:dyDescent="0.3">
      <c r="A51">
        <f t="shared" si="1"/>
        <v>45</v>
      </c>
      <c r="B51">
        <v>115.12195728646817</v>
      </c>
      <c r="C51">
        <v>0</v>
      </c>
      <c r="D51">
        <v>0</v>
      </c>
      <c r="E51">
        <v>0</v>
      </c>
      <c r="F51">
        <v>2588.0603701869259</v>
      </c>
      <c r="G51">
        <v>2333.0603862068747</v>
      </c>
      <c r="H51">
        <v>201.11572371367834</v>
      </c>
      <c r="I51">
        <v>0</v>
      </c>
      <c r="J51">
        <v>2274.1020793950852</v>
      </c>
      <c r="K51">
        <v>98.298803571512053</v>
      </c>
      <c r="L51">
        <v>0</v>
      </c>
      <c r="M51">
        <v>0</v>
      </c>
      <c r="N51">
        <v>115.12195728646817</v>
      </c>
      <c r="O51">
        <v>117.1941525176246</v>
      </c>
      <c r="P51">
        <v>100.46934692973782</v>
      </c>
      <c r="Q51">
        <v>100.9533937635136</v>
      </c>
      <c r="R51">
        <v>109.85597047214499</v>
      </c>
      <c r="S51">
        <v>100.06818203579927</v>
      </c>
      <c r="T51">
        <v>2406</v>
      </c>
    </row>
    <row r="52" spans="1:20" x14ac:dyDescent="0.3">
      <c r="A52">
        <f t="shared" si="1"/>
        <v>46</v>
      </c>
      <c r="B52">
        <v>143.93735576180345</v>
      </c>
      <c r="C52">
        <v>0</v>
      </c>
      <c r="D52">
        <v>0</v>
      </c>
      <c r="E52">
        <v>0</v>
      </c>
      <c r="F52">
        <v>3060.5396836184364</v>
      </c>
      <c r="G52">
        <v>545.65075133001108</v>
      </c>
      <c r="H52">
        <v>2389.7931467390126</v>
      </c>
      <c r="I52">
        <v>0</v>
      </c>
      <c r="J52">
        <v>103.62197430342999</v>
      </c>
      <c r="K52">
        <v>2363.4577603143416</v>
      </c>
      <c r="L52">
        <v>0</v>
      </c>
      <c r="M52">
        <v>0</v>
      </c>
      <c r="N52">
        <v>143.93735576180345</v>
      </c>
      <c r="O52">
        <v>146.52822816551591</v>
      </c>
      <c r="P52">
        <v>180.18549985454456</v>
      </c>
      <c r="Q52">
        <v>451.85049055052133</v>
      </c>
      <c r="R52">
        <v>109.9781465605364</v>
      </c>
      <c r="S52">
        <v>2406</v>
      </c>
      <c r="T52">
        <v>109.63204881302894</v>
      </c>
    </row>
    <row r="53" spans="1:20" x14ac:dyDescent="0.3">
      <c r="A53">
        <f t="shared" si="1"/>
        <v>47</v>
      </c>
      <c r="B53">
        <v>114.96133940817246</v>
      </c>
      <c r="C53">
        <v>0</v>
      </c>
      <c r="D53">
        <v>0</v>
      </c>
      <c r="E53">
        <v>0</v>
      </c>
      <c r="F53">
        <v>1326.108400586375</v>
      </c>
      <c r="G53">
        <v>414.77871896743255</v>
      </c>
      <c r="H53">
        <v>776.66660012914485</v>
      </c>
      <c r="I53">
        <v>0</v>
      </c>
      <c r="J53">
        <v>294.31576513923881</v>
      </c>
      <c r="K53">
        <v>651.23479436274135</v>
      </c>
      <c r="L53">
        <v>0</v>
      </c>
      <c r="M53">
        <v>0</v>
      </c>
      <c r="N53">
        <v>114.96133940817246</v>
      </c>
      <c r="O53">
        <v>117.03064351751956</v>
      </c>
      <c r="P53">
        <v>158.53303270035246</v>
      </c>
      <c r="Q53">
        <v>127.92897076960762</v>
      </c>
      <c r="R53">
        <v>152.61513677092341</v>
      </c>
      <c r="S53">
        <v>662.95702066127069</v>
      </c>
      <c r="T53">
        <v>311.38607951731467</v>
      </c>
    </row>
    <row r="54" spans="1:20" x14ac:dyDescent="0.3">
      <c r="A54">
        <f t="shared" si="1"/>
        <v>48</v>
      </c>
      <c r="B54">
        <v>99.729335666368996</v>
      </c>
      <c r="C54">
        <v>0</v>
      </c>
      <c r="D54">
        <v>0</v>
      </c>
      <c r="E54">
        <v>0</v>
      </c>
      <c r="F54">
        <v>4755.3996974939309</v>
      </c>
      <c r="G54">
        <v>2332.9121361020143</v>
      </c>
      <c r="H54">
        <v>2397.8302635669047</v>
      </c>
      <c r="I54">
        <v>0</v>
      </c>
      <c r="J54">
        <v>2274.1020793950852</v>
      </c>
      <c r="K54">
        <v>2363.4577603143416</v>
      </c>
      <c r="L54">
        <v>0</v>
      </c>
      <c r="M54">
        <v>0</v>
      </c>
      <c r="N54">
        <v>99.729335666368996</v>
      </c>
      <c r="O54">
        <v>101.52446370836364</v>
      </c>
      <c r="P54">
        <v>110.25449237990316</v>
      </c>
      <c r="Q54">
        <v>100.80247515676554</v>
      </c>
      <c r="R54">
        <v>118.29656247740455</v>
      </c>
      <c r="S54">
        <v>2406</v>
      </c>
      <c r="T54">
        <v>2406</v>
      </c>
    </row>
    <row r="55" spans="1:20" x14ac:dyDescent="0.3">
      <c r="A55">
        <f t="shared" si="1"/>
        <v>49</v>
      </c>
      <c r="B55">
        <v>131.59494680045964</v>
      </c>
      <c r="C55">
        <v>0</v>
      </c>
      <c r="D55">
        <v>0</v>
      </c>
      <c r="E55">
        <v>0</v>
      </c>
      <c r="F55">
        <v>615.59109105161258</v>
      </c>
      <c r="G55">
        <v>241.43616957330343</v>
      </c>
      <c r="H55">
        <v>250.0131297600613</v>
      </c>
      <c r="I55">
        <v>0</v>
      </c>
      <c r="J55">
        <v>114.72295620640631</v>
      </c>
      <c r="K55">
        <v>158.57383662714224</v>
      </c>
      <c r="L55">
        <v>0</v>
      </c>
      <c r="M55">
        <v>0</v>
      </c>
      <c r="N55">
        <v>131.59494680045964</v>
      </c>
      <c r="O55">
        <v>133.96365584286792</v>
      </c>
      <c r="P55">
        <v>135.22243135717693</v>
      </c>
      <c r="Q55">
        <v>131.05906441921661</v>
      </c>
      <c r="R55">
        <v>100.18975267452117</v>
      </c>
      <c r="S55">
        <v>161.42816568643082</v>
      </c>
      <c r="T55">
        <v>121.37688766637788</v>
      </c>
    </row>
    <row r="56" spans="1:20" x14ac:dyDescent="0.3">
      <c r="A56">
        <f t="shared" si="1"/>
        <v>50</v>
      </c>
      <c r="B56">
        <v>109.79538194877965</v>
      </c>
      <c r="C56">
        <v>0</v>
      </c>
      <c r="D56">
        <v>0</v>
      </c>
      <c r="E56">
        <v>0</v>
      </c>
      <c r="F56">
        <v>633.6716653073629</v>
      </c>
      <c r="G56">
        <v>198.14874434236526</v>
      </c>
      <c r="H56">
        <v>283.70427899088736</v>
      </c>
      <c r="I56">
        <v>0</v>
      </c>
      <c r="J56">
        <v>100.59121616002713</v>
      </c>
      <c r="K56">
        <v>161.1123422957042</v>
      </c>
      <c r="L56">
        <v>0</v>
      </c>
      <c r="M56">
        <v>0</v>
      </c>
      <c r="N56">
        <v>109.79538194877965</v>
      </c>
      <c r="O56">
        <v>111.77169882385769</v>
      </c>
      <c r="P56">
        <v>163.22473194964283</v>
      </c>
      <c r="Q56">
        <v>101.12420558050074</v>
      </c>
      <c r="R56">
        <v>132.52158645986418</v>
      </c>
      <c r="S56">
        <v>164.01236445702688</v>
      </c>
      <c r="T56">
        <v>106.42550669730871</v>
      </c>
    </row>
    <row r="57" spans="1:20" x14ac:dyDescent="0.3">
      <c r="A57">
        <f t="shared" si="1"/>
        <v>51</v>
      </c>
      <c r="B57">
        <v>160.62338532501377</v>
      </c>
      <c r="C57">
        <v>0</v>
      </c>
      <c r="D57">
        <v>0</v>
      </c>
      <c r="E57">
        <v>0</v>
      </c>
      <c r="F57">
        <v>2752.0657206424162</v>
      </c>
      <c r="G57">
        <v>194.34912152753776</v>
      </c>
      <c r="H57">
        <v>2420.9793795288206</v>
      </c>
      <c r="I57">
        <v>0</v>
      </c>
      <c r="J57">
        <v>94.774825198766862</v>
      </c>
      <c r="K57">
        <v>99.713657812328847</v>
      </c>
      <c r="L57">
        <v>0</v>
      </c>
      <c r="M57">
        <v>0</v>
      </c>
      <c r="N57">
        <v>160.62338532501377</v>
      </c>
      <c r="O57">
        <v>163.51460626086401</v>
      </c>
      <c r="P57">
        <v>186.27440255762207</v>
      </c>
      <c r="Q57">
        <v>103.07258051626661</v>
      </c>
      <c r="R57">
        <v>2406</v>
      </c>
      <c r="S57">
        <v>101.50850365295076</v>
      </c>
      <c r="T57">
        <v>100.27176506029535</v>
      </c>
    </row>
    <row r="58" spans="1:20" x14ac:dyDescent="0.3">
      <c r="A58">
        <f t="shared" si="1"/>
        <v>52</v>
      </c>
      <c r="B58">
        <v>119.03162490221496</v>
      </c>
      <c r="C58">
        <v>0</v>
      </c>
      <c r="D58">
        <v>0</v>
      </c>
      <c r="E58">
        <v>0</v>
      </c>
      <c r="F58">
        <v>1359.5270256770282</v>
      </c>
      <c r="G58">
        <v>242.64722958522526</v>
      </c>
      <c r="H58">
        <v>202.49126437958799</v>
      </c>
      <c r="I58">
        <v>0</v>
      </c>
      <c r="J58">
        <v>95.033331956675994</v>
      </c>
      <c r="K58">
        <v>101.6997543654997</v>
      </c>
      <c r="L58">
        <v>0</v>
      </c>
      <c r="M58">
        <v>0</v>
      </c>
      <c r="N58">
        <v>119.03162490221496</v>
      </c>
      <c r="O58">
        <v>121.17419415045482</v>
      </c>
      <c r="P58">
        <v>938.86001817440172</v>
      </c>
      <c r="Q58">
        <v>151.98154776108333</v>
      </c>
      <c r="R58">
        <v>107.87870426737386</v>
      </c>
      <c r="S58">
        <v>103.53034994407869</v>
      </c>
      <c r="T58">
        <v>100.54526521016321</v>
      </c>
    </row>
    <row r="59" spans="1:20" x14ac:dyDescent="0.3">
      <c r="A59">
        <f t="shared" si="1"/>
        <v>53</v>
      </c>
      <c r="B59">
        <v>105.96835790389957</v>
      </c>
      <c r="C59">
        <v>0</v>
      </c>
      <c r="D59">
        <v>0</v>
      </c>
      <c r="E59">
        <v>0</v>
      </c>
      <c r="F59">
        <v>548.96970168915357</v>
      </c>
      <c r="G59">
        <v>234.44559528660682</v>
      </c>
      <c r="H59">
        <v>222.73414895346895</v>
      </c>
      <c r="I59">
        <v>0</v>
      </c>
      <c r="J59">
        <v>131.1375130059144</v>
      </c>
      <c r="K59">
        <v>98.71884590888142</v>
      </c>
      <c r="L59">
        <v>0</v>
      </c>
      <c r="M59">
        <v>0</v>
      </c>
      <c r="N59">
        <v>105.96835790389957</v>
      </c>
      <c r="O59">
        <v>107.87578834616977</v>
      </c>
      <c r="P59">
        <v>101.67141207948248</v>
      </c>
      <c r="Q59">
        <v>107.52810299585138</v>
      </c>
      <c r="R59">
        <v>131.81099825795894</v>
      </c>
      <c r="S59">
        <v>100.49578513524129</v>
      </c>
      <c r="T59">
        <v>138.74348876025746</v>
      </c>
    </row>
    <row r="60" spans="1:20" x14ac:dyDescent="0.3">
      <c r="A60">
        <f t="shared" si="1"/>
        <v>54</v>
      </c>
      <c r="B60">
        <v>117.70670738341174</v>
      </c>
      <c r="C60">
        <v>0</v>
      </c>
      <c r="D60">
        <v>0</v>
      </c>
      <c r="E60">
        <v>0</v>
      </c>
      <c r="F60">
        <v>767.43013149298554</v>
      </c>
      <c r="G60">
        <v>196.50581932342743</v>
      </c>
      <c r="H60">
        <v>479.67562634009028</v>
      </c>
      <c r="I60">
        <v>0</v>
      </c>
      <c r="J60">
        <v>98.762718247602038</v>
      </c>
      <c r="K60">
        <v>134.98653108155736</v>
      </c>
      <c r="L60">
        <v>0</v>
      </c>
      <c r="M60">
        <v>0</v>
      </c>
      <c r="N60">
        <v>117.70670738341174</v>
      </c>
      <c r="O60">
        <v>119.82542811631315</v>
      </c>
      <c r="P60">
        <v>105.06242819634153</v>
      </c>
      <c r="Q60">
        <v>101.28020582364709</v>
      </c>
      <c r="R60">
        <v>361.47774218043605</v>
      </c>
      <c r="S60">
        <v>137.4162886410254</v>
      </c>
      <c r="T60">
        <v>104.49095590596296</v>
      </c>
    </row>
    <row r="61" spans="1:20" x14ac:dyDescent="0.3">
      <c r="A61">
        <f t="shared" si="1"/>
        <v>55</v>
      </c>
      <c r="B61">
        <v>110.23837613887871</v>
      </c>
      <c r="C61">
        <v>0</v>
      </c>
      <c r="D61">
        <v>0</v>
      </c>
      <c r="E61">
        <v>0</v>
      </c>
      <c r="F61">
        <v>582.2561493282459</v>
      </c>
      <c r="G61">
        <v>240.53971330473703</v>
      </c>
      <c r="H61">
        <v>246.06121504286347</v>
      </c>
      <c r="I61">
        <v>0</v>
      </c>
      <c r="J61">
        <v>104.77420402726415</v>
      </c>
      <c r="K61">
        <v>123.04865734698393</v>
      </c>
      <c r="L61">
        <v>0</v>
      </c>
      <c r="M61">
        <v>0</v>
      </c>
      <c r="N61">
        <v>110.23837613887871</v>
      </c>
      <c r="O61">
        <v>112.22266690937852</v>
      </c>
      <c r="P61">
        <v>106.13583166855378</v>
      </c>
      <c r="Q61">
        <v>140.09522411695818</v>
      </c>
      <c r="R61">
        <v>131.62470022237972</v>
      </c>
      <c r="S61">
        <v>125.26353317922964</v>
      </c>
      <c r="T61">
        <v>110.85110786084549</v>
      </c>
    </row>
    <row r="62" spans="1:20" x14ac:dyDescent="0.3">
      <c r="A62">
        <f t="shared" si="1"/>
        <v>56</v>
      </c>
      <c r="B62">
        <v>101.8058410825379</v>
      </c>
      <c r="C62">
        <v>0</v>
      </c>
      <c r="D62">
        <v>0</v>
      </c>
      <c r="E62">
        <v>0</v>
      </c>
      <c r="F62">
        <v>541.53917900693671</v>
      </c>
      <c r="G62">
        <v>203.72030626771723</v>
      </c>
      <c r="H62">
        <v>226.20239078361038</v>
      </c>
      <c r="I62">
        <v>0</v>
      </c>
      <c r="J62">
        <v>96.117641362792739</v>
      </c>
      <c r="K62">
        <v>120.20956973863773</v>
      </c>
      <c r="L62">
        <v>0</v>
      </c>
      <c r="M62">
        <v>0</v>
      </c>
      <c r="N62">
        <v>101.8058410825379</v>
      </c>
      <c r="O62">
        <v>103.63834622202357</v>
      </c>
      <c r="P62">
        <v>121.36418717773401</v>
      </c>
      <c r="Q62">
        <v>111.26963041774343</v>
      </c>
      <c r="R62">
        <v>113.90990472239902</v>
      </c>
      <c r="S62">
        <v>122.37334199393321</v>
      </c>
      <c r="T62">
        <v>101.69246456183473</v>
      </c>
    </row>
    <row r="63" spans="1:20" x14ac:dyDescent="0.3">
      <c r="A63">
        <f t="shared" si="1"/>
        <v>57</v>
      </c>
      <c r="B63">
        <v>112.98891660874814</v>
      </c>
      <c r="C63">
        <v>0</v>
      </c>
      <c r="D63">
        <v>0</v>
      </c>
      <c r="E63">
        <v>0</v>
      </c>
      <c r="F63">
        <v>701.3087442709932</v>
      </c>
      <c r="G63">
        <v>289.00673126375648</v>
      </c>
      <c r="H63">
        <v>316.48127707436777</v>
      </c>
      <c r="I63">
        <v>0</v>
      </c>
      <c r="J63">
        <v>96.852119692984331</v>
      </c>
      <c r="K63">
        <v>221.94263206862377</v>
      </c>
      <c r="L63">
        <v>0</v>
      </c>
      <c r="M63">
        <v>0</v>
      </c>
      <c r="N63">
        <v>112.98891660874814</v>
      </c>
      <c r="O63">
        <v>115.0227171077056</v>
      </c>
      <c r="P63">
        <v>108.4442933297468</v>
      </c>
      <c r="Q63">
        <v>197.35673273351978</v>
      </c>
      <c r="R63">
        <v>105.61548970334688</v>
      </c>
      <c r="S63">
        <v>225.93759944585901</v>
      </c>
      <c r="T63">
        <v>102.46954263517743</v>
      </c>
    </row>
    <row r="64" spans="1:20" x14ac:dyDescent="0.3">
      <c r="A64">
        <f t="shared" si="1"/>
        <v>58</v>
      </c>
      <c r="B64">
        <v>102.166834826268</v>
      </c>
      <c r="C64">
        <v>0</v>
      </c>
      <c r="D64">
        <v>0</v>
      </c>
      <c r="E64">
        <v>0</v>
      </c>
      <c r="F64">
        <v>891.93818760011095</v>
      </c>
      <c r="G64">
        <v>325.65412301016465</v>
      </c>
      <c r="H64">
        <v>478.52096619758566</v>
      </c>
      <c r="I64">
        <v>0</v>
      </c>
      <c r="J64">
        <v>99.177581745361579</v>
      </c>
      <c r="K64">
        <v>141.82313738246702</v>
      </c>
      <c r="L64">
        <v>0</v>
      </c>
      <c r="M64">
        <v>0</v>
      </c>
      <c r="N64">
        <v>102.166834826268</v>
      </c>
      <c r="O64">
        <v>104.00583785314083</v>
      </c>
      <c r="P64">
        <v>103.81798576916266</v>
      </c>
      <c r="Q64">
        <v>232.33831547898609</v>
      </c>
      <c r="R64">
        <v>353.44606263203411</v>
      </c>
      <c r="S64">
        <v>144.37595385535144</v>
      </c>
      <c r="T64">
        <v>104.92988148659256</v>
      </c>
    </row>
    <row r="65" spans="1:20" x14ac:dyDescent="0.3">
      <c r="A65">
        <f t="shared" si="1"/>
        <v>59</v>
      </c>
      <c r="B65">
        <v>2363.4577603143416</v>
      </c>
      <c r="C65">
        <v>0</v>
      </c>
      <c r="D65">
        <v>0</v>
      </c>
      <c r="E65">
        <v>0</v>
      </c>
      <c r="F65">
        <v>4141.3172267321461</v>
      </c>
      <c r="G65">
        <v>245.3874564040589</v>
      </c>
      <c r="H65">
        <v>3811.1398777531836</v>
      </c>
      <c r="I65">
        <v>0</v>
      </c>
      <c r="J65">
        <v>143.59213921019452</v>
      </c>
      <c r="K65">
        <v>1538.5297734745448</v>
      </c>
      <c r="L65">
        <v>0</v>
      </c>
      <c r="M65">
        <v>0</v>
      </c>
      <c r="N65">
        <v>2363.4577603143416</v>
      </c>
      <c r="O65">
        <v>2406</v>
      </c>
      <c r="P65">
        <v>159.33360265608187</v>
      </c>
      <c r="Q65">
        <v>106.21229140913746</v>
      </c>
      <c r="R65">
        <v>2406</v>
      </c>
      <c r="S65">
        <v>1566.2233093970865</v>
      </c>
      <c r="T65">
        <v>151.92048328438582</v>
      </c>
    </row>
    <row r="66" spans="1:20" x14ac:dyDescent="0.3">
      <c r="A66">
        <f t="shared" si="1"/>
        <v>60</v>
      </c>
      <c r="B66">
        <v>245.83943291818704</v>
      </c>
      <c r="C66">
        <v>0</v>
      </c>
      <c r="D66">
        <v>0</v>
      </c>
      <c r="E66">
        <v>0</v>
      </c>
      <c r="F66">
        <v>490.50239663887862</v>
      </c>
      <c r="G66">
        <v>197.66212185820709</v>
      </c>
      <c r="H66">
        <v>199.99737112168111</v>
      </c>
      <c r="I66">
        <v>0</v>
      </c>
      <c r="J66">
        <v>98.93962336716892</v>
      </c>
      <c r="K66">
        <v>105.04073828059408</v>
      </c>
      <c r="L66">
        <v>0</v>
      </c>
      <c r="M66">
        <v>0</v>
      </c>
      <c r="N66">
        <v>245.83943291818704</v>
      </c>
      <c r="O66">
        <v>250.26454271071441</v>
      </c>
      <c r="P66">
        <v>101.67194679849021</v>
      </c>
      <c r="Q66">
        <v>102.28041668448591</v>
      </c>
      <c r="R66">
        <v>101.95654083034584</v>
      </c>
      <c r="S66">
        <v>106.93147156964478</v>
      </c>
      <c r="T66">
        <v>104.67812152246472</v>
      </c>
    </row>
    <row r="67" spans="1:20" x14ac:dyDescent="0.3">
      <c r="A67">
        <f t="shared" si="1"/>
        <v>61</v>
      </c>
      <c r="B67">
        <v>103.11771240431881</v>
      </c>
      <c r="C67">
        <v>0</v>
      </c>
      <c r="D67">
        <v>0</v>
      </c>
      <c r="E67">
        <v>0</v>
      </c>
      <c r="F67">
        <v>1826.5222313938191</v>
      </c>
      <c r="G67">
        <v>331.59904095238193</v>
      </c>
      <c r="H67">
        <v>214.44635410720483</v>
      </c>
      <c r="I67">
        <v>0</v>
      </c>
      <c r="J67">
        <v>94.811191688600104</v>
      </c>
      <c r="K67">
        <v>99.977360203412729</v>
      </c>
      <c r="L67">
        <v>0</v>
      </c>
      <c r="M67">
        <v>0</v>
      </c>
      <c r="N67">
        <v>103.11771240431881</v>
      </c>
      <c r="O67">
        <v>104.97383122759655</v>
      </c>
      <c r="P67">
        <v>1313.3542364993209</v>
      </c>
      <c r="Q67">
        <v>242.75663200092472</v>
      </c>
      <c r="R67">
        <v>121.97461629754426</v>
      </c>
      <c r="S67">
        <v>101.77695268707416</v>
      </c>
      <c r="T67">
        <v>100.31024080653891</v>
      </c>
    </row>
    <row r="68" spans="1:20" x14ac:dyDescent="0.3">
      <c r="A68">
        <f t="shared" si="1"/>
        <v>62</v>
      </c>
      <c r="B68">
        <v>107.59910240678924</v>
      </c>
      <c r="C68">
        <v>0</v>
      </c>
      <c r="D68">
        <v>0</v>
      </c>
      <c r="E68">
        <v>0</v>
      </c>
      <c r="F68">
        <v>1210.0003291585649</v>
      </c>
      <c r="G68">
        <v>272.60196462392963</v>
      </c>
      <c r="H68">
        <v>213.88163070647124</v>
      </c>
      <c r="I68">
        <v>0</v>
      </c>
      <c r="J68">
        <v>166.55441010510128</v>
      </c>
      <c r="K68">
        <v>107.89791188481161</v>
      </c>
      <c r="L68">
        <v>0</v>
      </c>
      <c r="M68">
        <v>0</v>
      </c>
      <c r="N68">
        <v>107.59910240678924</v>
      </c>
      <c r="O68">
        <v>109.53588625011145</v>
      </c>
      <c r="P68">
        <v>745.29673975301819</v>
      </c>
      <c r="Q68">
        <v>110.95438988205913</v>
      </c>
      <c r="R68">
        <v>113.4695758963861</v>
      </c>
      <c r="S68">
        <v>109.84007429873822</v>
      </c>
      <c r="T68">
        <v>176.21456589119717</v>
      </c>
    </row>
    <row r="69" spans="1:20" x14ac:dyDescent="0.3">
      <c r="A69">
        <f t="shared" si="1"/>
        <v>63</v>
      </c>
      <c r="B69">
        <v>106.57047138884992</v>
      </c>
      <c r="C69">
        <v>0</v>
      </c>
      <c r="D69">
        <v>0</v>
      </c>
      <c r="E69">
        <v>0</v>
      </c>
      <c r="F69">
        <v>651.99287360629864</v>
      </c>
      <c r="G69">
        <v>229.37154898043354</v>
      </c>
      <c r="H69">
        <v>296.13172489942286</v>
      </c>
      <c r="I69">
        <v>0</v>
      </c>
      <c r="J69">
        <v>114.15740434961742</v>
      </c>
      <c r="K69">
        <v>105.42523969092196</v>
      </c>
      <c r="L69">
        <v>0</v>
      </c>
      <c r="M69">
        <v>0</v>
      </c>
      <c r="N69">
        <v>106.57047138884992</v>
      </c>
      <c r="O69">
        <v>108.48873987384923</v>
      </c>
      <c r="P69">
        <v>138.22547145135556</v>
      </c>
      <c r="Q69">
        <v>119.34283251246394</v>
      </c>
      <c r="R69">
        <v>201.07109557998069</v>
      </c>
      <c r="S69">
        <v>107.32289400535855</v>
      </c>
      <c r="T69">
        <v>120.77853380189524</v>
      </c>
    </row>
    <row r="70" spans="1:20" x14ac:dyDescent="0.3">
      <c r="A70">
        <f t="shared" si="1"/>
        <v>64</v>
      </c>
      <c r="B70">
        <v>171.086776006099</v>
      </c>
      <c r="C70">
        <v>0</v>
      </c>
      <c r="D70">
        <v>0</v>
      </c>
      <c r="E70">
        <v>0</v>
      </c>
      <c r="F70">
        <v>1805.8612894994749</v>
      </c>
      <c r="G70">
        <v>200.5891915074929</v>
      </c>
      <c r="H70">
        <v>1494.9657948257195</v>
      </c>
      <c r="I70">
        <v>0</v>
      </c>
      <c r="J70">
        <v>98.188800591341419</v>
      </c>
      <c r="K70">
        <v>198.47946019355123</v>
      </c>
      <c r="L70">
        <v>0</v>
      </c>
      <c r="M70">
        <v>0</v>
      </c>
      <c r="N70">
        <v>171.086776006099</v>
      </c>
      <c r="O70">
        <v>174.16633797420877</v>
      </c>
      <c r="P70">
        <v>142.81180637725299</v>
      </c>
      <c r="Q70">
        <v>106.01099636328637</v>
      </c>
      <c r="R70">
        <v>1348.8101374510684</v>
      </c>
      <c r="S70">
        <v>202.05209047703516</v>
      </c>
      <c r="T70">
        <v>103.88375102563923</v>
      </c>
    </row>
    <row r="71" spans="1:20" x14ac:dyDescent="0.3">
      <c r="A71">
        <f t="shared" si="1"/>
        <v>65</v>
      </c>
      <c r="B71">
        <v>138.22446129614394</v>
      </c>
      <c r="C71">
        <v>0</v>
      </c>
      <c r="D71">
        <v>0</v>
      </c>
      <c r="E71">
        <v>0</v>
      </c>
      <c r="F71">
        <v>749.53849602393711</v>
      </c>
      <c r="G71">
        <v>228.44910142428387</v>
      </c>
      <c r="H71">
        <v>396.05311231287624</v>
      </c>
      <c r="I71">
        <v>0</v>
      </c>
      <c r="J71">
        <v>130.24036178688837</v>
      </c>
      <c r="K71">
        <v>101.56621650909108</v>
      </c>
      <c r="L71">
        <v>0</v>
      </c>
      <c r="M71">
        <v>0</v>
      </c>
      <c r="N71">
        <v>138.22446129614394</v>
      </c>
      <c r="O71">
        <v>140.71250159947454</v>
      </c>
      <c r="P71">
        <v>138.5279752152079</v>
      </c>
      <c r="Q71">
        <v>102.32082346303261</v>
      </c>
      <c r="R71">
        <v>308.34875473473585</v>
      </c>
      <c r="S71">
        <v>103.39440840625471</v>
      </c>
      <c r="T71">
        <v>137.79430277052791</v>
      </c>
    </row>
    <row r="72" spans="1:20" x14ac:dyDescent="0.3">
      <c r="A72">
        <f t="shared" si="1"/>
        <v>66</v>
      </c>
      <c r="B72">
        <v>103.83966336049691</v>
      </c>
      <c r="C72">
        <v>0</v>
      </c>
      <c r="D72">
        <v>0</v>
      </c>
      <c r="E72">
        <v>0</v>
      </c>
      <c r="F72">
        <v>765.50155702911445</v>
      </c>
      <c r="G72">
        <v>196.80393062469943</v>
      </c>
      <c r="H72">
        <v>251.47692597686222</v>
      </c>
      <c r="I72">
        <v>0</v>
      </c>
      <c r="J72">
        <v>97.042028342039018</v>
      </c>
      <c r="K72">
        <v>117.34410048892178</v>
      </c>
      <c r="L72">
        <v>0</v>
      </c>
      <c r="M72">
        <v>0</v>
      </c>
      <c r="N72">
        <v>103.83966336049691</v>
      </c>
      <c r="O72">
        <v>105.70877730098586</v>
      </c>
      <c r="P72">
        <v>330.99972845407694</v>
      </c>
      <c r="Q72">
        <v>103.30437303390502</v>
      </c>
      <c r="R72">
        <v>142.9345178971306</v>
      </c>
      <c r="S72">
        <v>119.45629429772238</v>
      </c>
      <c r="T72">
        <v>102.67046598587729</v>
      </c>
    </row>
    <row r="73" spans="1:20" x14ac:dyDescent="0.3">
      <c r="A73">
        <f t="shared" ref="A73:A106" si="2">A72 + 1</f>
        <v>67</v>
      </c>
      <c r="B73">
        <v>149.38968741197743</v>
      </c>
      <c r="C73">
        <v>0</v>
      </c>
      <c r="D73">
        <v>0</v>
      </c>
      <c r="E73">
        <v>0</v>
      </c>
      <c r="F73">
        <v>2756.9559419255384</v>
      </c>
      <c r="G73">
        <v>2361.5357429823234</v>
      </c>
      <c r="H73">
        <v>234.65502021845975</v>
      </c>
      <c r="I73">
        <v>0</v>
      </c>
      <c r="J73">
        <v>2274.1020793950852</v>
      </c>
      <c r="K73">
        <v>102.82256943242278</v>
      </c>
      <c r="L73">
        <v>0</v>
      </c>
      <c r="M73">
        <v>0</v>
      </c>
      <c r="N73">
        <v>149.38968741197743</v>
      </c>
      <c r="O73">
        <v>152.07870178539304</v>
      </c>
      <c r="P73">
        <v>210.39038567941478</v>
      </c>
      <c r="Q73">
        <v>129.94130696092029</v>
      </c>
      <c r="R73">
        <v>140.04537649368302</v>
      </c>
      <c r="S73">
        <v>104.6733756822064</v>
      </c>
      <c r="T73">
        <v>2406</v>
      </c>
    </row>
    <row r="74" spans="1:20" x14ac:dyDescent="0.3">
      <c r="A74">
        <f t="shared" si="2"/>
        <v>68</v>
      </c>
      <c r="B74">
        <v>2363.4577603143416</v>
      </c>
      <c r="C74">
        <v>0</v>
      </c>
      <c r="D74">
        <v>0</v>
      </c>
      <c r="E74">
        <v>0</v>
      </c>
      <c r="F74">
        <v>4248.554329900142</v>
      </c>
      <c r="G74">
        <v>2381.3848112221999</v>
      </c>
      <c r="H74">
        <v>1843.2906713517762</v>
      </c>
      <c r="I74">
        <v>0</v>
      </c>
      <c r="J74">
        <v>2274.1020793950852</v>
      </c>
      <c r="K74">
        <v>730.20300304400723</v>
      </c>
      <c r="L74">
        <v>0</v>
      </c>
      <c r="M74">
        <v>0</v>
      </c>
      <c r="N74">
        <v>2363.4577603143416</v>
      </c>
      <c r="O74">
        <v>2406</v>
      </c>
      <c r="P74">
        <v>100.35282526436839</v>
      </c>
      <c r="Q74">
        <v>150.14765842911456</v>
      </c>
      <c r="R74">
        <v>1177.602841805081</v>
      </c>
      <c r="S74">
        <v>743.34665709879937</v>
      </c>
      <c r="T74">
        <v>2406</v>
      </c>
    </row>
    <row r="75" spans="1:20" x14ac:dyDescent="0.3">
      <c r="A75">
        <f t="shared" si="2"/>
        <v>69</v>
      </c>
      <c r="B75">
        <v>98.437482415358687</v>
      </c>
      <c r="C75">
        <v>0</v>
      </c>
      <c r="D75">
        <v>0</v>
      </c>
      <c r="E75">
        <v>0</v>
      </c>
      <c r="F75">
        <v>3150.7763608626146</v>
      </c>
      <c r="G75">
        <v>488.58382824838543</v>
      </c>
      <c r="H75">
        <v>312.90650710975603</v>
      </c>
      <c r="I75">
        <v>0</v>
      </c>
      <c r="J75">
        <v>103.76424205948015</v>
      </c>
      <c r="K75">
        <v>220.7597757269495</v>
      </c>
      <c r="L75">
        <v>0</v>
      </c>
      <c r="M75">
        <v>0</v>
      </c>
      <c r="N75">
        <v>98.437482415358687</v>
      </c>
      <c r="O75">
        <v>100.20935709883514</v>
      </c>
      <c r="P75">
        <v>2406</v>
      </c>
      <c r="Q75">
        <v>393.61409509737626</v>
      </c>
      <c r="R75">
        <v>103.09845913164796</v>
      </c>
      <c r="S75">
        <v>224.7334516900346</v>
      </c>
      <c r="T75">
        <v>109.78256809893001</v>
      </c>
    </row>
    <row r="76" spans="1:20" x14ac:dyDescent="0.3">
      <c r="A76">
        <f t="shared" si="2"/>
        <v>70</v>
      </c>
      <c r="B76">
        <v>98.886355969409138</v>
      </c>
      <c r="C76">
        <v>0</v>
      </c>
      <c r="D76">
        <v>0</v>
      </c>
      <c r="E76">
        <v>0</v>
      </c>
      <c r="F76">
        <v>655.35612662148765</v>
      </c>
      <c r="G76">
        <v>306.48476480907766</v>
      </c>
      <c r="H76">
        <v>249.3729788246136</v>
      </c>
      <c r="I76">
        <v>0</v>
      </c>
      <c r="J76">
        <v>97.341887030088415</v>
      </c>
      <c r="K76">
        <v>139.15726470266694</v>
      </c>
      <c r="L76">
        <v>0</v>
      </c>
      <c r="M76">
        <v>0</v>
      </c>
      <c r="N76">
        <v>98.886355969409138</v>
      </c>
      <c r="O76">
        <v>100.6663103768585</v>
      </c>
      <c r="P76">
        <v>111.29479326698313</v>
      </c>
      <c r="Q76">
        <v>214.65960354555267</v>
      </c>
      <c r="R76">
        <v>118.94376838080811</v>
      </c>
      <c r="S76">
        <v>141.66209546731494</v>
      </c>
      <c r="T76">
        <v>102.98771647783356</v>
      </c>
    </row>
    <row r="77" spans="1:20" x14ac:dyDescent="0.3">
      <c r="A77">
        <f t="shared" si="2"/>
        <v>71</v>
      </c>
      <c r="B77">
        <v>100.84037810528602</v>
      </c>
      <c r="C77">
        <v>0</v>
      </c>
      <c r="D77">
        <v>0</v>
      </c>
      <c r="E77">
        <v>0</v>
      </c>
      <c r="F77">
        <v>1531.9663622751855</v>
      </c>
      <c r="G77">
        <v>369.88431598685298</v>
      </c>
      <c r="H77">
        <v>227.89648885723386</v>
      </c>
      <c r="I77">
        <v>0</v>
      </c>
      <c r="J77">
        <v>246.43109612633091</v>
      </c>
      <c r="K77">
        <v>108.33120617459757</v>
      </c>
      <c r="L77">
        <v>0</v>
      </c>
      <c r="M77">
        <v>0</v>
      </c>
      <c r="N77">
        <v>100.84037810528602</v>
      </c>
      <c r="O77">
        <v>102.65550491118117</v>
      </c>
      <c r="P77">
        <v>961.7609519520521</v>
      </c>
      <c r="Q77">
        <v>130.11113754828546</v>
      </c>
      <c r="R77">
        <v>127.54165979263948</v>
      </c>
      <c r="S77">
        <v>110.28116788574033</v>
      </c>
      <c r="T77">
        <v>260.72409970165813</v>
      </c>
    </row>
    <row r="78" spans="1:20" x14ac:dyDescent="0.3">
      <c r="A78">
        <f t="shared" si="2"/>
        <v>72</v>
      </c>
      <c r="B78">
        <v>109.58262019640348</v>
      </c>
      <c r="C78">
        <v>0</v>
      </c>
      <c r="D78">
        <v>0</v>
      </c>
      <c r="E78">
        <v>0</v>
      </c>
      <c r="F78">
        <v>620.82189611648062</v>
      </c>
      <c r="G78">
        <v>248.17051967263114</v>
      </c>
      <c r="H78">
        <v>281.07327821187704</v>
      </c>
      <c r="I78">
        <v>0</v>
      </c>
      <c r="J78">
        <v>150.05852821621352</v>
      </c>
      <c r="K78">
        <v>129.2554204111479</v>
      </c>
      <c r="L78">
        <v>0</v>
      </c>
      <c r="M78">
        <v>0</v>
      </c>
      <c r="N78">
        <v>109.58262019640348</v>
      </c>
      <c r="O78">
        <v>111.55510735993875</v>
      </c>
      <c r="P78">
        <v>102.75289236206908</v>
      </c>
      <c r="Q78">
        <v>102.57906081052499</v>
      </c>
      <c r="R78">
        <v>161.65542253814482</v>
      </c>
      <c r="S78">
        <v>131.58201797854855</v>
      </c>
      <c r="T78">
        <v>158.76192285275391</v>
      </c>
    </row>
    <row r="79" spans="1:20" x14ac:dyDescent="0.3">
      <c r="A79">
        <f t="shared" si="2"/>
        <v>73</v>
      </c>
      <c r="B79">
        <v>111.08782553505674</v>
      </c>
      <c r="C79">
        <v>0</v>
      </c>
      <c r="D79">
        <v>0</v>
      </c>
      <c r="E79">
        <v>0</v>
      </c>
      <c r="F79">
        <v>2682.7492397600131</v>
      </c>
      <c r="G79">
        <v>213.32584178637003</v>
      </c>
      <c r="H79">
        <v>2415.8003303042242</v>
      </c>
      <c r="I79">
        <v>0</v>
      </c>
      <c r="J79">
        <v>107.74973983899464</v>
      </c>
      <c r="K79">
        <v>2363.4577603143416</v>
      </c>
      <c r="L79">
        <v>0</v>
      </c>
      <c r="M79">
        <v>0</v>
      </c>
      <c r="N79">
        <v>111.08782553505674</v>
      </c>
      <c r="O79">
        <v>113.08740639468776</v>
      </c>
      <c r="P79">
        <v>101.91255398509965</v>
      </c>
      <c r="Q79">
        <v>109.41596709953008</v>
      </c>
      <c r="R79">
        <v>136.89558155053001</v>
      </c>
      <c r="S79">
        <v>2406</v>
      </c>
      <c r="T79">
        <v>113.99922474965635</v>
      </c>
    </row>
    <row r="80" spans="1:20" x14ac:dyDescent="0.3">
      <c r="A80">
        <f t="shared" si="2"/>
        <v>74</v>
      </c>
      <c r="B80">
        <v>181.23041636764685</v>
      </c>
      <c r="C80">
        <v>0</v>
      </c>
      <c r="D80">
        <v>0</v>
      </c>
      <c r="E80">
        <v>0</v>
      </c>
      <c r="F80">
        <v>821.78188331933302</v>
      </c>
      <c r="G80">
        <v>521.20608781066699</v>
      </c>
      <c r="H80">
        <v>210.30543247043173</v>
      </c>
      <c r="I80">
        <v>0</v>
      </c>
      <c r="J80">
        <v>199.70170190417338</v>
      </c>
      <c r="K80">
        <v>110.8483569679469</v>
      </c>
      <c r="L80">
        <v>0</v>
      </c>
      <c r="M80">
        <v>0</v>
      </c>
      <c r="N80">
        <v>181.23041636764685</v>
      </c>
      <c r="O80">
        <v>184.49256386226449</v>
      </c>
      <c r="P80">
        <v>105.06243693798241</v>
      </c>
      <c r="Q80">
        <v>330.88609548708564</v>
      </c>
      <c r="R80">
        <v>106.81776563894992</v>
      </c>
      <c r="S80">
        <v>112.84362739336994</v>
      </c>
      <c r="T80">
        <v>211.28440061461544</v>
      </c>
    </row>
    <row r="81" spans="1:20" x14ac:dyDescent="0.3">
      <c r="A81">
        <f t="shared" si="2"/>
        <v>75</v>
      </c>
      <c r="B81">
        <v>110.6837672283265</v>
      </c>
      <c r="C81">
        <v>0</v>
      </c>
      <c r="D81">
        <v>0</v>
      </c>
      <c r="E81">
        <v>0</v>
      </c>
      <c r="F81">
        <v>1616.3037957591487</v>
      </c>
      <c r="G81">
        <v>193.00227894704693</v>
      </c>
      <c r="H81">
        <v>284.37790005703096</v>
      </c>
      <c r="I81">
        <v>0</v>
      </c>
      <c r="J81">
        <v>94.705746684227364</v>
      </c>
      <c r="K81">
        <v>173.84943543548007</v>
      </c>
      <c r="L81">
        <v>0</v>
      </c>
      <c r="M81">
        <v>0</v>
      </c>
      <c r="N81">
        <v>110.6837672283265</v>
      </c>
      <c r="O81">
        <v>112.67607503843638</v>
      </c>
      <c r="P81">
        <v>1168.0170850787356</v>
      </c>
      <c r="Q81">
        <v>101.77057328386645</v>
      </c>
      <c r="R81">
        <v>120.48169112354692</v>
      </c>
      <c r="S81">
        <v>176.97872527331873</v>
      </c>
      <c r="T81">
        <v>100.19867999191257</v>
      </c>
    </row>
    <row r="82" spans="1:20" x14ac:dyDescent="0.3">
      <c r="A82">
        <f t="shared" si="2"/>
        <v>76</v>
      </c>
      <c r="B82">
        <v>804.60275627233102</v>
      </c>
      <c r="C82">
        <v>0</v>
      </c>
      <c r="D82">
        <v>0</v>
      </c>
      <c r="E82">
        <v>0</v>
      </c>
      <c r="F82">
        <v>3100.6862578428486</v>
      </c>
      <c r="G82">
        <v>360.01138284168701</v>
      </c>
      <c r="H82">
        <v>390.48722764233264</v>
      </c>
      <c r="I82">
        <v>0</v>
      </c>
      <c r="J82">
        <v>264.64082951843994</v>
      </c>
      <c r="K82">
        <v>115.95634274616933</v>
      </c>
      <c r="L82">
        <v>0</v>
      </c>
      <c r="M82">
        <v>0</v>
      </c>
      <c r="N82">
        <v>804.60275627233102</v>
      </c>
      <c r="O82">
        <v>819.08560588523301</v>
      </c>
      <c r="P82">
        <v>2406</v>
      </c>
      <c r="Q82">
        <v>101.85075821439749</v>
      </c>
      <c r="R82">
        <v>288.19793786364494</v>
      </c>
      <c r="S82">
        <v>118.04355691560038</v>
      </c>
      <c r="T82">
        <v>279.98999763050949</v>
      </c>
    </row>
    <row r="83" spans="1:20" x14ac:dyDescent="0.3">
      <c r="A83">
        <f t="shared" si="2"/>
        <v>77</v>
      </c>
      <c r="B83">
        <v>107.17947381330823</v>
      </c>
      <c r="C83">
        <v>0</v>
      </c>
      <c r="D83">
        <v>0</v>
      </c>
      <c r="E83">
        <v>0</v>
      </c>
      <c r="F83">
        <v>1188.3447505386255</v>
      </c>
      <c r="G83">
        <v>363.94338015173037</v>
      </c>
      <c r="H83">
        <v>615.73954649943084</v>
      </c>
      <c r="I83">
        <v>0</v>
      </c>
      <c r="J83">
        <v>261.96772706597864</v>
      </c>
      <c r="K83">
        <v>526.74781792998999</v>
      </c>
      <c r="L83">
        <v>0</v>
      </c>
      <c r="M83">
        <v>0</v>
      </c>
      <c r="N83">
        <v>107.17947381330823</v>
      </c>
      <c r="O83">
        <v>109.10870434194779</v>
      </c>
      <c r="P83">
        <v>230.05202939715957</v>
      </c>
      <c r="Q83">
        <v>108.52663392848291</v>
      </c>
      <c r="R83">
        <v>110.54261269692091</v>
      </c>
      <c r="S83">
        <v>536.22927865272982</v>
      </c>
      <c r="T83">
        <v>277.16185523580543</v>
      </c>
    </row>
    <row r="84" spans="1:20" x14ac:dyDescent="0.3">
      <c r="A84">
        <f t="shared" si="2"/>
        <v>78</v>
      </c>
      <c r="B84">
        <v>246.70220102825888</v>
      </c>
      <c r="C84">
        <v>0</v>
      </c>
      <c r="D84">
        <v>0</v>
      </c>
      <c r="E84">
        <v>0</v>
      </c>
      <c r="F84">
        <v>1476.8835007449759</v>
      </c>
      <c r="G84">
        <v>201.1602748940571</v>
      </c>
      <c r="H84">
        <v>1198.7289246609046</v>
      </c>
      <c r="I84">
        <v>0</v>
      </c>
      <c r="J84">
        <v>102.83222089955525</v>
      </c>
      <c r="K84">
        <v>1140.0822817002102</v>
      </c>
      <c r="L84">
        <v>0</v>
      </c>
      <c r="M84">
        <v>0</v>
      </c>
      <c r="N84">
        <v>246.70220102825888</v>
      </c>
      <c r="O84">
        <v>251.14284064676755</v>
      </c>
      <c r="P84">
        <v>103.57820420342381</v>
      </c>
      <c r="Q84">
        <v>101.94893894259489</v>
      </c>
      <c r="R84">
        <v>100.60215532382614</v>
      </c>
      <c r="S84">
        <v>1160.603762770814</v>
      </c>
      <c r="T84">
        <v>108.79648971172946</v>
      </c>
    </row>
    <row r="85" spans="1:20" x14ac:dyDescent="0.3">
      <c r="A85">
        <f t="shared" si="2"/>
        <v>79</v>
      </c>
      <c r="B85">
        <v>122.29613483165302</v>
      </c>
      <c r="C85">
        <v>0</v>
      </c>
      <c r="D85">
        <v>0</v>
      </c>
      <c r="E85">
        <v>0</v>
      </c>
      <c r="F85">
        <v>1207.4586542459185</v>
      </c>
      <c r="G85">
        <v>456.96865395647905</v>
      </c>
      <c r="H85">
        <v>196.12574107324008</v>
      </c>
      <c r="I85">
        <v>0</v>
      </c>
      <c r="J85">
        <v>261.85620665985107</v>
      </c>
      <c r="K85">
        <v>100.62964371358346</v>
      </c>
      <c r="L85">
        <v>0</v>
      </c>
      <c r="M85">
        <v>0</v>
      </c>
      <c r="N85">
        <v>122.29613483165302</v>
      </c>
      <c r="O85">
        <v>124.49746525862278</v>
      </c>
      <c r="P85">
        <v>576.09851499262595</v>
      </c>
      <c r="Q85">
        <v>203.3378830678447</v>
      </c>
      <c r="R85">
        <v>102.36049829722002</v>
      </c>
      <c r="S85">
        <v>102.44097730042796</v>
      </c>
      <c r="T85">
        <v>277.04386664612247</v>
      </c>
    </row>
    <row r="86" spans="1:20" x14ac:dyDescent="0.3">
      <c r="A86">
        <f t="shared" si="2"/>
        <v>80</v>
      </c>
      <c r="B86">
        <v>109.26867697980668</v>
      </c>
      <c r="C86">
        <v>0</v>
      </c>
      <c r="D86">
        <v>0</v>
      </c>
      <c r="E86">
        <v>0</v>
      </c>
      <c r="F86">
        <v>562.4967886945883</v>
      </c>
      <c r="G86">
        <v>249.24438257948475</v>
      </c>
      <c r="H86">
        <v>202.81634503795158</v>
      </c>
      <c r="I86">
        <v>0</v>
      </c>
      <c r="J86">
        <v>149.81138026381319</v>
      </c>
      <c r="K86">
        <v>108.04173419005484</v>
      </c>
      <c r="L86">
        <v>0</v>
      </c>
      <c r="M86">
        <v>0</v>
      </c>
      <c r="N86">
        <v>109.26867697980668</v>
      </c>
      <c r="O86">
        <v>111.23551316544321</v>
      </c>
      <c r="P86">
        <v>120.56100327365462</v>
      </c>
      <c r="Q86">
        <v>103.91940120210232</v>
      </c>
      <c r="R86">
        <v>101.87318292422502</v>
      </c>
      <c r="S86">
        <v>109.98648540547583</v>
      </c>
      <c r="T86">
        <v>158.50044031911438</v>
      </c>
    </row>
    <row r="87" spans="1:20" x14ac:dyDescent="0.3">
      <c r="A87">
        <f t="shared" si="2"/>
        <v>81</v>
      </c>
      <c r="B87">
        <v>102.03248289696711</v>
      </c>
      <c r="C87">
        <v>0</v>
      </c>
      <c r="D87">
        <v>0</v>
      </c>
      <c r="E87">
        <v>0</v>
      </c>
      <c r="F87">
        <v>5172.5428058133602</v>
      </c>
      <c r="G87">
        <v>2560.2023611929108</v>
      </c>
      <c r="H87">
        <v>2595.9396358376907</v>
      </c>
      <c r="I87">
        <v>0</v>
      </c>
      <c r="J87">
        <v>2274.1020793950852</v>
      </c>
      <c r="K87">
        <v>280.79752309200984</v>
      </c>
      <c r="L87">
        <v>0</v>
      </c>
      <c r="M87">
        <v>0</v>
      </c>
      <c r="N87">
        <v>102.03248289696711</v>
      </c>
      <c r="O87">
        <v>103.86906758911252</v>
      </c>
      <c r="P87">
        <v>109.50657928739906</v>
      </c>
      <c r="Q87">
        <v>332.18392429929827</v>
      </c>
      <c r="R87">
        <v>2406</v>
      </c>
      <c r="S87">
        <v>285.85187850766602</v>
      </c>
      <c r="T87">
        <v>2406</v>
      </c>
    </row>
    <row r="88" spans="1:20" x14ac:dyDescent="0.3">
      <c r="A88">
        <f t="shared" si="2"/>
        <v>82</v>
      </c>
      <c r="B88">
        <v>298.76928308857094</v>
      </c>
      <c r="C88">
        <v>0</v>
      </c>
      <c r="D88">
        <v>0</v>
      </c>
      <c r="E88">
        <v>0</v>
      </c>
      <c r="F88">
        <v>568.42725685168671</v>
      </c>
      <c r="G88">
        <v>200.10431364141169</v>
      </c>
      <c r="H88">
        <v>274.71119911598248</v>
      </c>
      <c r="I88">
        <v>0</v>
      </c>
      <c r="J88">
        <v>99.214098142000935</v>
      </c>
      <c r="K88">
        <v>102.14078956414758</v>
      </c>
      <c r="L88">
        <v>0</v>
      </c>
      <c r="M88">
        <v>0</v>
      </c>
      <c r="N88">
        <v>298.76928308857094</v>
      </c>
      <c r="O88">
        <v>304.14713018416523</v>
      </c>
      <c r="P88">
        <v>103.84343471762297</v>
      </c>
      <c r="Q88">
        <v>104.49209314495617</v>
      </c>
      <c r="R88">
        <v>182.18530152089426</v>
      </c>
      <c r="S88">
        <v>103.97932377630224</v>
      </c>
      <c r="T88">
        <v>104.968515834237</v>
      </c>
    </row>
    <row r="89" spans="1:20" x14ac:dyDescent="0.3">
      <c r="A89">
        <f t="shared" si="2"/>
        <v>83</v>
      </c>
      <c r="B89">
        <v>114.7013903345439</v>
      </c>
      <c r="C89">
        <v>0</v>
      </c>
      <c r="D89">
        <v>0</v>
      </c>
      <c r="E89">
        <v>0</v>
      </c>
      <c r="F89">
        <v>2828.5360888070736</v>
      </c>
      <c r="G89">
        <v>2456.8814777262824</v>
      </c>
      <c r="H89">
        <v>200.0477068048923</v>
      </c>
      <c r="I89">
        <v>0</v>
      </c>
      <c r="J89">
        <v>95.105344325355574</v>
      </c>
      <c r="K89">
        <v>103.72294929703605</v>
      </c>
      <c r="L89">
        <v>0</v>
      </c>
      <c r="M89">
        <v>0</v>
      </c>
      <c r="N89">
        <v>114.7013903345439</v>
      </c>
      <c r="O89">
        <v>116.76601536056569</v>
      </c>
      <c r="P89">
        <v>222.52055387442621</v>
      </c>
      <c r="Q89">
        <v>2406</v>
      </c>
      <c r="R89">
        <v>103.32642724602745</v>
      </c>
      <c r="S89">
        <v>105.5899623843827</v>
      </c>
      <c r="T89">
        <v>100.62145429622622</v>
      </c>
    </row>
    <row r="90" spans="1:20" x14ac:dyDescent="0.3">
      <c r="A90">
        <f t="shared" si="2"/>
        <v>84</v>
      </c>
      <c r="B90">
        <v>132.63224619031044</v>
      </c>
      <c r="C90">
        <v>0</v>
      </c>
      <c r="D90">
        <v>0</v>
      </c>
      <c r="E90">
        <v>0</v>
      </c>
      <c r="F90">
        <v>1277.1452729127864</v>
      </c>
      <c r="G90">
        <v>323.13001462222775</v>
      </c>
      <c r="H90">
        <v>867.70576763067652</v>
      </c>
      <c r="I90">
        <v>0</v>
      </c>
      <c r="J90">
        <v>105.75641683838974</v>
      </c>
      <c r="K90">
        <v>789.74535882423686</v>
      </c>
      <c r="L90">
        <v>0</v>
      </c>
      <c r="M90">
        <v>0</v>
      </c>
      <c r="N90">
        <v>132.63224619031044</v>
      </c>
      <c r="O90">
        <v>135.01962662173602</v>
      </c>
      <c r="P90">
        <v>109.29810557231221</v>
      </c>
      <c r="Q90">
        <v>223.18993804703817</v>
      </c>
      <c r="R90">
        <v>108.3301106735133</v>
      </c>
      <c r="S90">
        <v>803.96077528307308</v>
      </c>
      <c r="T90">
        <v>111.89028901501635</v>
      </c>
    </row>
    <row r="91" spans="1:20" x14ac:dyDescent="0.3">
      <c r="A91">
        <f t="shared" si="2"/>
        <v>85</v>
      </c>
      <c r="B91">
        <v>118.2385330058781</v>
      </c>
      <c r="C91">
        <v>0</v>
      </c>
      <c r="D91">
        <v>0</v>
      </c>
      <c r="E91">
        <v>0</v>
      </c>
      <c r="F91">
        <v>1811.2021368449546</v>
      </c>
      <c r="G91">
        <v>315.27784486406358</v>
      </c>
      <c r="H91">
        <v>555.38047108369528</v>
      </c>
      <c r="I91">
        <v>0</v>
      </c>
      <c r="J91">
        <v>191.67595587582116</v>
      </c>
      <c r="K91">
        <v>98.999697526649911</v>
      </c>
      <c r="L91">
        <v>0</v>
      </c>
      <c r="M91">
        <v>0</v>
      </c>
      <c r="N91">
        <v>118.2385330058781</v>
      </c>
      <c r="O91">
        <v>120.36682659998391</v>
      </c>
      <c r="P91">
        <v>973.14545936040452</v>
      </c>
      <c r="Q91">
        <v>129.2768901957956</v>
      </c>
      <c r="R91">
        <v>475.8190900449747</v>
      </c>
      <c r="S91">
        <v>100.78169208212961</v>
      </c>
      <c r="T91">
        <v>202.79316131661881</v>
      </c>
    </row>
    <row r="92" spans="1:20" x14ac:dyDescent="0.3">
      <c r="A92">
        <f t="shared" si="2"/>
        <v>86</v>
      </c>
      <c r="B92">
        <v>107.19003702024258</v>
      </c>
      <c r="C92">
        <v>0</v>
      </c>
      <c r="D92">
        <v>0</v>
      </c>
      <c r="E92">
        <v>0</v>
      </c>
      <c r="F92">
        <v>1810.217058635312</v>
      </c>
      <c r="G92">
        <v>295.45451160263133</v>
      </c>
      <c r="H92">
        <v>374.87679117788593</v>
      </c>
      <c r="I92">
        <v>0</v>
      </c>
      <c r="J92">
        <v>165.39120650124025</v>
      </c>
      <c r="K92">
        <v>138.01329799883894</v>
      </c>
      <c r="L92">
        <v>0</v>
      </c>
      <c r="M92">
        <v>0</v>
      </c>
      <c r="N92">
        <v>107.19003702024258</v>
      </c>
      <c r="O92">
        <v>109.11945768660695</v>
      </c>
      <c r="P92">
        <v>1172.4696629102302</v>
      </c>
      <c r="Q92">
        <v>135.38148631023844</v>
      </c>
      <c r="R92">
        <v>249.98418087027295</v>
      </c>
      <c r="S92">
        <v>140.49753736281804</v>
      </c>
      <c r="T92">
        <v>174.9838964783122</v>
      </c>
    </row>
    <row r="93" spans="1:20" x14ac:dyDescent="0.3">
      <c r="A93">
        <f t="shared" si="2"/>
        <v>87</v>
      </c>
      <c r="B93">
        <v>127.01332818190872</v>
      </c>
      <c r="C93">
        <v>0</v>
      </c>
      <c r="D93">
        <v>0</v>
      </c>
      <c r="E93">
        <v>0</v>
      </c>
      <c r="F93">
        <v>2722.8595502854382</v>
      </c>
      <c r="G93">
        <v>2471.4971157026866</v>
      </c>
      <c r="H93">
        <v>193.03560886680782</v>
      </c>
      <c r="I93">
        <v>0</v>
      </c>
      <c r="J93">
        <v>109.98406378533538</v>
      </c>
      <c r="K93">
        <v>99.483770639443335</v>
      </c>
      <c r="L93">
        <v>0</v>
      </c>
      <c r="M93">
        <v>0</v>
      </c>
      <c r="N93">
        <v>127.01332818190872</v>
      </c>
      <c r="O93">
        <v>129.29956808918308</v>
      </c>
      <c r="P93">
        <v>107.33829762108174</v>
      </c>
      <c r="Q93">
        <v>2406</v>
      </c>
      <c r="R93">
        <v>100.30808453770273</v>
      </c>
      <c r="S93">
        <v>101.27447851095332</v>
      </c>
      <c r="T93">
        <v>116.36313948488484</v>
      </c>
    </row>
    <row r="94" spans="1:20" x14ac:dyDescent="0.3">
      <c r="A94">
        <f t="shared" si="2"/>
        <v>88</v>
      </c>
      <c r="B94">
        <v>98.842013286352369</v>
      </c>
      <c r="C94">
        <v>0</v>
      </c>
      <c r="D94">
        <v>0</v>
      </c>
      <c r="E94">
        <v>0</v>
      </c>
      <c r="F94">
        <v>2710.0960802592476</v>
      </c>
      <c r="G94">
        <v>271.16412035852204</v>
      </c>
      <c r="H94">
        <v>2381.9680436458825</v>
      </c>
      <c r="I94">
        <v>0</v>
      </c>
      <c r="J94">
        <v>148.59250335291432</v>
      </c>
      <c r="K94">
        <v>2363.4577603143416</v>
      </c>
      <c r="L94">
        <v>0</v>
      </c>
      <c r="M94">
        <v>0</v>
      </c>
      <c r="N94">
        <v>98.842013286352369</v>
      </c>
      <c r="O94">
        <v>100.62116952550672</v>
      </c>
      <c r="P94">
        <v>105.74564569950935</v>
      </c>
      <c r="Q94">
        <v>127.45257117206114</v>
      </c>
      <c r="R94">
        <v>101.87916485914668</v>
      </c>
      <c r="S94">
        <v>2406</v>
      </c>
      <c r="T94">
        <v>157.21086854738337</v>
      </c>
    </row>
    <row r="95" spans="1:20" x14ac:dyDescent="0.3">
      <c r="A95">
        <f t="shared" si="2"/>
        <v>89</v>
      </c>
      <c r="B95">
        <v>590.62354064986107</v>
      </c>
      <c r="C95">
        <v>0</v>
      </c>
      <c r="D95">
        <v>0</v>
      </c>
      <c r="E95">
        <v>0</v>
      </c>
      <c r="F95">
        <v>3543.4503716505219</v>
      </c>
      <c r="G95">
        <v>222.55472580632144</v>
      </c>
      <c r="H95">
        <v>2020.4069120492477</v>
      </c>
      <c r="I95">
        <v>0</v>
      </c>
      <c r="J95">
        <v>126.13831374265526</v>
      </c>
      <c r="K95">
        <v>102.42842371561237</v>
      </c>
      <c r="L95">
        <v>0</v>
      </c>
      <c r="M95">
        <v>0</v>
      </c>
      <c r="N95">
        <v>590.62354064986107</v>
      </c>
      <c r="O95">
        <v>601.25476438155863</v>
      </c>
      <c r="P95">
        <v>1364.2708404846624</v>
      </c>
      <c r="Q95">
        <v>100.42239712817999</v>
      </c>
      <c r="R95">
        <v>1988.6927302553588</v>
      </c>
      <c r="S95">
        <v>104.27213534249339</v>
      </c>
      <c r="T95">
        <v>133.45433593972928</v>
      </c>
    </row>
    <row r="96" spans="1:20" x14ac:dyDescent="0.3">
      <c r="A96">
        <f t="shared" si="2"/>
        <v>90</v>
      </c>
      <c r="B96">
        <v>100.06881550646818</v>
      </c>
      <c r="C96">
        <v>0</v>
      </c>
      <c r="D96">
        <v>0</v>
      </c>
      <c r="E96">
        <v>0</v>
      </c>
      <c r="F96">
        <v>2401.570161392875</v>
      </c>
      <c r="G96">
        <v>1184.5416424387818</v>
      </c>
      <c r="H96">
        <v>230.71509220042594</v>
      </c>
      <c r="I96">
        <v>0</v>
      </c>
      <c r="J96">
        <v>1032.1191576652807</v>
      </c>
      <c r="K96">
        <v>121.00978005269107</v>
      </c>
      <c r="L96">
        <v>0</v>
      </c>
      <c r="M96">
        <v>0</v>
      </c>
      <c r="N96">
        <v>100.06881550646818</v>
      </c>
      <c r="O96">
        <v>101.87005418558461</v>
      </c>
      <c r="P96">
        <v>1029.541689658739</v>
      </c>
      <c r="Q96">
        <v>173.74423433739935</v>
      </c>
      <c r="R96">
        <v>117.78034037474976</v>
      </c>
      <c r="S96">
        <v>123.18795609363951</v>
      </c>
      <c r="T96">
        <v>1091.9820688098671</v>
      </c>
    </row>
    <row r="97" spans="1:20" x14ac:dyDescent="0.3">
      <c r="A97">
        <f t="shared" si="2"/>
        <v>91</v>
      </c>
      <c r="B97">
        <v>324.38356425940702</v>
      </c>
      <c r="C97">
        <v>0</v>
      </c>
      <c r="D97">
        <v>0</v>
      </c>
      <c r="E97">
        <v>0</v>
      </c>
      <c r="F97">
        <v>2821.8808738160787</v>
      </c>
      <c r="G97">
        <v>376.66795668652679</v>
      </c>
      <c r="H97">
        <v>2388.3139438996654</v>
      </c>
      <c r="I97">
        <v>0</v>
      </c>
      <c r="J97">
        <v>125.20066763507822</v>
      </c>
      <c r="K97">
        <v>2363.4577603143416</v>
      </c>
      <c r="L97">
        <v>0</v>
      </c>
      <c r="M97">
        <v>0</v>
      </c>
      <c r="N97">
        <v>324.38356425940702</v>
      </c>
      <c r="O97">
        <v>330.22246841607637</v>
      </c>
      <c r="P97">
        <v>107.6928289585763</v>
      </c>
      <c r="Q97">
        <v>258.24731227180609</v>
      </c>
      <c r="R97">
        <v>108.44717162181186</v>
      </c>
      <c r="S97">
        <v>2406</v>
      </c>
      <c r="T97">
        <v>132.46230635791278</v>
      </c>
    </row>
    <row r="98" spans="1:20" x14ac:dyDescent="0.3">
      <c r="A98">
        <f t="shared" si="2"/>
        <v>92</v>
      </c>
      <c r="B98">
        <v>2363.4577603143416</v>
      </c>
      <c r="C98">
        <v>0</v>
      </c>
      <c r="D98">
        <v>0</v>
      </c>
      <c r="E98">
        <v>0</v>
      </c>
      <c r="F98">
        <v>2847.1522809280509</v>
      </c>
      <c r="G98">
        <v>365.79770144728758</v>
      </c>
      <c r="H98">
        <v>2422.1700232885637</v>
      </c>
      <c r="I98">
        <v>0</v>
      </c>
      <c r="J98">
        <v>256.45140227712812</v>
      </c>
      <c r="K98">
        <v>100.94597410366342</v>
      </c>
      <c r="L98">
        <v>0</v>
      </c>
      <c r="M98">
        <v>0</v>
      </c>
      <c r="N98">
        <v>2363.4577603143416</v>
      </c>
      <c r="O98">
        <v>2406</v>
      </c>
      <c r="P98">
        <v>110.4332972489044</v>
      </c>
      <c r="Q98">
        <v>115.93065779621068</v>
      </c>
      <c r="R98">
        <v>2406</v>
      </c>
      <c r="S98">
        <v>102.76300163752936</v>
      </c>
      <c r="T98">
        <v>271.3255836092016</v>
      </c>
    </row>
    <row r="99" spans="1:20" x14ac:dyDescent="0.3">
      <c r="A99">
        <f t="shared" si="2"/>
        <v>93</v>
      </c>
      <c r="B99">
        <v>902.74968092775384</v>
      </c>
      <c r="C99">
        <v>0</v>
      </c>
      <c r="D99">
        <v>0</v>
      </c>
      <c r="E99">
        <v>0</v>
      </c>
      <c r="F99">
        <v>744.91444512786211</v>
      </c>
      <c r="G99">
        <v>270.8337112010762</v>
      </c>
      <c r="H99">
        <v>373.62412537413769</v>
      </c>
      <c r="I99">
        <v>0</v>
      </c>
      <c r="J99">
        <v>174.28232628009658</v>
      </c>
      <c r="K99">
        <v>285.66663899242508</v>
      </c>
      <c r="L99">
        <v>0</v>
      </c>
      <c r="M99">
        <v>0</v>
      </c>
      <c r="N99">
        <v>902.74968092775384</v>
      </c>
      <c r="O99">
        <v>918.99917518445341</v>
      </c>
      <c r="P99">
        <v>113.86506856494978</v>
      </c>
      <c r="Q99">
        <v>101.42639172259904</v>
      </c>
      <c r="R99">
        <v>101.03433076980737</v>
      </c>
      <c r="S99">
        <v>290.80863849428874</v>
      </c>
      <c r="T99">
        <v>184.39070120434221</v>
      </c>
    </row>
    <row r="100" spans="1:20" x14ac:dyDescent="0.3">
      <c r="A100">
        <f t="shared" si="2"/>
        <v>94</v>
      </c>
      <c r="B100">
        <v>262.40571998166541</v>
      </c>
      <c r="C100">
        <v>0</v>
      </c>
      <c r="D100">
        <v>0</v>
      </c>
      <c r="E100">
        <v>0</v>
      </c>
      <c r="F100">
        <v>2701.5078147890122</v>
      </c>
      <c r="G100">
        <v>196.22674814111065</v>
      </c>
      <c r="H100">
        <v>2411.6202186628348</v>
      </c>
      <c r="I100">
        <v>0</v>
      </c>
      <c r="J100">
        <v>98.650336628083835</v>
      </c>
      <c r="K100">
        <v>98.539912261035695</v>
      </c>
      <c r="L100">
        <v>0</v>
      </c>
      <c r="M100">
        <v>0</v>
      </c>
      <c r="N100">
        <v>262.40571998166541</v>
      </c>
      <c r="O100">
        <v>267.12902294133539</v>
      </c>
      <c r="P100">
        <v>142.28798865126942</v>
      </c>
      <c r="Q100">
        <v>101.10849297956683</v>
      </c>
      <c r="R100">
        <v>2397.4870140549979</v>
      </c>
      <c r="S100">
        <v>100.31363068173434</v>
      </c>
      <c r="T100">
        <v>104.37205615251271</v>
      </c>
    </row>
    <row r="101" spans="1:20" x14ac:dyDescent="0.3">
      <c r="A101">
        <f t="shared" si="2"/>
        <v>95</v>
      </c>
      <c r="B101">
        <v>136.08600529477246</v>
      </c>
      <c r="C101">
        <v>0</v>
      </c>
      <c r="D101">
        <v>0</v>
      </c>
      <c r="E101">
        <v>0</v>
      </c>
      <c r="F101">
        <v>775.04991331507927</v>
      </c>
      <c r="G101">
        <v>198.55412794934887</v>
      </c>
      <c r="H101">
        <v>476.92159819563744</v>
      </c>
      <c r="I101">
        <v>0</v>
      </c>
      <c r="J101">
        <v>98.897322756252592</v>
      </c>
      <c r="K101">
        <v>393.04264977541573</v>
      </c>
      <c r="L101">
        <v>0</v>
      </c>
      <c r="M101">
        <v>0</v>
      </c>
      <c r="N101">
        <v>136.08600529477246</v>
      </c>
      <c r="O101">
        <v>138.53555339007838</v>
      </c>
      <c r="P101">
        <v>113.52508560976436</v>
      </c>
      <c r="Q101">
        <v>103.23077949618458</v>
      </c>
      <c r="R101">
        <v>100.57120435706899</v>
      </c>
      <c r="S101">
        <v>400.11741747137319</v>
      </c>
      <c r="T101">
        <v>104.63336747611525</v>
      </c>
    </row>
    <row r="102" spans="1:20" x14ac:dyDescent="0.3">
      <c r="A102">
        <f t="shared" si="2"/>
        <v>96</v>
      </c>
      <c r="B102">
        <v>100.16765420459825</v>
      </c>
      <c r="C102">
        <v>0</v>
      </c>
      <c r="D102">
        <v>0</v>
      </c>
      <c r="E102">
        <v>0</v>
      </c>
      <c r="F102">
        <v>2810.3799235613014</v>
      </c>
      <c r="G102">
        <v>246.53937107742945</v>
      </c>
      <c r="H102">
        <v>208.42739110797567</v>
      </c>
      <c r="I102">
        <v>0</v>
      </c>
      <c r="J102">
        <v>146.70754565735453</v>
      </c>
      <c r="K102">
        <v>108.70550674837298</v>
      </c>
      <c r="L102">
        <v>0</v>
      </c>
      <c r="M102">
        <v>0</v>
      </c>
      <c r="N102">
        <v>100.16765420459825</v>
      </c>
      <c r="O102">
        <v>101.97067198028103</v>
      </c>
      <c r="P102">
        <v>2406</v>
      </c>
      <c r="Q102">
        <v>104.26953409946864</v>
      </c>
      <c r="R102">
        <v>107.01684304838182</v>
      </c>
      <c r="S102">
        <v>110.6622058698437</v>
      </c>
      <c r="T102">
        <v>155.21658330548109</v>
      </c>
    </row>
    <row r="103" spans="1:20" x14ac:dyDescent="0.3">
      <c r="A103">
        <f t="shared" si="2"/>
        <v>97</v>
      </c>
      <c r="B103">
        <v>719.93584229047497</v>
      </c>
      <c r="C103">
        <v>0</v>
      </c>
      <c r="D103">
        <v>0</v>
      </c>
      <c r="E103">
        <v>0</v>
      </c>
      <c r="F103">
        <v>669.99153254558973</v>
      </c>
      <c r="G103">
        <v>208.77358413845303</v>
      </c>
      <c r="H103">
        <v>370.87203789021811</v>
      </c>
      <c r="I103">
        <v>0</v>
      </c>
      <c r="J103">
        <v>96.423147487669084</v>
      </c>
      <c r="K103">
        <v>103.75749334567392</v>
      </c>
      <c r="L103">
        <v>0</v>
      </c>
      <c r="M103">
        <v>0</v>
      </c>
      <c r="N103">
        <v>719.93584229047497</v>
      </c>
      <c r="O103">
        <v>732.89468745170348</v>
      </c>
      <c r="P103">
        <v>102.4057581027392</v>
      </c>
      <c r="Q103">
        <v>116.10836116527612</v>
      </c>
      <c r="R103">
        <v>280.09506587070177</v>
      </c>
      <c r="S103">
        <v>105.62512822589605</v>
      </c>
      <c r="T103">
        <v>102.0156900419539</v>
      </c>
    </row>
    <row r="104" spans="1:20" x14ac:dyDescent="0.3">
      <c r="A104">
        <f t="shared" si="2"/>
        <v>98</v>
      </c>
      <c r="B104">
        <v>162.81370714376374</v>
      </c>
      <c r="C104">
        <v>0</v>
      </c>
      <c r="D104">
        <v>0</v>
      </c>
      <c r="E104">
        <v>0</v>
      </c>
      <c r="F104">
        <v>625.27358839657575</v>
      </c>
      <c r="G104">
        <v>295.96651701256371</v>
      </c>
      <c r="H104">
        <v>227.55100362418113</v>
      </c>
      <c r="I104">
        <v>0</v>
      </c>
      <c r="J104">
        <v>95.514913004737593</v>
      </c>
      <c r="K104">
        <v>135.40718956776536</v>
      </c>
      <c r="L104">
        <v>0</v>
      </c>
      <c r="M104">
        <v>0</v>
      </c>
      <c r="N104">
        <v>162.81370714376374</v>
      </c>
      <c r="O104">
        <v>165.7443538723515</v>
      </c>
      <c r="P104">
        <v>113.01099235096936</v>
      </c>
      <c r="Q104">
        <v>205.77900131405232</v>
      </c>
      <c r="R104">
        <v>100.10809918326207</v>
      </c>
      <c r="S104">
        <v>137.84451897998514</v>
      </c>
      <c r="T104">
        <v>101.05477795901237</v>
      </c>
    </row>
    <row r="105" spans="1:20" x14ac:dyDescent="0.3">
      <c r="A105">
        <f t="shared" si="2"/>
        <v>99</v>
      </c>
      <c r="B105">
        <v>800.98328235685119</v>
      </c>
      <c r="C105">
        <v>0</v>
      </c>
      <c r="D105">
        <v>0</v>
      </c>
      <c r="E105">
        <v>0</v>
      </c>
      <c r="F105">
        <v>867.53183695692564</v>
      </c>
      <c r="G105">
        <v>191.69062812458378</v>
      </c>
      <c r="H105">
        <v>585.86520712357731</v>
      </c>
      <c r="I105">
        <v>0</v>
      </c>
      <c r="J105">
        <v>94.97348779348772</v>
      </c>
      <c r="K105">
        <v>464.08075920050248</v>
      </c>
      <c r="L105">
        <v>0</v>
      </c>
      <c r="M105">
        <v>0</v>
      </c>
      <c r="N105">
        <v>800.98328235685119</v>
      </c>
      <c r="O105">
        <v>815.40098143927446</v>
      </c>
      <c r="P105">
        <v>105.59157477398936</v>
      </c>
      <c r="Q105">
        <v>100.1675716373386</v>
      </c>
      <c r="R105">
        <v>142.28973017239997</v>
      </c>
      <c r="S105">
        <v>472.43421286611152</v>
      </c>
      <c r="T105">
        <v>100.48195008551002</v>
      </c>
    </row>
    <row r="106" spans="1:20" x14ac:dyDescent="0.3">
      <c r="A106">
        <f t="shared" si="2"/>
        <v>100</v>
      </c>
      <c r="B106">
        <v>110.25606531752041</v>
      </c>
      <c r="C106">
        <v>0</v>
      </c>
      <c r="D106">
        <v>0</v>
      </c>
      <c r="E106">
        <v>0</v>
      </c>
      <c r="F106">
        <v>593.26573329998007</v>
      </c>
      <c r="G106">
        <v>251.44972078491412</v>
      </c>
      <c r="H106">
        <v>251.14849286755145</v>
      </c>
      <c r="I106">
        <v>0</v>
      </c>
      <c r="J106">
        <v>97.046816159255116</v>
      </c>
      <c r="K106">
        <v>151.40620499890059</v>
      </c>
      <c r="L106">
        <v>0</v>
      </c>
      <c r="M106">
        <v>0</v>
      </c>
      <c r="N106">
        <v>110.25606531752041</v>
      </c>
      <c r="O106">
        <v>112.24067449323577</v>
      </c>
      <c r="P106">
        <v>101.34630284691411</v>
      </c>
      <c r="Q106">
        <v>158.92899959978752</v>
      </c>
      <c r="R106">
        <v>108.53248511901515</v>
      </c>
      <c r="S106">
        <v>154.13151668888079</v>
      </c>
      <c r="T106">
        <v>102.67553149649191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05861-321E-488A-B7ED-4B4D3B19FAD7}">
  <dimension ref="A1"/>
  <sheetViews>
    <sheetView workbookViewId="0">
      <selection activeCell="C28" sqref="C28"/>
    </sheetView>
  </sheetViews>
  <sheetFormatPr defaultColWidth="8.77734375"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AE7D4-94B8-4186-879E-5199D7CC7F4C}">
  <sheetPr codeName="Sheet1"/>
  <dimension ref="B2:G14"/>
  <sheetViews>
    <sheetView workbookViewId="0">
      <selection activeCell="F2" sqref="F2"/>
    </sheetView>
  </sheetViews>
  <sheetFormatPr defaultColWidth="8.77734375" defaultRowHeight="14.4" x14ac:dyDescent="0.3"/>
  <cols>
    <col min="3" max="3" width="10.44140625" customWidth="1"/>
  </cols>
  <sheetData>
    <row r="2" spans="2:7" x14ac:dyDescent="0.3">
      <c r="B2" t="s">
        <v>43</v>
      </c>
      <c r="C2" s="5" t="s">
        <v>53</v>
      </c>
      <c r="E2" s="33" t="s">
        <v>43</v>
      </c>
      <c r="F2" s="1" t="s">
        <v>34</v>
      </c>
      <c r="G2" s="33"/>
    </row>
    <row r="3" spans="2:7" x14ac:dyDescent="0.3">
      <c r="B3">
        <v>1</v>
      </c>
      <c r="C3">
        <v>107</v>
      </c>
      <c r="E3">
        <v>9</v>
      </c>
      <c r="F3">
        <v>101</v>
      </c>
    </row>
    <row r="4" spans="2:7" x14ac:dyDescent="0.3">
      <c r="B4">
        <v>2</v>
      </c>
      <c r="C4">
        <v>126</v>
      </c>
      <c r="E4">
        <v>12</v>
      </c>
      <c r="F4">
        <v>103</v>
      </c>
    </row>
    <row r="5" spans="2:7" x14ac:dyDescent="0.3">
      <c r="B5">
        <v>3</v>
      </c>
      <c r="C5">
        <v>118</v>
      </c>
      <c r="E5">
        <v>4</v>
      </c>
      <c r="F5">
        <v>106</v>
      </c>
    </row>
    <row r="6" spans="2:7" x14ac:dyDescent="0.3">
      <c r="B6">
        <v>4</v>
      </c>
      <c r="C6">
        <v>106</v>
      </c>
      <c r="E6">
        <v>1</v>
      </c>
      <c r="F6">
        <v>107</v>
      </c>
    </row>
    <row r="7" spans="2:7" x14ac:dyDescent="0.3">
      <c r="B7">
        <v>5</v>
      </c>
      <c r="C7">
        <v>108</v>
      </c>
      <c r="E7">
        <v>5</v>
      </c>
      <c r="F7">
        <v>108</v>
      </c>
    </row>
    <row r="8" spans="2:7" x14ac:dyDescent="0.3">
      <c r="B8">
        <v>6</v>
      </c>
      <c r="C8">
        <v>675</v>
      </c>
      <c r="E8">
        <v>7</v>
      </c>
      <c r="F8">
        <v>110</v>
      </c>
    </row>
    <row r="9" spans="2:7" x14ac:dyDescent="0.3">
      <c r="B9">
        <v>7</v>
      </c>
      <c r="C9">
        <v>110</v>
      </c>
      <c r="E9">
        <v>3</v>
      </c>
      <c r="F9">
        <v>118</v>
      </c>
    </row>
    <row r="10" spans="2:7" x14ac:dyDescent="0.3">
      <c r="B10">
        <v>8</v>
      </c>
      <c r="C10">
        <v>143</v>
      </c>
      <c r="E10">
        <v>2</v>
      </c>
      <c r="F10">
        <v>126</v>
      </c>
    </row>
    <row r="11" spans="2:7" x14ac:dyDescent="0.3">
      <c r="B11">
        <v>9</v>
      </c>
      <c r="C11">
        <v>101</v>
      </c>
      <c r="E11">
        <v>8</v>
      </c>
      <c r="F11">
        <v>143</v>
      </c>
    </row>
    <row r="12" spans="2:7" x14ac:dyDescent="0.3">
      <c r="B12">
        <v>10</v>
      </c>
      <c r="C12">
        <v>1203</v>
      </c>
      <c r="E12">
        <v>6</v>
      </c>
      <c r="F12">
        <v>675</v>
      </c>
    </row>
    <row r="13" spans="2:7" x14ac:dyDescent="0.3">
      <c r="B13">
        <v>11</v>
      </c>
      <c r="C13">
        <v>875</v>
      </c>
      <c r="E13">
        <v>11</v>
      </c>
      <c r="F13">
        <v>875</v>
      </c>
    </row>
    <row r="14" spans="2:7" x14ac:dyDescent="0.3">
      <c r="B14">
        <v>12</v>
      </c>
      <c r="C14">
        <v>103</v>
      </c>
      <c r="E14">
        <v>10</v>
      </c>
      <c r="F14">
        <v>1203</v>
      </c>
    </row>
  </sheetData>
  <autoFilter ref="B2:C2" xr:uid="{5566FACA-4FD9-4203-8F2D-F25F3C7F693F}">
    <sortState xmlns:xlrd2="http://schemas.microsoft.com/office/spreadsheetml/2017/richdata2" ref="B3:C14">
      <sortCondition ref="B2"/>
    </sortState>
  </autoFilter>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457AD-78A6-4B60-9FBF-8B2AE4A10B3F}">
  <sheetPr codeName="Sheet3"/>
  <dimension ref="B3:J20"/>
  <sheetViews>
    <sheetView workbookViewId="0">
      <selection activeCell="C4" sqref="C4"/>
    </sheetView>
  </sheetViews>
  <sheetFormatPr defaultColWidth="8.77734375" defaultRowHeight="14.4" x14ac:dyDescent="0.3"/>
  <cols>
    <col min="2" max="2" width="15.77734375" customWidth="1"/>
  </cols>
  <sheetData>
    <row r="3" spans="2:3" x14ac:dyDescent="0.3">
      <c r="C3" s="3" t="str">
        <f>data!F2</f>
        <v>claims</v>
      </c>
    </row>
    <row r="4" spans="2:3" x14ac:dyDescent="0.3">
      <c r="B4" s="4" t="s">
        <v>0</v>
      </c>
      <c r="C4" s="20">
        <f ca="1">MIN(INDIRECT(C$3))</f>
        <v>101</v>
      </c>
    </row>
    <row r="5" spans="2:3" x14ac:dyDescent="0.3">
      <c r="B5" s="7">
        <v>0.25</v>
      </c>
      <c r="C5" s="21">
        <f ca="1">PERCENTILE( INDIRECT(C$3), $B5)</f>
        <v>106.75</v>
      </c>
    </row>
    <row r="6" spans="2:3" x14ac:dyDescent="0.3">
      <c r="B6" s="8">
        <v>0.5</v>
      </c>
      <c r="C6" s="21">
        <f ca="1">PERCENTILE( INDIRECT(C$3), $B6)</f>
        <v>114</v>
      </c>
    </row>
    <row r="7" spans="2:3" x14ac:dyDescent="0.3">
      <c r="B7" s="9">
        <v>0.75</v>
      </c>
      <c r="C7" s="21">
        <f ca="1">PERCENTILE( INDIRECT(C$3), $B7)</f>
        <v>276</v>
      </c>
    </row>
    <row r="8" spans="2:3" x14ac:dyDescent="0.3">
      <c r="B8" s="4" t="s">
        <v>1</v>
      </c>
      <c r="C8" s="20">
        <f ca="1">MAX(INDIRECT(C$3))</f>
        <v>1203</v>
      </c>
    </row>
    <row r="9" spans="2:3" x14ac:dyDescent="0.3">
      <c r="B9" s="4" t="s">
        <v>2</v>
      </c>
      <c r="C9" s="20">
        <f ca="1">C7 - C5</f>
        <v>169.25</v>
      </c>
    </row>
    <row r="10" spans="2:3" x14ac:dyDescent="0.3">
      <c r="B10" s="10" t="s">
        <v>3</v>
      </c>
      <c r="C10" s="30">
        <f ca="1">AVERAGE( INDIRECT(C$3))</f>
        <v>314.58333333333331</v>
      </c>
    </row>
    <row r="11" spans="2:3" x14ac:dyDescent="0.3">
      <c r="B11" s="11" t="s">
        <v>4</v>
      </c>
      <c r="C11" s="31">
        <f ca="1">_xlfn.STDEV.S( INDIRECT(C$3))</f>
        <v>381.19607417928245</v>
      </c>
    </row>
    <row r="12" spans="2:3" x14ac:dyDescent="0.3">
      <c r="B12" s="12" t="s">
        <v>50</v>
      </c>
      <c r="C12" s="78">
        <f>MAX( 'xi-sigma-grid'!D4:H8 )</f>
        <v>5.8798974872535145E-2</v>
      </c>
    </row>
    <row r="13" spans="2:3" x14ac:dyDescent="0.3">
      <c r="B13" s="13" t="s">
        <v>51</v>
      </c>
      <c r="C13" s="79">
        <f>INDEX( 'xi-sigma-grid'!C4:C8, MATCH( MAX('xi-sigma-grid'!I4:I8), 'xi-sigma-grid'!I4:I8, 0 ))</f>
        <v>2</v>
      </c>
    </row>
    <row r="14" spans="2:3" x14ac:dyDescent="0.3">
      <c r="B14" s="14" t="s">
        <v>52</v>
      </c>
      <c r="C14" s="80">
        <f>INDEX( 'xi-sigma-grid'!D3:H3, MATCH( MAX('xi-sigma-grid'!D9:H9), 'xi-sigma-grid'!D9:H9, 0) )</f>
        <v>13.5</v>
      </c>
    </row>
    <row r="15" spans="2:3" x14ac:dyDescent="0.3">
      <c r="B15" s="10" t="s">
        <v>6</v>
      </c>
      <c r="C15" s="30">
        <f ca="1">MAX(0, C5-1.5*C9)</f>
        <v>0</v>
      </c>
    </row>
    <row r="16" spans="2:3" x14ac:dyDescent="0.3">
      <c r="B16" s="11" t="s">
        <v>7</v>
      </c>
      <c r="C16" s="31">
        <f ca="1">C7+1.5*C9</f>
        <v>529.875</v>
      </c>
    </row>
    <row r="17" spans="2:10" x14ac:dyDescent="0.3">
      <c r="B17" s="12" t="s">
        <v>62</v>
      </c>
      <c r="C17" s="2">
        <f ca="1">SKEW( INDIRECT(C$3) )</f>
        <v>1.6741648036750576</v>
      </c>
    </row>
    <row r="18" spans="2:10" x14ac:dyDescent="0.3">
      <c r="B18" s="12" t="s">
        <v>63</v>
      </c>
      <c r="C18" s="100">
        <f ca="1">KURT( INDIRECT(C$3) ) + 3</f>
        <v>4.5899152379603061</v>
      </c>
      <c r="E18" s="5" t="s">
        <v>39</v>
      </c>
      <c r="F18" s="213" t="s">
        <v>42</v>
      </c>
      <c r="G18" s="213"/>
      <c r="H18" s="213"/>
      <c r="I18" s="213"/>
      <c r="J18" s="213"/>
    </row>
    <row r="19" spans="2:10" x14ac:dyDescent="0.3">
      <c r="B19" s="12" t="s">
        <v>64</v>
      </c>
      <c r="C19" s="77">
        <f ca="1">COUNT( INDIRECT(C$3) )</f>
        <v>12</v>
      </c>
      <c r="E19" s="5" t="s">
        <v>40</v>
      </c>
      <c r="F19" s="77" t="s">
        <v>43</v>
      </c>
    </row>
    <row r="20" spans="2:10" x14ac:dyDescent="0.3">
      <c r="E20" s="5" t="s">
        <v>41</v>
      </c>
      <c r="F20" s="5" t="s">
        <v>34</v>
      </c>
    </row>
  </sheetData>
  <mergeCells count="1">
    <mergeCell ref="F18:J1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E1C21-FBE2-4663-B649-E7974E95891D}">
  <sheetPr codeName="Sheet2"/>
  <dimension ref="B2:AJ23"/>
  <sheetViews>
    <sheetView zoomScale="62" workbookViewId="0"/>
  </sheetViews>
  <sheetFormatPr defaultColWidth="8.77734375" defaultRowHeight="14.4" x14ac:dyDescent="0.3"/>
  <cols>
    <col min="1" max="1" width="2.77734375" customWidth="1"/>
    <col min="4" max="4" width="3" customWidth="1"/>
    <col min="6" max="6" width="10.44140625" customWidth="1"/>
    <col min="18" max="18" width="3.109375" customWidth="1"/>
    <col min="21" max="21" width="3" customWidth="1"/>
    <col min="26" max="26" width="3.44140625" customWidth="1"/>
  </cols>
  <sheetData>
    <row r="2" spans="2:36" x14ac:dyDescent="0.3">
      <c r="B2" s="33" t="s">
        <v>43</v>
      </c>
      <c r="C2" s="1" t="s">
        <v>34</v>
      </c>
      <c r="D2" s="33"/>
      <c r="E2" s="75" t="str">
        <f>data!F2</f>
        <v>claims</v>
      </c>
      <c r="F2" s="33" t="str">
        <f>"x - "&amp;ROUND(F15, 0)</f>
        <v>x - 200</v>
      </c>
      <c r="G2" s="33" t="str">
        <f t="shared" ref="G2:Q2" si="0">"x - "&amp;ROUND(G15, 0)</f>
        <v>x - 273</v>
      </c>
      <c r="H2" s="33" t="str">
        <f t="shared" si="0"/>
        <v>x - 345</v>
      </c>
      <c r="I2" s="33" t="str">
        <f t="shared" si="0"/>
        <v>x - 418</v>
      </c>
      <c r="J2" s="33" t="str">
        <f t="shared" si="0"/>
        <v>x - 491</v>
      </c>
      <c r="K2" s="33" t="str">
        <f t="shared" si="0"/>
        <v>x - 564</v>
      </c>
      <c r="L2" s="33" t="str">
        <f t="shared" si="0"/>
        <v>x - 636</v>
      </c>
      <c r="M2" s="33" t="str">
        <f t="shared" si="0"/>
        <v>x - 709</v>
      </c>
      <c r="N2" s="33" t="str">
        <f t="shared" si="0"/>
        <v>x - 782</v>
      </c>
      <c r="O2" s="33" t="str">
        <f t="shared" si="0"/>
        <v>x - 855</v>
      </c>
      <c r="P2" s="33" t="str">
        <f t="shared" si="0"/>
        <v>x - 927</v>
      </c>
      <c r="Q2" s="33" t="str">
        <f t="shared" si="0"/>
        <v>x - 1000</v>
      </c>
      <c r="S2" t="s">
        <v>47</v>
      </c>
      <c r="V2" s="33" t="s">
        <v>38</v>
      </c>
      <c r="AI2" s="5" t="s">
        <v>39</v>
      </c>
      <c r="AJ2" t="s">
        <v>44</v>
      </c>
    </row>
    <row r="3" spans="2:36" x14ac:dyDescent="0.3">
      <c r="B3">
        <v>9</v>
      </c>
      <c r="C3">
        <v>101</v>
      </c>
      <c r="E3" s="74">
        <f>C3</f>
        <v>101</v>
      </c>
      <c r="F3" s="74">
        <f>MAX( 0, $E3 - F$15)</f>
        <v>0</v>
      </c>
      <c r="G3" s="74">
        <f t="shared" ref="G3:Q14" si="1">MAX( 0, $E3 - G$15)</f>
        <v>0</v>
      </c>
      <c r="H3" s="74">
        <f t="shared" si="1"/>
        <v>0</v>
      </c>
      <c r="I3" s="74">
        <f t="shared" si="1"/>
        <v>0</v>
      </c>
      <c r="J3" s="74">
        <f t="shared" si="1"/>
        <v>0</v>
      </c>
      <c r="K3" s="74">
        <f t="shared" si="1"/>
        <v>0</v>
      </c>
      <c r="L3" s="74">
        <f t="shared" si="1"/>
        <v>0</v>
      </c>
      <c r="M3" s="74">
        <f t="shared" si="1"/>
        <v>0</v>
      </c>
      <c r="N3" s="74">
        <f t="shared" si="1"/>
        <v>0</v>
      </c>
      <c r="O3" s="74">
        <f t="shared" si="1"/>
        <v>0</v>
      </c>
      <c r="P3" s="74">
        <f t="shared" si="1"/>
        <v>0</v>
      </c>
      <c r="Q3" s="74">
        <f t="shared" si="1"/>
        <v>0</v>
      </c>
      <c r="S3" s="85" t="s">
        <v>1</v>
      </c>
      <c r="T3" s="5">
        <v>1000</v>
      </c>
      <c r="V3" s="19">
        <f>T4</f>
        <v>200</v>
      </c>
      <c r="AI3" s="5" t="s">
        <v>40</v>
      </c>
      <c r="AJ3" t="s">
        <v>45</v>
      </c>
    </row>
    <row r="4" spans="2:36" x14ac:dyDescent="0.3">
      <c r="B4">
        <v>12</v>
      </c>
      <c r="C4">
        <v>103</v>
      </c>
      <c r="E4" s="74">
        <f t="shared" ref="E4:E14" si="2">C4</f>
        <v>103</v>
      </c>
      <c r="F4" s="74">
        <f t="shared" ref="F4:F14" si="3">MAX( 0, $E4 - F$15)</f>
        <v>0</v>
      </c>
      <c r="G4" s="74">
        <f t="shared" si="1"/>
        <v>0</v>
      </c>
      <c r="H4" s="74">
        <f t="shared" si="1"/>
        <v>0</v>
      </c>
      <c r="I4" s="74">
        <f t="shared" si="1"/>
        <v>0</v>
      </c>
      <c r="J4" s="74">
        <f t="shared" si="1"/>
        <v>0</v>
      </c>
      <c r="K4" s="74">
        <f t="shared" si="1"/>
        <v>0</v>
      </c>
      <c r="L4" s="74">
        <f t="shared" si="1"/>
        <v>0</v>
      </c>
      <c r="M4" s="74">
        <f t="shared" si="1"/>
        <v>0</v>
      </c>
      <c r="N4" s="74">
        <f t="shared" si="1"/>
        <v>0</v>
      </c>
      <c r="O4" s="74">
        <f t="shared" si="1"/>
        <v>0</v>
      </c>
      <c r="P4" s="74">
        <f t="shared" si="1"/>
        <v>0</v>
      </c>
      <c r="Q4" s="74">
        <f t="shared" si="1"/>
        <v>0</v>
      </c>
      <c r="S4" s="85" t="s">
        <v>0</v>
      </c>
      <c r="T4" s="5">
        <v>200</v>
      </c>
      <c r="V4" s="19">
        <f>V3 + $T$6</f>
        <v>272.72727272727275</v>
      </c>
      <c r="AI4" s="5" t="s">
        <v>41</v>
      </c>
      <c r="AJ4" t="s">
        <v>46</v>
      </c>
    </row>
    <row r="5" spans="2:36" x14ac:dyDescent="0.3">
      <c r="B5">
        <v>4</v>
      </c>
      <c r="C5">
        <v>106</v>
      </c>
      <c r="E5" s="74">
        <f t="shared" si="2"/>
        <v>106</v>
      </c>
      <c r="F5" s="74">
        <f t="shared" si="3"/>
        <v>0</v>
      </c>
      <c r="G5" s="74">
        <f t="shared" si="1"/>
        <v>0</v>
      </c>
      <c r="H5" s="74">
        <f t="shared" si="1"/>
        <v>0</v>
      </c>
      <c r="I5" s="74">
        <f t="shared" si="1"/>
        <v>0</v>
      </c>
      <c r="J5" s="74">
        <f t="shared" si="1"/>
        <v>0</v>
      </c>
      <c r="K5" s="74">
        <f t="shared" si="1"/>
        <v>0</v>
      </c>
      <c r="L5" s="74">
        <f t="shared" si="1"/>
        <v>0</v>
      </c>
      <c r="M5" s="74">
        <f t="shared" si="1"/>
        <v>0</v>
      </c>
      <c r="N5" s="74">
        <f t="shared" si="1"/>
        <v>0</v>
      </c>
      <c r="O5" s="74">
        <f t="shared" si="1"/>
        <v>0</v>
      </c>
      <c r="P5" s="74">
        <f t="shared" si="1"/>
        <v>0</v>
      </c>
      <c r="Q5" s="74">
        <f t="shared" si="1"/>
        <v>0</v>
      </c>
      <c r="S5" s="85" t="s">
        <v>48</v>
      </c>
      <c r="T5" s="5">
        <v>11</v>
      </c>
      <c r="V5" s="19">
        <f t="shared" ref="V5:V14" si="4">V4 + $T$6</f>
        <v>345.4545454545455</v>
      </c>
    </row>
    <row r="6" spans="2:36" x14ac:dyDescent="0.3">
      <c r="B6">
        <v>1</v>
      </c>
      <c r="C6">
        <v>107</v>
      </c>
      <c r="E6" s="74">
        <f t="shared" si="2"/>
        <v>107</v>
      </c>
      <c r="F6" s="74">
        <f t="shared" si="3"/>
        <v>0</v>
      </c>
      <c r="G6" s="74">
        <f t="shared" si="1"/>
        <v>0</v>
      </c>
      <c r="H6" s="74">
        <f t="shared" si="1"/>
        <v>0</v>
      </c>
      <c r="I6" s="74">
        <f t="shared" si="1"/>
        <v>0</v>
      </c>
      <c r="J6" s="74">
        <f t="shared" si="1"/>
        <v>0</v>
      </c>
      <c r="K6" s="74">
        <f t="shared" si="1"/>
        <v>0</v>
      </c>
      <c r="L6" s="74">
        <f t="shared" si="1"/>
        <v>0</v>
      </c>
      <c r="M6" s="74">
        <f t="shared" si="1"/>
        <v>0</v>
      </c>
      <c r="N6" s="74">
        <f t="shared" si="1"/>
        <v>0</v>
      </c>
      <c r="O6" s="74">
        <f t="shared" si="1"/>
        <v>0</v>
      </c>
      <c r="P6" s="74">
        <f t="shared" si="1"/>
        <v>0</v>
      </c>
      <c r="Q6" s="74">
        <f t="shared" si="1"/>
        <v>0</v>
      </c>
      <c r="S6" s="85" t="s">
        <v>49</v>
      </c>
      <c r="T6" s="5">
        <f>( T3-T4 ) / T5</f>
        <v>72.727272727272734</v>
      </c>
      <c r="V6" s="19">
        <f t="shared" si="4"/>
        <v>418.18181818181824</v>
      </c>
    </row>
    <row r="7" spans="2:36" x14ac:dyDescent="0.3">
      <c r="B7">
        <v>5</v>
      </c>
      <c r="C7">
        <v>108</v>
      </c>
      <c r="E7" s="74">
        <f t="shared" si="2"/>
        <v>108</v>
      </c>
      <c r="F7" s="74">
        <f t="shared" si="3"/>
        <v>0</v>
      </c>
      <c r="G7" s="74">
        <f t="shared" si="1"/>
        <v>0</v>
      </c>
      <c r="H7" s="74">
        <f t="shared" si="1"/>
        <v>0</v>
      </c>
      <c r="I7" s="74">
        <f t="shared" si="1"/>
        <v>0</v>
      </c>
      <c r="J7" s="74">
        <f t="shared" si="1"/>
        <v>0</v>
      </c>
      <c r="K7" s="74">
        <f t="shared" si="1"/>
        <v>0</v>
      </c>
      <c r="L7" s="74">
        <f t="shared" si="1"/>
        <v>0</v>
      </c>
      <c r="M7" s="74">
        <f t="shared" si="1"/>
        <v>0</v>
      </c>
      <c r="N7" s="74">
        <f t="shared" si="1"/>
        <v>0</v>
      </c>
      <c r="O7" s="74">
        <f t="shared" si="1"/>
        <v>0</v>
      </c>
      <c r="P7" s="74">
        <f t="shared" si="1"/>
        <v>0</v>
      </c>
      <c r="Q7" s="74">
        <f t="shared" si="1"/>
        <v>0</v>
      </c>
      <c r="V7" s="19">
        <f t="shared" si="4"/>
        <v>490.90909090909099</v>
      </c>
    </row>
    <row r="8" spans="2:36" x14ac:dyDescent="0.3">
      <c r="B8">
        <v>7</v>
      </c>
      <c r="C8">
        <v>110</v>
      </c>
      <c r="E8" s="74">
        <f t="shared" si="2"/>
        <v>110</v>
      </c>
      <c r="F8" s="74">
        <f t="shared" si="3"/>
        <v>0</v>
      </c>
      <c r="G8" s="74">
        <f t="shared" si="1"/>
        <v>0</v>
      </c>
      <c r="H8" s="74">
        <f t="shared" si="1"/>
        <v>0</v>
      </c>
      <c r="I8" s="74">
        <f t="shared" si="1"/>
        <v>0</v>
      </c>
      <c r="J8" s="74">
        <f t="shared" si="1"/>
        <v>0</v>
      </c>
      <c r="K8" s="74">
        <f t="shared" si="1"/>
        <v>0</v>
      </c>
      <c r="L8" s="74">
        <f t="shared" si="1"/>
        <v>0</v>
      </c>
      <c r="M8" s="74">
        <f t="shared" si="1"/>
        <v>0</v>
      </c>
      <c r="N8" s="74">
        <f t="shared" si="1"/>
        <v>0</v>
      </c>
      <c r="O8" s="74">
        <f t="shared" si="1"/>
        <v>0</v>
      </c>
      <c r="P8" s="74">
        <f t="shared" si="1"/>
        <v>0</v>
      </c>
      <c r="Q8" s="74">
        <f t="shared" si="1"/>
        <v>0</v>
      </c>
      <c r="V8" s="19">
        <f t="shared" si="4"/>
        <v>563.63636363636374</v>
      </c>
    </row>
    <row r="9" spans="2:36" x14ac:dyDescent="0.3">
      <c r="B9">
        <v>3</v>
      </c>
      <c r="C9">
        <v>118</v>
      </c>
      <c r="E9" s="74">
        <f t="shared" si="2"/>
        <v>118</v>
      </c>
      <c r="F9" s="74">
        <f t="shared" si="3"/>
        <v>0</v>
      </c>
      <c r="G9" s="74">
        <f t="shared" si="1"/>
        <v>0</v>
      </c>
      <c r="H9" s="74">
        <f t="shared" si="1"/>
        <v>0</v>
      </c>
      <c r="I9" s="74">
        <f t="shared" si="1"/>
        <v>0</v>
      </c>
      <c r="J9" s="74">
        <f t="shared" si="1"/>
        <v>0</v>
      </c>
      <c r="K9" s="74">
        <f t="shared" si="1"/>
        <v>0</v>
      </c>
      <c r="L9" s="74">
        <f t="shared" si="1"/>
        <v>0</v>
      </c>
      <c r="M9" s="74">
        <f t="shared" si="1"/>
        <v>0</v>
      </c>
      <c r="N9" s="74">
        <f t="shared" si="1"/>
        <v>0</v>
      </c>
      <c r="O9" s="74">
        <f t="shared" si="1"/>
        <v>0</v>
      </c>
      <c r="P9" s="74">
        <f t="shared" si="1"/>
        <v>0</v>
      </c>
      <c r="Q9" s="74">
        <f t="shared" si="1"/>
        <v>0</v>
      </c>
      <c r="V9" s="19">
        <f t="shared" si="4"/>
        <v>636.36363636363649</v>
      </c>
    </row>
    <row r="10" spans="2:36" x14ac:dyDescent="0.3">
      <c r="B10">
        <v>2</v>
      </c>
      <c r="C10">
        <v>126</v>
      </c>
      <c r="E10" s="74">
        <f t="shared" si="2"/>
        <v>126</v>
      </c>
      <c r="F10" s="74">
        <f t="shared" si="3"/>
        <v>0</v>
      </c>
      <c r="G10" s="74">
        <f t="shared" si="1"/>
        <v>0</v>
      </c>
      <c r="H10" s="74">
        <f t="shared" si="1"/>
        <v>0</v>
      </c>
      <c r="I10" s="74">
        <f t="shared" si="1"/>
        <v>0</v>
      </c>
      <c r="J10" s="74">
        <f t="shared" si="1"/>
        <v>0</v>
      </c>
      <c r="K10" s="74">
        <f t="shared" si="1"/>
        <v>0</v>
      </c>
      <c r="L10" s="74">
        <f t="shared" si="1"/>
        <v>0</v>
      </c>
      <c r="M10" s="74">
        <f t="shared" si="1"/>
        <v>0</v>
      </c>
      <c r="N10" s="74">
        <f t="shared" si="1"/>
        <v>0</v>
      </c>
      <c r="O10" s="74">
        <f t="shared" si="1"/>
        <v>0</v>
      </c>
      <c r="P10" s="74">
        <f t="shared" si="1"/>
        <v>0</v>
      </c>
      <c r="Q10" s="74">
        <f t="shared" si="1"/>
        <v>0</v>
      </c>
      <c r="V10" s="19">
        <f t="shared" si="4"/>
        <v>709.09090909090924</v>
      </c>
    </row>
    <row r="11" spans="2:36" x14ac:dyDescent="0.3">
      <c r="B11">
        <v>8</v>
      </c>
      <c r="C11">
        <v>143</v>
      </c>
      <c r="E11" s="74">
        <f t="shared" si="2"/>
        <v>143</v>
      </c>
      <c r="F11" s="74">
        <f t="shared" si="3"/>
        <v>0</v>
      </c>
      <c r="G11" s="74">
        <f t="shared" si="1"/>
        <v>0</v>
      </c>
      <c r="H11" s="74">
        <f t="shared" si="1"/>
        <v>0</v>
      </c>
      <c r="I11" s="74">
        <f t="shared" si="1"/>
        <v>0</v>
      </c>
      <c r="J11" s="74">
        <f t="shared" si="1"/>
        <v>0</v>
      </c>
      <c r="K11" s="74">
        <f t="shared" si="1"/>
        <v>0</v>
      </c>
      <c r="L11" s="74">
        <f t="shared" si="1"/>
        <v>0</v>
      </c>
      <c r="M11" s="74">
        <f t="shared" si="1"/>
        <v>0</v>
      </c>
      <c r="N11" s="74">
        <f t="shared" si="1"/>
        <v>0</v>
      </c>
      <c r="O11" s="74">
        <f t="shared" si="1"/>
        <v>0</v>
      </c>
      <c r="P11" s="74">
        <f t="shared" si="1"/>
        <v>0</v>
      </c>
      <c r="Q11" s="74">
        <f t="shared" si="1"/>
        <v>0</v>
      </c>
      <c r="V11" s="19">
        <f t="shared" si="4"/>
        <v>781.81818181818198</v>
      </c>
    </row>
    <row r="12" spans="2:36" x14ac:dyDescent="0.3">
      <c r="B12">
        <v>6</v>
      </c>
      <c r="C12">
        <v>675</v>
      </c>
      <c r="E12" s="74">
        <f t="shared" si="2"/>
        <v>675</v>
      </c>
      <c r="F12" s="74">
        <f t="shared" si="3"/>
        <v>475</v>
      </c>
      <c r="G12" s="74">
        <f t="shared" si="1"/>
        <v>402.27272727272725</v>
      </c>
      <c r="H12" s="74">
        <f t="shared" si="1"/>
        <v>329.5454545454545</v>
      </c>
      <c r="I12" s="74">
        <f t="shared" si="1"/>
        <v>256.81818181818176</v>
      </c>
      <c r="J12" s="74">
        <f t="shared" si="1"/>
        <v>184.09090909090901</v>
      </c>
      <c r="K12" s="74">
        <f t="shared" si="1"/>
        <v>111.36363636363626</v>
      </c>
      <c r="L12" s="74">
        <f t="shared" si="1"/>
        <v>38.636363636363512</v>
      </c>
      <c r="M12" s="74">
        <f t="shared" si="1"/>
        <v>0</v>
      </c>
      <c r="N12" s="74">
        <f t="shared" si="1"/>
        <v>0</v>
      </c>
      <c r="O12" s="74">
        <f t="shared" si="1"/>
        <v>0</v>
      </c>
      <c r="P12" s="74">
        <f t="shared" si="1"/>
        <v>0</v>
      </c>
      <c r="Q12" s="74">
        <f t="shared" si="1"/>
        <v>0</v>
      </c>
      <c r="V12" s="19">
        <f t="shared" si="4"/>
        <v>854.54545454545473</v>
      </c>
    </row>
    <row r="13" spans="2:36" x14ac:dyDescent="0.3">
      <c r="B13">
        <v>11</v>
      </c>
      <c r="C13">
        <v>875</v>
      </c>
      <c r="E13" s="74">
        <f t="shared" si="2"/>
        <v>875</v>
      </c>
      <c r="F13" s="74">
        <f t="shared" si="3"/>
        <v>675</v>
      </c>
      <c r="G13" s="74">
        <f t="shared" si="1"/>
        <v>602.27272727272725</v>
      </c>
      <c r="H13" s="74">
        <f t="shared" si="1"/>
        <v>529.5454545454545</v>
      </c>
      <c r="I13" s="74">
        <f t="shared" si="1"/>
        <v>456.81818181818176</v>
      </c>
      <c r="J13" s="74">
        <f t="shared" si="1"/>
        <v>384.09090909090901</v>
      </c>
      <c r="K13" s="74">
        <f t="shared" si="1"/>
        <v>311.36363636363626</v>
      </c>
      <c r="L13" s="74">
        <f t="shared" si="1"/>
        <v>238.63636363636351</v>
      </c>
      <c r="M13" s="74">
        <f t="shared" si="1"/>
        <v>165.90909090909076</v>
      </c>
      <c r="N13" s="74">
        <f t="shared" si="1"/>
        <v>93.181818181818016</v>
      </c>
      <c r="O13" s="74">
        <f t="shared" si="1"/>
        <v>20.454545454545269</v>
      </c>
      <c r="P13" s="74">
        <f t="shared" si="1"/>
        <v>0</v>
      </c>
      <c r="Q13" s="74">
        <f t="shared" si="1"/>
        <v>0</v>
      </c>
      <c r="V13" s="19">
        <f t="shared" si="4"/>
        <v>927.27272727272748</v>
      </c>
    </row>
    <row r="14" spans="2:36" x14ac:dyDescent="0.3">
      <c r="B14">
        <v>10</v>
      </c>
      <c r="C14">
        <v>1203</v>
      </c>
      <c r="E14" s="74">
        <f t="shared" si="2"/>
        <v>1203</v>
      </c>
      <c r="F14" s="74">
        <f t="shared" si="3"/>
        <v>1003</v>
      </c>
      <c r="G14" s="74">
        <f t="shared" si="1"/>
        <v>930.27272727272725</v>
      </c>
      <c r="H14" s="74">
        <f t="shared" si="1"/>
        <v>857.5454545454545</v>
      </c>
      <c r="I14" s="74">
        <f t="shared" si="1"/>
        <v>784.81818181818176</v>
      </c>
      <c r="J14" s="74">
        <f t="shared" si="1"/>
        <v>712.09090909090901</v>
      </c>
      <c r="K14" s="74">
        <f t="shared" si="1"/>
        <v>639.36363636363626</v>
      </c>
      <c r="L14" s="74">
        <f t="shared" si="1"/>
        <v>566.63636363636351</v>
      </c>
      <c r="M14" s="74">
        <f t="shared" si="1"/>
        <v>493.90909090909076</v>
      </c>
      <c r="N14" s="74">
        <f t="shared" si="1"/>
        <v>421.18181818181802</v>
      </c>
      <c r="O14" s="74">
        <f t="shared" si="1"/>
        <v>348.45454545454527</v>
      </c>
      <c r="P14" s="74">
        <f t="shared" si="1"/>
        <v>275.72727272727252</v>
      </c>
      <c r="Q14" s="74">
        <f t="shared" si="1"/>
        <v>202.99999999999977</v>
      </c>
      <c r="V14" s="19">
        <f t="shared" si="4"/>
        <v>1000.0000000000002</v>
      </c>
    </row>
    <row r="15" spans="2:36" x14ac:dyDescent="0.3">
      <c r="E15" s="33" t="s">
        <v>38</v>
      </c>
      <c r="F15" s="5">
        <f t="array" ref="F15:Q15">TRANSPOSE( u )</f>
        <v>200</v>
      </c>
      <c r="G15" s="5">
        <v>272.72727272727275</v>
      </c>
      <c r="H15" s="5">
        <v>345.4545454545455</v>
      </c>
      <c r="I15" s="5">
        <v>418.18181818181824</v>
      </c>
      <c r="J15" s="5">
        <v>490.90909090909099</v>
      </c>
      <c r="K15" s="5">
        <v>563.63636363636374</v>
      </c>
      <c r="L15" s="5">
        <v>636.36363636363649</v>
      </c>
      <c r="M15" s="5">
        <v>709.09090909090924</v>
      </c>
      <c r="N15" s="5">
        <v>781.81818181818198</v>
      </c>
      <c r="O15" s="5">
        <v>854.54545454545473</v>
      </c>
      <c r="P15" s="5">
        <v>927.27272727272748</v>
      </c>
      <c r="Q15" s="5">
        <v>1000.0000000000002</v>
      </c>
    </row>
    <row r="16" spans="2:36" x14ac:dyDescent="0.3">
      <c r="E16" s="33" t="s">
        <v>3</v>
      </c>
      <c r="F16" s="62">
        <f>AVERAGEIF( F3:F14, "&gt;"&amp;0  )</f>
        <v>717.66666666666663</v>
      </c>
      <c r="G16" s="62">
        <f t="shared" ref="G16:O16" si="5">AVERAGEIF( G3:G14, "&gt;"&amp;0  )</f>
        <v>644.93939393939388</v>
      </c>
      <c r="H16" s="62">
        <f t="shared" si="5"/>
        <v>572.21212121212113</v>
      </c>
      <c r="I16" s="62">
        <f t="shared" si="5"/>
        <v>499.48484848484844</v>
      </c>
      <c r="J16" s="62">
        <f t="shared" si="5"/>
        <v>426.75757575757569</v>
      </c>
      <c r="K16" s="62">
        <f t="shared" si="5"/>
        <v>354.03030303030295</v>
      </c>
      <c r="L16" s="62">
        <f t="shared" si="5"/>
        <v>281.3030303030302</v>
      </c>
      <c r="M16" s="62">
        <f t="shared" si="5"/>
        <v>329.90909090909076</v>
      </c>
      <c r="N16" s="62">
        <f t="shared" si="5"/>
        <v>257.18181818181802</v>
      </c>
      <c r="O16" s="62">
        <f t="shared" si="5"/>
        <v>184.45454545454527</v>
      </c>
      <c r="P16" s="62">
        <f>AVERAGEIF( P3:P14, "&gt;"&amp;0  )</f>
        <v>275.72727272727252</v>
      </c>
      <c r="Q16" s="62">
        <f>AVERAGEIF( Q3:Q14, "&gt;"&amp;0  )</f>
        <v>202.99999999999977</v>
      </c>
    </row>
    <row r="18" spans="3:22" x14ac:dyDescent="0.3">
      <c r="C18" s="5" t="str">
        <f>C2</f>
        <v>claims</v>
      </c>
      <c r="F18" s="81" t="s">
        <v>55</v>
      </c>
      <c r="G18" s="81" t="s">
        <v>56</v>
      </c>
      <c r="V18" s="83" t="s">
        <v>59</v>
      </c>
    </row>
    <row r="19" spans="3:22" ht="36.6" x14ac:dyDescent="0.3">
      <c r="C19" s="82" t="s">
        <v>54</v>
      </c>
      <c r="F19" s="81" t="str">
        <f ca="1">_xlfn.FORMULATEXT(F2)</f>
        <v>="x - "&amp;ROUND(F15, 0)</v>
      </c>
      <c r="G19" s="81" t="str">
        <f ca="1">_xlfn.FORMULATEXT(G14)</f>
        <v>=MAX( 0, $E14 - G$15)</v>
      </c>
      <c r="V19" s="84" t="str">
        <f ca="1">_xlfn.FORMULATEXT(V14)</f>
        <v>=V13 + $T$6</v>
      </c>
    </row>
    <row r="20" spans="3:22" x14ac:dyDescent="0.3">
      <c r="G20" s="81" t="s">
        <v>57</v>
      </c>
    </row>
    <row r="21" spans="3:22" ht="24.6" x14ac:dyDescent="0.3">
      <c r="G21" s="81" t="str">
        <f ca="1">_xlfn.FORMULATEXT(G15)</f>
        <v>{=TRANSPOSE( u )}</v>
      </c>
    </row>
    <row r="22" spans="3:22" x14ac:dyDescent="0.3">
      <c r="G22" s="81" t="s">
        <v>58</v>
      </c>
    </row>
    <row r="23" spans="3:22" ht="36.6" x14ac:dyDescent="0.3">
      <c r="G23" s="81" t="str">
        <f ca="1">_xlfn.FORMULATEXT(G16)</f>
        <v>=AVERAGEIF( G3:G14, "&gt;"&amp;0  )</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C3BC2-D14B-4422-A2D9-2DF031C18DF2}">
  <sheetPr codeName="Sheet4"/>
  <dimension ref="B2:I20"/>
  <sheetViews>
    <sheetView workbookViewId="0">
      <selection activeCell="C4" sqref="C4"/>
    </sheetView>
  </sheetViews>
  <sheetFormatPr defaultColWidth="8.77734375" defaultRowHeight="14.4" x14ac:dyDescent="0.3"/>
  <cols>
    <col min="2" max="2" width="14.77734375" customWidth="1"/>
    <col min="3" max="5" width="8.77734375" style="19"/>
    <col min="6" max="6" width="20.109375" customWidth="1"/>
    <col min="7" max="7" width="2.33203125" customWidth="1"/>
    <col min="8" max="8" width="5.33203125" customWidth="1"/>
    <col min="9" max="9" width="40.77734375" customWidth="1"/>
    <col min="16" max="16" width="12" bestFit="1" customWidth="1"/>
    <col min="28" max="28" width="11.109375" customWidth="1"/>
    <col min="29" max="29" width="20.109375" customWidth="1"/>
    <col min="32" max="32" width="12.33203125" customWidth="1"/>
    <col min="33" max="33" width="5.109375" customWidth="1"/>
    <col min="34" max="34" width="11.77734375" customWidth="1"/>
  </cols>
  <sheetData>
    <row r="2" spans="2:9" x14ac:dyDescent="0.3">
      <c r="C2" s="18" t="s">
        <v>36</v>
      </c>
      <c r="E2" s="18" t="str">
        <f>C2</f>
        <v>xi_h</v>
      </c>
    </row>
    <row r="3" spans="2:9" x14ac:dyDescent="0.3">
      <c r="B3" s="6" t="str">
        <f>"max_"&amp;C$2</f>
        <v>max_xi_h</v>
      </c>
      <c r="C3" s="20">
        <v>3</v>
      </c>
      <c r="E3" s="20">
        <f>min_mu_h</f>
        <v>1</v>
      </c>
      <c r="F3" s="5" t="str">
        <f ca="1">_xlfn.FORMULATEXT(E3 )</f>
        <v>=min_mu_h</v>
      </c>
    </row>
    <row r="4" spans="2:9" x14ac:dyDescent="0.3">
      <c r="B4" s="6" t="str">
        <f>"min_"&amp;C$2</f>
        <v>min_xi_h</v>
      </c>
      <c r="C4" s="20">
        <v>1</v>
      </c>
      <c r="E4" s="20">
        <f>E3 + width_mu_h</f>
        <v>1.5</v>
      </c>
      <c r="F4" s="5" t="str">
        <f ca="1">_xlfn.FORMULATEXT(E4 )</f>
        <v>=E3 + width_mu_h</v>
      </c>
    </row>
    <row r="5" spans="2:9" x14ac:dyDescent="0.3">
      <c r="B5" s="6" t="str">
        <f>"interval_"&amp;C$2</f>
        <v>interval_xi_h</v>
      </c>
      <c r="C5" s="20">
        <v>4</v>
      </c>
      <c r="E5" s="20">
        <f>E4 + width_mu_h</f>
        <v>2</v>
      </c>
      <c r="F5" s="5" t="str">
        <f ca="1">_xlfn.FORMULATEXT(E5 )</f>
        <v>=E4 + width_mu_h</v>
      </c>
    </row>
    <row r="6" spans="2:9" x14ac:dyDescent="0.3">
      <c r="B6" s="6" t="str">
        <f>"width_"&amp;C$2</f>
        <v>width_xi_h</v>
      </c>
      <c r="C6" s="20">
        <f>( max_mu_h - min_mu_h)/interval_mu_h</f>
        <v>0.5</v>
      </c>
      <c r="E6" s="20">
        <f>E5 + width_mu_h</f>
        <v>2.5</v>
      </c>
      <c r="F6" s="5" t="str">
        <f ca="1">_xlfn.FORMULATEXT(E6 )</f>
        <v>=E5 + width_mu_h</v>
      </c>
      <c r="I6" s="5" t="s">
        <v>9</v>
      </c>
    </row>
    <row r="7" spans="2:9" x14ac:dyDescent="0.3">
      <c r="E7" s="20">
        <f>E6 + width_mu_h</f>
        <v>3</v>
      </c>
      <c r="F7" s="5" t="str">
        <f ca="1">_xlfn.FORMULATEXT(E7 )</f>
        <v>=E6 + width_mu_h</v>
      </c>
      <c r="I7" s="5" t="str">
        <f ca="1">_xlfn.FORMULATEXT(width_mu_h)</f>
        <v>=( max_mu_h - min_mu_h)/interval_mu_h</v>
      </c>
    </row>
    <row r="9" spans="2:9" x14ac:dyDescent="0.3">
      <c r="C9" s="18" t="s">
        <v>8</v>
      </c>
      <c r="E9" s="18" t="str">
        <f>C9</f>
        <v>sigma_h</v>
      </c>
    </row>
    <row r="10" spans="2:9" x14ac:dyDescent="0.3">
      <c r="B10" s="6" t="str">
        <f>"max_"&amp;C$9</f>
        <v>max_sigma_h</v>
      </c>
      <c r="C10" s="63">
        <v>15</v>
      </c>
      <c r="E10" s="63">
        <f>min_sigma_h</f>
        <v>12</v>
      </c>
      <c r="F10" s="5" t="str">
        <f ca="1">_xlfn.FORMULATEXT(E10 )</f>
        <v>=min_sigma_h</v>
      </c>
    </row>
    <row r="11" spans="2:9" x14ac:dyDescent="0.3">
      <c r="B11" s="6" t="str">
        <f>"min_"&amp;C$9</f>
        <v>min_sigma_h</v>
      </c>
      <c r="C11" s="63">
        <v>12</v>
      </c>
      <c r="E11" s="63">
        <f>E10 + width_sigma_h</f>
        <v>12.75</v>
      </c>
      <c r="F11" s="5" t="str">
        <f ca="1">_xlfn.FORMULATEXT(E11 )</f>
        <v>=E10 + width_sigma_h</v>
      </c>
    </row>
    <row r="12" spans="2:9" x14ac:dyDescent="0.3">
      <c r="B12" s="6" t="str">
        <f>"interval_"&amp;C$9</f>
        <v>interval_sigma_h</v>
      </c>
      <c r="C12" s="20">
        <v>4</v>
      </c>
      <c r="E12" s="63">
        <f>E11 + width_sigma_h</f>
        <v>13.5</v>
      </c>
      <c r="F12" s="5" t="str">
        <f ca="1">_xlfn.FORMULATEXT(E12 )</f>
        <v>=E11 + width_sigma_h</v>
      </c>
    </row>
    <row r="13" spans="2:9" x14ac:dyDescent="0.3">
      <c r="B13" s="6" t="str">
        <f>"width_"&amp;C$9</f>
        <v>width_sigma_h</v>
      </c>
      <c r="C13" s="20">
        <f>(max_sigma_h - min_sigma_h)/interval_sigma_h</f>
        <v>0.75</v>
      </c>
      <c r="E13" s="63">
        <f>E12 + width_sigma_h</f>
        <v>14.25</v>
      </c>
      <c r="F13" s="5" t="str">
        <f ca="1">_xlfn.FORMULATEXT(E13 )</f>
        <v>=E12 + width_sigma_h</v>
      </c>
      <c r="I13" s="5" t="s">
        <v>23</v>
      </c>
    </row>
    <row r="14" spans="2:9" x14ac:dyDescent="0.3">
      <c r="E14" s="63">
        <f>E13 + width_sigma_h</f>
        <v>15</v>
      </c>
      <c r="F14" s="5" t="str">
        <f ca="1">_xlfn.FORMULATEXT(E14 )</f>
        <v>=E13 + width_sigma_h</v>
      </c>
      <c r="I14" s="5" t="str">
        <f ca="1">_xlfn.FORMULATEXT(width_sigma_h)</f>
        <v>=(max_sigma_h - min_sigma_h)/interval_sigma_h</v>
      </c>
    </row>
    <row r="15" spans="2:9" x14ac:dyDescent="0.3">
      <c r="B15" s="6" t="s">
        <v>37</v>
      </c>
      <c r="C15" s="20">
        <v>100</v>
      </c>
    </row>
    <row r="17" spans="2:8" x14ac:dyDescent="0.3">
      <c r="B17" s="5" t="s">
        <v>10</v>
      </c>
    </row>
    <row r="18" spans="2:8" x14ac:dyDescent="0.3">
      <c r="B18" s="214" t="str">
        <f ca="1">_xlfn.FORMULATEXT('grid-approx'!C6)</f>
        <v>=IF(D5=MAX(sigma_h),INDEX(mu_h,MATCH(C5,mu_h,0)+1), C5)</v>
      </c>
      <c r="C18" s="215"/>
      <c r="D18" s="215"/>
      <c r="E18" s="215"/>
      <c r="F18" s="215"/>
      <c r="G18" s="215"/>
      <c r="H18" s="216"/>
    </row>
    <row r="19" spans="2:8" x14ac:dyDescent="0.3">
      <c r="B19" s="2" t="s">
        <v>11</v>
      </c>
    </row>
    <row r="20" spans="2:8" x14ac:dyDescent="0.3">
      <c r="B20" s="214" t="str">
        <f ca="1">_xlfn.FORMULATEXT('grid-approx'!D6)</f>
        <v>=IF( D5 &lt; MAX(sigma_h), INDEX(sigma_h, MATCH(D5, sigma_h, 0)+1), MIN( sigma_h))</v>
      </c>
      <c r="C20" s="215"/>
      <c r="D20" s="215"/>
      <c r="E20" s="215"/>
      <c r="F20" s="215"/>
      <c r="G20" s="215"/>
      <c r="H20" s="216"/>
    </row>
  </sheetData>
  <mergeCells count="2">
    <mergeCell ref="B18:H18"/>
    <mergeCell ref="B20:H2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6628A-156D-4EA5-ACAC-EC10FD6D5194}">
  <sheetPr codeName="Sheet5"/>
  <dimension ref="A3:Z34"/>
  <sheetViews>
    <sheetView zoomScale="60" zoomScaleNormal="80" workbookViewId="0">
      <selection activeCell="S34" sqref="S34"/>
    </sheetView>
  </sheetViews>
  <sheetFormatPr defaultColWidth="8.77734375" defaultRowHeight="14.4" x14ac:dyDescent="0.3"/>
  <cols>
    <col min="3" max="3" width="13.109375" customWidth="1"/>
    <col min="4" max="4" width="13.77734375" customWidth="1"/>
    <col min="17" max="17" width="14.109375" customWidth="1"/>
    <col min="19" max="19" width="21.77734375" customWidth="1"/>
    <col min="20" max="20" width="18.77734375" customWidth="1"/>
  </cols>
  <sheetData>
    <row r="3" spans="3:23" x14ac:dyDescent="0.3">
      <c r="C3" s="214" t="s">
        <v>32</v>
      </c>
      <c r="D3" s="216"/>
      <c r="G3" s="217" t="s">
        <v>33</v>
      </c>
      <c r="H3" s="217"/>
      <c r="I3" s="217"/>
      <c r="J3" s="217"/>
      <c r="K3" s="217"/>
      <c r="L3" s="217"/>
      <c r="M3" s="217"/>
      <c r="N3" s="217"/>
      <c r="O3" s="217"/>
      <c r="P3" s="217"/>
      <c r="Q3" s="217"/>
      <c r="R3" s="217"/>
      <c r="S3" s="33" t="s">
        <v>14</v>
      </c>
      <c r="T3" s="41">
        <f>SUM(T5:T29)</f>
        <v>2.8979147647415743E-29</v>
      </c>
    </row>
    <row r="4" spans="3:23" x14ac:dyDescent="0.3">
      <c r="C4" s="52" t="s">
        <v>35</v>
      </c>
      <c r="D4" s="52" t="s">
        <v>5</v>
      </c>
      <c r="E4" s="33" t="s">
        <v>65</v>
      </c>
      <c r="F4" s="33" t="s">
        <v>12</v>
      </c>
      <c r="G4" s="42">
        <f t="array" ref="G4:R4">TRANSPOSE( wages )</f>
        <v>101</v>
      </c>
      <c r="H4" s="42">
        <v>103</v>
      </c>
      <c r="I4" s="42">
        <v>106</v>
      </c>
      <c r="J4" s="42">
        <v>107</v>
      </c>
      <c r="K4" s="42">
        <v>108</v>
      </c>
      <c r="L4" s="42">
        <v>110</v>
      </c>
      <c r="M4" s="42">
        <v>118</v>
      </c>
      <c r="N4" s="42">
        <v>126</v>
      </c>
      <c r="O4" s="42">
        <v>143</v>
      </c>
      <c r="P4" s="42">
        <v>675</v>
      </c>
      <c r="Q4" s="42">
        <v>875</v>
      </c>
      <c r="R4" s="42">
        <v>1203</v>
      </c>
      <c r="S4" s="33" t="s">
        <v>13</v>
      </c>
      <c r="T4" s="59" t="str">
        <f>S4&amp;E4&amp;F4</f>
        <v>Pr(d | h)Pr(xi)Pr(sigma)</v>
      </c>
      <c r="U4" s="52" t="s">
        <v>15</v>
      </c>
      <c r="W4" s="52" t="s">
        <v>16</v>
      </c>
    </row>
    <row r="5" spans="3:23" x14ac:dyDescent="0.3">
      <c r="C5" s="24">
        <f>'grid-setup'!E3</f>
        <v>1</v>
      </c>
      <c r="D5" s="25">
        <f>'grid-setup'!E10</f>
        <v>12</v>
      </c>
      <c r="E5" s="34">
        <f t="shared" ref="E5:F29" si="0">1/5</f>
        <v>0.2</v>
      </c>
      <c r="F5" s="15">
        <f t="shared" si="0"/>
        <v>0.2</v>
      </c>
      <c r="G5" s="38">
        <f t="shared" ref="G5:R14" si="1">(1/$D5)*(1+$C5*(G$4 - mu_thres)/$D5)^(-($C5+1)/$C5)</f>
        <v>7.1005917159763315E-2</v>
      </c>
      <c r="H5" s="38">
        <f t="shared" si="1"/>
        <v>5.333333333333333E-2</v>
      </c>
      <c r="I5" s="38">
        <f t="shared" si="1"/>
        <v>3.7037037037037035E-2</v>
      </c>
      <c r="J5" s="38">
        <f t="shared" si="1"/>
        <v>3.3240997229916885E-2</v>
      </c>
      <c r="K5" s="38">
        <f t="shared" si="1"/>
        <v>3.0000000000000006E-2</v>
      </c>
      <c r="L5" s="38">
        <f t="shared" si="1"/>
        <v>2.479338842975206E-2</v>
      </c>
      <c r="M5" s="38">
        <f t="shared" si="1"/>
        <v>1.3333333333333332E-2</v>
      </c>
      <c r="N5" s="38">
        <f t="shared" si="1"/>
        <v>8.3102493074792248E-3</v>
      </c>
      <c r="O5" s="38">
        <f t="shared" si="1"/>
        <v>3.9669421487603298E-3</v>
      </c>
      <c r="P5" s="38">
        <f t="shared" si="1"/>
        <v>3.4826116104466747E-5</v>
      </c>
      <c r="Q5" s="38">
        <f t="shared" si="1"/>
        <v>1.9374557008826725E-5</v>
      </c>
      <c r="R5" s="38">
        <f t="shared" si="1"/>
        <v>9.6523155502825301E-6</v>
      </c>
      <c r="S5" s="43">
        <f t="shared" ref="S5:S29" si="2">PRODUCT(G5:R5)</f>
        <v>9.9274493763848126E-30</v>
      </c>
      <c r="T5" s="44">
        <f t="shared" ref="T5:T29" si="3">S5*E5*F5</f>
        <v>3.9709797505539258E-31</v>
      </c>
      <c r="U5" s="49">
        <f t="shared" ref="U5:U29" si="4">T5 / sum</f>
        <v>1.370288663720599E-2</v>
      </c>
      <c r="W5" s="53" t="str">
        <f>'grid-approx'!C5&amp;"-"&amp;'grid-approx'!D5</f>
        <v>1-12</v>
      </c>
    </row>
    <row r="6" spans="3:23" x14ac:dyDescent="0.3">
      <c r="C6" s="26" cm="1">
        <f t="array" ref="C6">IF(D5=MAX(sigma_h),INDEX(mu_h,MATCH(C5,mu_h,0)+1), C5)</f>
        <v>1</v>
      </c>
      <c r="D6" s="27" cm="1">
        <f t="array" ref="D6">IF( D5 &lt; MAX(sigma_h), INDEX(sigma_h, MATCH(D5, sigma_h, 0)+1), MIN( sigma_h))</f>
        <v>12.75</v>
      </c>
      <c r="E6" s="35">
        <f t="shared" si="0"/>
        <v>0.2</v>
      </c>
      <c r="F6" s="36">
        <f t="shared" si="0"/>
        <v>0.2</v>
      </c>
      <c r="G6" s="38">
        <f t="shared" si="1"/>
        <v>6.7438016528925615E-2</v>
      </c>
      <c r="H6" s="38">
        <f t="shared" si="1"/>
        <v>5.1398337112622823E-2</v>
      </c>
      <c r="I6" s="38">
        <f t="shared" si="1"/>
        <v>3.6266666666666662E-2</v>
      </c>
      <c r="J6" s="38">
        <f t="shared" si="1"/>
        <v>3.2687069379907063E-2</v>
      </c>
      <c r="K6" s="38">
        <f t="shared" si="1"/>
        <v>2.9612425606038609E-2</v>
      </c>
      <c r="L6" s="38">
        <f t="shared" si="1"/>
        <v>2.4634705953387275E-2</v>
      </c>
      <c r="M6" s="38">
        <f t="shared" si="1"/>
        <v>1.348403727939718E-2</v>
      </c>
      <c r="N6" s="38">
        <f t="shared" si="1"/>
        <v>8.4911550468262237E-3</v>
      </c>
      <c r="O6" s="38">
        <f t="shared" si="1"/>
        <v>4.1022341088700742E-3</v>
      </c>
      <c r="P6" s="38">
        <f t="shared" si="1"/>
        <v>3.6908373695836279E-5</v>
      </c>
      <c r="Q6" s="38">
        <f t="shared" si="1"/>
        <v>2.0546287512459966E-5</v>
      </c>
      <c r="R6" s="38">
        <f t="shared" si="1"/>
        <v>1.0241802428702871E-5</v>
      </c>
      <c r="S6" s="45">
        <f t="shared" si="2"/>
        <v>1.0934543807711704E-29</v>
      </c>
      <c r="T6" s="46">
        <f t="shared" si="3"/>
        <v>4.373817523084682E-31</v>
      </c>
      <c r="U6" s="50">
        <f t="shared" si="4"/>
        <v>1.5092981947917035E-2</v>
      </c>
      <c r="W6" s="54" t="str">
        <f>'grid-approx'!C6&amp;"-"&amp;'grid-approx'!D6</f>
        <v>1-12.75</v>
      </c>
    </row>
    <row r="7" spans="3:23" x14ac:dyDescent="0.3">
      <c r="C7" s="26" cm="1">
        <f t="array" ref="C7">IF(D6=MAX(sigma_h),INDEX(mu_h,MATCH(C6,mu_h,0)+1), C6)</f>
        <v>1</v>
      </c>
      <c r="D7" s="27" cm="1">
        <f t="array" ref="D7">IF( D6 &lt; MAX(sigma_h), INDEX(sigma_h, MATCH(D6, sigma_h, 0)+1), MIN( sigma_h))</f>
        <v>13.5</v>
      </c>
      <c r="E7" s="35">
        <f t="shared" si="0"/>
        <v>0.2</v>
      </c>
      <c r="F7" s="36">
        <f t="shared" si="0"/>
        <v>0.2</v>
      </c>
      <c r="G7" s="38">
        <f t="shared" si="1"/>
        <v>6.4209274673008326E-2</v>
      </c>
      <c r="H7" s="38">
        <f t="shared" si="1"/>
        <v>4.958677685950412E-2</v>
      </c>
      <c r="I7" s="38">
        <f t="shared" si="1"/>
        <v>3.5502958579881658E-2</v>
      </c>
      <c r="J7" s="38">
        <f t="shared" si="1"/>
        <v>3.2123735871505056E-2</v>
      </c>
      <c r="K7" s="38">
        <f t="shared" si="1"/>
        <v>2.9204975662520279E-2</v>
      </c>
      <c r="L7" s="38">
        <f t="shared" si="1"/>
        <v>2.4445450430058847E-2</v>
      </c>
      <c r="M7" s="38">
        <f t="shared" si="1"/>
        <v>1.3605442176870753E-2</v>
      </c>
      <c r="N7" s="38">
        <f t="shared" si="1"/>
        <v>8.6524595417401071E-3</v>
      </c>
      <c r="O7" s="38">
        <f t="shared" si="1"/>
        <v>4.2289920902184985E-3</v>
      </c>
      <c r="P7" s="38">
        <f t="shared" si="1"/>
        <v>3.8979910187399517E-5</v>
      </c>
      <c r="Q7" s="38">
        <f t="shared" si="1"/>
        <v>2.1713527004590802E-5</v>
      </c>
      <c r="R7" s="38">
        <f t="shared" si="1"/>
        <v>1.0829697195649909E-5</v>
      </c>
      <c r="S7" s="45">
        <f t="shared" si="2"/>
        <v>1.1830027681671326E-29</v>
      </c>
      <c r="T7" s="46">
        <f t="shared" si="3"/>
        <v>4.7320110726685309E-31</v>
      </c>
      <c r="U7" s="50">
        <f t="shared" si="4"/>
        <v>1.6329020888544026E-2</v>
      </c>
      <c r="W7" s="54" t="str">
        <f>'grid-approx'!C7&amp;"-"&amp;'grid-approx'!D7</f>
        <v>1-13.5</v>
      </c>
    </row>
    <row r="8" spans="3:23" x14ac:dyDescent="0.3">
      <c r="C8" s="26" cm="1">
        <f t="array" ref="C8">IF(D7=MAX(sigma_h),INDEX(mu_h,MATCH(C7,mu_h,0)+1), C7)</f>
        <v>1</v>
      </c>
      <c r="D8" s="27" cm="1">
        <f t="array" ref="D8">IF( D7 &lt; MAX(sigma_h), INDEX(sigma_h, MATCH(D7, sigma_h, 0)+1), MIN( sigma_h))</f>
        <v>14.25</v>
      </c>
      <c r="E8" s="35">
        <f t="shared" si="0"/>
        <v>0.2</v>
      </c>
      <c r="F8" s="36">
        <f t="shared" si="0"/>
        <v>0.2</v>
      </c>
      <c r="G8" s="38">
        <f t="shared" si="1"/>
        <v>6.1273851115291586E-2</v>
      </c>
      <c r="H8" s="38">
        <f t="shared" si="1"/>
        <v>4.7889098928796468E-2</v>
      </c>
      <c r="I8" s="38">
        <f t="shared" si="1"/>
        <v>3.4750800182898944E-2</v>
      </c>
      <c r="J8" s="38">
        <f t="shared" si="1"/>
        <v>3.1557093425605538E-2</v>
      </c>
      <c r="K8" s="38">
        <f t="shared" si="1"/>
        <v>2.878424441358414E-2</v>
      </c>
      <c r="L8" s="38">
        <f t="shared" si="1"/>
        <v>2.423211818471676E-2</v>
      </c>
      <c r="M8" s="38">
        <f t="shared" si="1"/>
        <v>1.3701099693528033E-2</v>
      </c>
      <c r="N8" s="38">
        <f t="shared" si="1"/>
        <v>8.7959569461054741E-3</v>
      </c>
      <c r="O8" s="38">
        <f t="shared" si="1"/>
        <v>4.3477431780477097E-3</v>
      </c>
      <c r="P8" s="38">
        <f t="shared" si="1"/>
        <v>4.1040787162297767E-5</v>
      </c>
      <c r="Q8" s="38">
        <f t="shared" si="1"/>
        <v>2.2876294730555875E-5</v>
      </c>
      <c r="R8" s="38">
        <f t="shared" si="1"/>
        <v>1.1416004667743943E-5</v>
      </c>
      <c r="S8" s="45">
        <f t="shared" si="2"/>
        <v>1.2604852442210765E-29</v>
      </c>
      <c r="T8" s="46">
        <f t="shared" si="3"/>
        <v>5.0419409768843066E-31</v>
      </c>
      <c r="U8" s="50">
        <f t="shared" si="4"/>
        <v>1.739851371140631E-2</v>
      </c>
      <c r="W8" s="54" t="str">
        <f>'grid-approx'!C8&amp;"-"&amp;'grid-approx'!D8</f>
        <v>1-14.25</v>
      </c>
    </row>
    <row r="9" spans="3:23" x14ac:dyDescent="0.3">
      <c r="C9" s="26" cm="1">
        <f t="array" ref="C9">IF(D8=MAX(sigma_h),INDEX(mu_h,MATCH(C8,mu_h,0)+1), C8)</f>
        <v>1</v>
      </c>
      <c r="D9" s="27" cm="1">
        <f t="array" ref="D9">IF( D8 &lt; MAX(sigma_h), INDEX(sigma_h, MATCH(D8, sigma_h, 0)+1), MIN( sigma_h))</f>
        <v>15</v>
      </c>
      <c r="E9" s="35">
        <f t="shared" si="0"/>
        <v>0.2</v>
      </c>
      <c r="F9" s="36">
        <f t="shared" si="0"/>
        <v>0.2</v>
      </c>
      <c r="G9" s="38">
        <f t="shared" si="1"/>
        <v>5.859375E-2</v>
      </c>
      <c r="H9" s="38">
        <f t="shared" si="1"/>
        <v>4.6296296296296294E-2</v>
      </c>
      <c r="I9" s="38">
        <f t="shared" si="1"/>
        <v>3.4013605442176881E-2</v>
      </c>
      <c r="J9" s="38">
        <f t="shared" si="1"/>
        <v>3.0991735537190077E-2</v>
      </c>
      <c r="K9" s="38">
        <f t="shared" si="1"/>
        <v>2.835538752362949E-2</v>
      </c>
      <c r="L9" s="38">
        <f t="shared" si="1"/>
        <v>2.4000000000000007E-2</v>
      </c>
      <c r="M9" s="38">
        <f t="shared" si="1"/>
        <v>1.3774104683195591E-2</v>
      </c>
      <c r="N9" s="38">
        <f t="shared" si="1"/>
        <v>8.92325996430696E-3</v>
      </c>
      <c r="O9" s="38">
        <f t="shared" si="1"/>
        <v>4.4589774078478001E-3</v>
      </c>
      <c r="P9" s="38">
        <f t="shared" si="1"/>
        <v>4.3091065785693758E-5</v>
      </c>
      <c r="Q9" s="38">
        <f t="shared" si="1"/>
        <v>2.4034609838166965E-5</v>
      </c>
      <c r="R9" s="38">
        <f t="shared" si="1"/>
        <v>1.2000729644362376E-5</v>
      </c>
      <c r="S9" s="45">
        <f t="shared" si="2"/>
        <v>1.325553007394842E-29</v>
      </c>
      <c r="T9" s="46">
        <f t="shared" si="3"/>
        <v>5.3022120295793687E-31</v>
      </c>
      <c r="U9" s="50">
        <f t="shared" si="4"/>
        <v>1.8296645898942445E-2</v>
      </c>
      <c r="W9" s="54" t="str">
        <f>'grid-approx'!C9&amp;"-"&amp;'grid-approx'!D9</f>
        <v>1-15</v>
      </c>
    </row>
    <row r="10" spans="3:23" x14ac:dyDescent="0.3">
      <c r="C10" s="24" cm="1">
        <f t="array" ref="C10">IF(D9=MAX(sigma_h),INDEX(mu_h,MATCH(C9,mu_h,0)+1), C9)</f>
        <v>1.5</v>
      </c>
      <c r="D10" s="25" cm="1">
        <f t="array" ref="D10">IF( D9 &lt; MAX(sigma_h), INDEX(sigma_h, MATCH(D9, sigma_h, 0)+1), MIN( sigma_h))</f>
        <v>12</v>
      </c>
      <c r="E10" s="34">
        <f t="shared" si="0"/>
        <v>0.2</v>
      </c>
      <c r="F10" s="15">
        <f t="shared" si="0"/>
        <v>0.2</v>
      </c>
      <c r="G10" s="38">
        <f t="shared" si="1"/>
        <v>6.8480125861791072E-2</v>
      </c>
      <c r="H10" s="38">
        <f t="shared" si="1"/>
        <v>4.9013335329351301E-2</v>
      </c>
      <c r="I10" s="38">
        <f t="shared" si="1"/>
        <v>3.2791051213268432E-2</v>
      </c>
      <c r="J10" s="38">
        <f t="shared" si="1"/>
        <v>2.9229180140212977E-2</v>
      </c>
      <c r="K10" s="38">
        <f t="shared" si="1"/>
        <v>2.624835520614319E-2</v>
      </c>
      <c r="L10" s="38">
        <f t="shared" si="1"/>
        <v>2.1569888018180217E-2</v>
      </c>
      <c r="M10" s="38">
        <f t="shared" si="1"/>
        <v>1.1686375023303235E-2</v>
      </c>
      <c r="N10" s="38">
        <f t="shared" si="1"/>
        <v>7.473152944123377E-3</v>
      </c>
      <c r="O10" s="38">
        <f t="shared" si="1"/>
        <v>3.8020553830743964E-3</v>
      </c>
      <c r="P10" s="38">
        <f t="shared" si="1"/>
        <v>6.5542219033286737E-5</v>
      </c>
      <c r="Q10" s="38">
        <f t="shared" si="1"/>
        <v>4.0089668230039623E-5</v>
      </c>
      <c r="R10" s="38">
        <f t="shared" si="1"/>
        <v>2.2375803219092887E-5</v>
      </c>
      <c r="S10" s="43">
        <f t="shared" si="2"/>
        <v>3.5557820289713036E-29</v>
      </c>
      <c r="T10" s="44">
        <f t="shared" si="3"/>
        <v>1.4223128115885215E-30</v>
      </c>
      <c r="U10" s="49">
        <f t="shared" si="4"/>
        <v>4.9080560577334932E-2</v>
      </c>
      <c r="W10" s="54" t="str">
        <f>'grid-approx'!C10&amp;"-"&amp;'grid-approx'!D10</f>
        <v>1.5-12</v>
      </c>
    </row>
    <row r="11" spans="3:23" x14ac:dyDescent="0.3">
      <c r="C11" s="26" cm="1">
        <f t="array" ref="C11">IF(D10=MAX(sigma_h),INDEX(mu_h,MATCH(C10,mu_h,0)+1), C10)</f>
        <v>1.5</v>
      </c>
      <c r="D11" s="27" cm="1">
        <f t="array" ref="D11">IF( D10 &lt; MAX(sigma_h), INDEX(sigma_h, MATCH(D10, sigma_h, 0)+1), MIN( sigma_h))</f>
        <v>12.75</v>
      </c>
      <c r="E11" s="35">
        <f t="shared" si="0"/>
        <v>0.2</v>
      </c>
      <c r="F11" s="36">
        <f t="shared" si="0"/>
        <v>0.2</v>
      </c>
      <c r="G11" s="38">
        <f t="shared" si="1"/>
        <v>6.5160141079816103E-2</v>
      </c>
      <c r="H11" s="38">
        <f t="shared" si="1"/>
        <v>4.7390536376165811E-2</v>
      </c>
      <c r="I11" s="38">
        <f t="shared" si="1"/>
        <v>3.2203866752668321E-2</v>
      </c>
      <c r="J11" s="38">
        <f t="shared" si="1"/>
        <v>2.8816099460398127E-2</v>
      </c>
      <c r="K11" s="38">
        <f t="shared" si="1"/>
        <v>2.5964588918389059E-2</v>
      </c>
      <c r="L11" s="38">
        <f t="shared" si="1"/>
        <v>2.1456974121473401E-2</v>
      </c>
      <c r="M11" s="38">
        <f t="shared" si="1"/>
        <v>1.1788129590232649E-2</v>
      </c>
      <c r="N11" s="38">
        <f t="shared" si="1"/>
        <v>7.5943311916847507E-3</v>
      </c>
      <c r="O11" s="38">
        <f t="shared" si="1"/>
        <v>3.8950165710503202E-3</v>
      </c>
      <c r="P11" s="38">
        <f t="shared" si="1"/>
        <v>6.8148022395206754E-5</v>
      </c>
      <c r="Q11" s="38">
        <f t="shared" si="1"/>
        <v>4.16987487569832E-5</v>
      </c>
      <c r="R11" s="38">
        <f t="shared" si="1"/>
        <v>2.3281211685303255E-5</v>
      </c>
      <c r="S11" s="45">
        <f t="shared" si="2"/>
        <v>3.6829208782095121E-29</v>
      </c>
      <c r="T11" s="46">
        <f t="shared" si="3"/>
        <v>1.4731683512838051E-30</v>
      </c>
      <c r="U11" s="50">
        <f t="shared" si="4"/>
        <v>5.0835461732953245E-2</v>
      </c>
      <c r="W11" s="54" t="str">
        <f>'grid-approx'!C11&amp;"-"&amp;'grid-approx'!D11</f>
        <v>1.5-12.75</v>
      </c>
    </row>
    <row r="12" spans="3:23" x14ac:dyDescent="0.3">
      <c r="C12" s="26" cm="1">
        <f t="array" ref="C12">IF(D11=MAX(sigma_h),INDEX(mu_h,MATCH(C11,mu_h,0)+1), C11)</f>
        <v>1.5</v>
      </c>
      <c r="D12" s="27" cm="1">
        <f t="array" ref="D12">IF( D11 &lt; MAX(sigma_h), INDEX(sigma_h, MATCH(D11, sigma_h, 0)+1), MIN( sigma_h))</f>
        <v>13.5</v>
      </c>
      <c r="E12" s="35">
        <f t="shared" si="0"/>
        <v>0.2</v>
      </c>
      <c r="F12" s="36">
        <f t="shared" si="0"/>
        <v>0.2</v>
      </c>
      <c r="G12" s="38">
        <f t="shared" si="1"/>
        <v>6.2144650119077174E-2</v>
      </c>
      <c r="H12" s="38">
        <f t="shared" si="1"/>
        <v>4.5860100679092033E-2</v>
      </c>
      <c r="I12" s="38">
        <f t="shared" si="1"/>
        <v>3.1616829373245003E-2</v>
      </c>
      <c r="J12" s="38">
        <f t="shared" si="1"/>
        <v>2.8392509263002179E-2</v>
      </c>
      <c r="K12" s="38">
        <f t="shared" si="1"/>
        <v>2.5663873835752173E-2</v>
      </c>
      <c r="L12" s="38">
        <f t="shared" si="1"/>
        <v>2.1321335907350712E-2</v>
      </c>
      <c r="M12" s="38">
        <f t="shared" si="1"/>
        <v>1.1870366833805827E-2</v>
      </c>
      <c r="N12" s="38">
        <f t="shared" si="1"/>
        <v>7.7023575188841353E-3</v>
      </c>
      <c r="O12" s="38">
        <f t="shared" si="1"/>
        <v>3.9816661332006528E-3</v>
      </c>
      <c r="P12" s="38">
        <f t="shared" si="1"/>
        <v>7.0693964160134851E-5</v>
      </c>
      <c r="Q12" s="38">
        <f t="shared" si="1"/>
        <v>4.3272332889622628E-5</v>
      </c>
      <c r="R12" s="38">
        <f t="shared" si="1"/>
        <v>2.4167353900800921E-5</v>
      </c>
      <c r="S12" s="45">
        <f t="shared" si="2"/>
        <v>3.767661419542335E-29</v>
      </c>
      <c r="T12" s="46">
        <f t="shared" si="3"/>
        <v>1.5070645678169341E-30</v>
      </c>
      <c r="U12" s="50">
        <f t="shared" si="4"/>
        <v>5.2005137837493602E-2</v>
      </c>
      <c r="W12" s="54" t="str">
        <f>'grid-approx'!C12&amp;"-"&amp;'grid-approx'!D12</f>
        <v>1.5-13.5</v>
      </c>
    </row>
    <row r="13" spans="3:23" x14ac:dyDescent="0.3">
      <c r="C13" s="26" cm="1">
        <f t="array" ref="C13">IF(D12=MAX(sigma_h),INDEX(mu_h,MATCH(C12,mu_h,0)+1), C12)</f>
        <v>1.5</v>
      </c>
      <c r="D13" s="27" cm="1">
        <f t="array" ref="D13">IF( D12 &lt; MAX(sigma_h), INDEX(sigma_h, MATCH(D12, sigma_h, 0)+1), MIN( sigma_h))</f>
        <v>14.25</v>
      </c>
      <c r="E13" s="35">
        <f t="shared" si="0"/>
        <v>0.2</v>
      </c>
      <c r="F13" s="36">
        <f t="shared" si="0"/>
        <v>0.2</v>
      </c>
      <c r="G13" s="38">
        <f t="shared" si="1"/>
        <v>5.9393964175932568E-2</v>
      </c>
      <c r="H13" s="38">
        <f t="shared" si="1"/>
        <v>4.4416171648045483E-2</v>
      </c>
      <c r="I13" s="38">
        <f t="shared" si="1"/>
        <v>3.1034039901732816E-2</v>
      </c>
      <c r="J13" s="38">
        <f t="shared" si="1"/>
        <v>2.796305203043753E-2</v>
      </c>
      <c r="K13" s="38">
        <f t="shared" si="1"/>
        <v>2.5350959220539666E-2</v>
      </c>
      <c r="L13" s="38">
        <f t="shared" si="1"/>
        <v>2.1167364686366871E-2</v>
      </c>
      <c r="M13" s="38">
        <f t="shared" si="1"/>
        <v>1.1935391104820468E-2</v>
      </c>
      <c r="N13" s="38">
        <f t="shared" si="1"/>
        <v>7.7984906545401026E-3</v>
      </c>
      <c r="O13" s="38">
        <f t="shared" si="1"/>
        <v>4.0624900047448852E-3</v>
      </c>
      <c r="P13" s="38">
        <f t="shared" si="1"/>
        <v>7.3184136334590653E-5</v>
      </c>
      <c r="Q13" s="38">
        <f t="shared" si="1"/>
        <v>4.4812884356016501E-5</v>
      </c>
      <c r="R13" s="38">
        <f t="shared" si="1"/>
        <v>2.5035586987785872E-5</v>
      </c>
      <c r="S13" s="45">
        <f t="shared" si="2"/>
        <v>3.81403482224679E-29</v>
      </c>
      <c r="T13" s="46">
        <f t="shared" si="3"/>
        <v>1.5256139288987162E-30</v>
      </c>
      <c r="U13" s="50">
        <f t="shared" si="4"/>
        <v>5.2645231235252186E-2</v>
      </c>
      <c r="W13" s="54" t="str">
        <f>'grid-approx'!C13&amp;"-"&amp;'grid-approx'!D13</f>
        <v>1.5-14.25</v>
      </c>
    </row>
    <row r="14" spans="3:23" x14ac:dyDescent="0.3">
      <c r="C14" s="28" cm="1">
        <f t="array" ref="C14">IF(D13=MAX(sigma_h),INDEX(mu_h,MATCH(C13,mu_h,0)+1), C13)</f>
        <v>1.5</v>
      </c>
      <c r="D14" s="29" cm="1">
        <f t="array" ref="D14">IF( D13 &lt; MAX(sigma_h), INDEX(sigma_h, MATCH(D13, sigma_h, 0)+1), MIN( sigma_h))</f>
        <v>15</v>
      </c>
      <c r="E14" s="37">
        <f t="shared" si="0"/>
        <v>0.2</v>
      </c>
      <c r="F14" s="16">
        <f t="shared" si="0"/>
        <v>0.2</v>
      </c>
      <c r="G14" s="38">
        <f t="shared" si="1"/>
        <v>5.6874937490708932E-2</v>
      </c>
      <c r="H14" s="38">
        <f t="shared" si="1"/>
        <v>4.3052973690773405E-2</v>
      </c>
      <c r="I14" s="38">
        <f t="shared" si="1"/>
        <v>3.0458518106384017E-2</v>
      </c>
      <c r="J14" s="38">
        <f t="shared" si="1"/>
        <v>2.7531330840307653E-2</v>
      </c>
      <c r="K14" s="38">
        <f t="shared" si="1"/>
        <v>2.5029637841865841E-2</v>
      </c>
      <c r="L14" s="38">
        <f t="shared" si="1"/>
        <v>2.0998684164914554E-2</v>
      </c>
      <c r="M14" s="38">
        <f t="shared" si="1"/>
        <v>1.1985201925280431E-2</v>
      </c>
      <c r="N14" s="38">
        <f t="shared" si="1"/>
        <v>7.883841897053016E-3</v>
      </c>
      <c r="O14" s="38">
        <f t="shared" si="1"/>
        <v>4.137921920648221E-3</v>
      </c>
      <c r="P14" s="38">
        <f t="shared" si="1"/>
        <v>7.5622140177332688E-5</v>
      </c>
      <c r="Q14" s="38">
        <f t="shared" si="1"/>
        <v>4.6322570010660791E-5</v>
      </c>
      <c r="R14" s="38">
        <f t="shared" si="1"/>
        <v>2.5887103915768207E-5</v>
      </c>
      <c r="S14" s="47">
        <f t="shared" si="2"/>
        <v>3.8264614242850762E-29</v>
      </c>
      <c r="T14" s="48">
        <f t="shared" si="3"/>
        <v>1.5305845697140305E-30</v>
      </c>
      <c r="U14" s="51">
        <f t="shared" si="4"/>
        <v>5.2816755976966168E-2</v>
      </c>
      <c r="W14" s="54" t="str">
        <f>'grid-approx'!C14&amp;"-"&amp;'grid-approx'!D14</f>
        <v>1.5-15</v>
      </c>
    </row>
    <row r="15" spans="3:23" x14ac:dyDescent="0.3">
      <c r="C15" s="26" cm="1">
        <f t="array" ref="C15">IF(D14=MAX(sigma_h),INDEX(mu_h,MATCH(C14,mu_h,0)+1), C14)</f>
        <v>2</v>
      </c>
      <c r="D15" s="27" cm="1">
        <f t="array" ref="D15">IF( D14 &lt; MAX(sigma_h), INDEX(sigma_h, MATCH(D14, sigma_h, 0)+1), MIN( sigma_h))</f>
        <v>12</v>
      </c>
      <c r="E15" s="35">
        <f t="shared" si="0"/>
        <v>0.2</v>
      </c>
      <c r="F15" s="36">
        <f t="shared" si="0"/>
        <v>0.2</v>
      </c>
      <c r="G15" s="38">
        <f t="shared" ref="G15:R29" si="5">(1/$D15)*(1+$C15*(G$4 - mu_thres)/$D15)^(-($C15+1)/$C15)</f>
        <v>6.613000712661081E-2</v>
      </c>
      <c r="H15" s="38">
        <f t="shared" si="5"/>
        <v>4.5360921162651446E-2</v>
      </c>
      <c r="I15" s="38">
        <f t="shared" si="5"/>
        <v>2.946278254943948E-2</v>
      </c>
      <c r="J15" s="38">
        <f t="shared" si="5"/>
        <v>2.6129470018721433E-2</v>
      </c>
      <c r="K15" s="38">
        <f t="shared" si="5"/>
        <v>2.3380488239570618E-2</v>
      </c>
      <c r="L15" s="38">
        <f t="shared" si="5"/>
        <v>1.9136638615493574E-2</v>
      </c>
      <c r="M15" s="38">
        <f t="shared" si="5"/>
        <v>1.0416666666666668E-2</v>
      </c>
      <c r="N15" s="38">
        <f t="shared" si="5"/>
        <v>6.7658234670659265E-3</v>
      </c>
      <c r="O15" s="38">
        <f t="shared" si="5"/>
        <v>3.5706847562436989E-3</v>
      </c>
      <c r="P15" s="38">
        <f t="shared" si="5"/>
        <v>8.74543529562095E-5</v>
      </c>
      <c r="Q15" s="38">
        <f t="shared" si="5"/>
        <v>5.6113722320360937E-5</v>
      </c>
      <c r="R15" s="38">
        <f t="shared" si="5"/>
        <v>3.3162579972425153E-5</v>
      </c>
      <c r="S15" s="45">
        <f t="shared" si="2"/>
        <v>4.2315919902288939E-29</v>
      </c>
      <c r="T15" s="46">
        <f t="shared" si="3"/>
        <v>1.6926367960915577E-30</v>
      </c>
      <c r="U15" s="50">
        <f t="shared" si="4"/>
        <v>5.8408784712565588E-2</v>
      </c>
      <c r="W15" s="54" t="str">
        <f>'grid-approx'!C15&amp;"-"&amp;'grid-approx'!D15</f>
        <v>2-12</v>
      </c>
    </row>
    <row r="16" spans="3:23" x14ac:dyDescent="0.3">
      <c r="C16" s="26" cm="1">
        <f t="array" ref="C16">IF(D15=MAX(sigma_h),INDEX(mu_h,MATCH(C15,mu_h,0)+1), C15)</f>
        <v>2</v>
      </c>
      <c r="D16" s="27" cm="1">
        <f t="array" ref="D16">IF( D15 &lt; MAX(sigma_h), INDEX(sigma_h, MATCH(D15, sigma_h, 0)+1), MIN( sigma_h))</f>
        <v>12.75</v>
      </c>
      <c r="E16" s="35">
        <f t="shared" si="0"/>
        <v>0.2</v>
      </c>
      <c r="F16" s="36">
        <f t="shared" si="0"/>
        <v>0.2</v>
      </c>
      <c r="G16" s="38">
        <f t="shared" si="5"/>
        <v>6.3032867115897631E-2</v>
      </c>
      <c r="H16" s="38">
        <f t="shared" si="5"/>
        <v>4.3979793339921705E-2</v>
      </c>
      <c r="I16" s="38">
        <f t="shared" si="5"/>
        <v>2.8999618689505995E-2</v>
      </c>
      <c r="J16" s="38">
        <f t="shared" si="5"/>
        <v>2.5808895124412728E-2</v>
      </c>
      <c r="K16" s="38">
        <f t="shared" si="5"/>
        <v>2.3163187295027043E-2</v>
      </c>
      <c r="L16" s="38">
        <f t="shared" si="5"/>
        <v>1.9051893094266716E-2</v>
      </c>
      <c r="M16" s="38">
        <f t="shared" si="5"/>
        <v>1.0490426911933512E-2</v>
      </c>
      <c r="N16" s="38">
        <f t="shared" si="5"/>
        <v>6.853231986962147E-3</v>
      </c>
      <c r="O16" s="38">
        <f t="shared" si="5"/>
        <v>3.6387266867301035E-3</v>
      </c>
      <c r="P16" s="38">
        <f t="shared" si="5"/>
        <v>9.0058678535607459E-5</v>
      </c>
      <c r="Q16" s="38">
        <f t="shared" si="5"/>
        <v>5.779906739702586E-5</v>
      </c>
      <c r="R16" s="38">
        <f t="shared" si="5"/>
        <v>3.4165874146560451E-5</v>
      </c>
      <c r="S16" s="45">
        <f t="shared" si="2"/>
        <v>4.2598604358697104E-29</v>
      </c>
      <c r="T16" s="46">
        <f t="shared" si="3"/>
        <v>1.7039441743478842E-30</v>
      </c>
      <c r="U16" s="50">
        <f t="shared" si="4"/>
        <v>5.8798974872535145E-2</v>
      </c>
      <c r="W16" s="54" t="str">
        <f>'grid-approx'!C16&amp;"-"&amp;'grid-approx'!D16</f>
        <v>2-12.75</v>
      </c>
    </row>
    <row r="17" spans="1:23" x14ac:dyDescent="0.3">
      <c r="C17" s="26" cm="1">
        <f t="array" ref="C17">IF(D16=MAX(sigma_h),INDEX(mu_h,MATCH(C16,mu_h,0)+1), C16)</f>
        <v>2</v>
      </c>
      <c r="D17" s="27" cm="1">
        <f t="array" ref="D17">IF( D16 &lt; MAX(sigma_h), INDEX(sigma_h, MATCH(D16, sigma_h, 0)+1), MIN( sigma_h))</f>
        <v>13.5</v>
      </c>
      <c r="E17" s="35">
        <f t="shared" si="0"/>
        <v>0.2</v>
      </c>
      <c r="F17" s="36">
        <f t="shared" si="0"/>
        <v>0.2</v>
      </c>
      <c r="G17" s="38">
        <f t="shared" si="5"/>
        <v>6.021009840370211E-2</v>
      </c>
      <c r="H17" s="38">
        <f t="shared" si="5"/>
        <v>4.2669245863479165E-2</v>
      </c>
      <c r="I17" s="38">
        <f t="shared" si="5"/>
        <v>2.8533602945450934E-2</v>
      </c>
      <c r="J17" s="38">
        <f t="shared" si="5"/>
        <v>2.5478147263468021E-2</v>
      </c>
      <c r="K17" s="38">
        <f t="shared" si="5"/>
        <v>2.2931573735679524E-2</v>
      </c>
      <c r="L17" s="38">
        <f t="shared" si="5"/>
        <v>1.8949583709633983E-2</v>
      </c>
      <c r="M17" s="38">
        <f t="shared" si="5"/>
        <v>1.0550160967011989E-2</v>
      </c>
      <c r="N17" s="38">
        <f t="shared" si="5"/>
        <v>6.9311441996150617E-3</v>
      </c>
      <c r="O17" s="38">
        <f t="shared" si="5"/>
        <v>3.7019646138846843E-3</v>
      </c>
      <c r="P17" s="38">
        <f t="shared" si="5"/>
        <v>9.258002693798995E-5</v>
      </c>
      <c r="Q17" s="38">
        <f t="shared" si="5"/>
        <v>5.9431960387997841E-5</v>
      </c>
      <c r="R17" s="38">
        <f t="shared" si="5"/>
        <v>3.5138576209330698E-5</v>
      </c>
      <c r="S17" s="45">
        <f t="shared" si="2"/>
        <v>4.2477612366087317E-29</v>
      </c>
      <c r="T17" s="46">
        <f t="shared" si="3"/>
        <v>1.6991044946434931E-30</v>
      </c>
      <c r="U17" s="50">
        <f t="shared" si="4"/>
        <v>5.8631969280677348E-2</v>
      </c>
      <c r="W17" s="54" t="str">
        <f>'grid-approx'!C17&amp;"-"&amp;'grid-approx'!D17</f>
        <v>2-13.5</v>
      </c>
    </row>
    <row r="18" spans="1:23" x14ac:dyDescent="0.3">
      <c r="C18" s="26" cm="1">
        <f t="array" ref="C18">IF(D17=MAX(sigma_h),INDEX(mu_h,MATCH(C17,mu_h,0)+1), C17)</f>
        <v>2</v>
      </c>
      <c r="D18" s="27" cm="1">
        <f t="array" ref="D18">IF( D17 &lt; MAX(sigma_h), INDEX(sigma_h, MATCH(D17, sigma_h, 0)+1), MIN( sigma_h))</f>
        <v>14.25</v>
      </c>
      <c r="E18" s="35">
        <f t="shared" si="0"/>
        <v>0.2</v>
      </c>
      <c r="F18" s="36">
        <f t="shared" si="0"/>
        <v>0.2</v>
      </c>
      <c r="G18" s="38">
        <f t="shared" si="5"/>
        <v>5.7627182176693784E-2</v>
      </c>
      <c r="H18" s="38">
        <f t="shared" si="5"/>
        <v>4.1425703348536347E-2</v>
      </c>
      <c r="I18" s="38">
        <f t="shared" si="5"/>
        <v>2.8068129432876468E-2</v>
      </c>
      <c r="J18" s="38">
        <f t="shared" si="5"/>
        <v>2.5140838251682427E-2</v>
      </c>
      <c r="K18" s="38">
        <f t="shared" si="5"/>
        <v>2.2689209422301276E-2</v>
      </c>
      <c r="L18" s="38">
        <f t="shared" si="5"/>
        <v>1.8832872596400766E-2</v>
      </c>
      <c r="M18" s="38">
        <f t="shared" si="5"/>
        <v>1.0597497750002984E-2</v>
      </c>
      <c r="N18" s="38">
        <f t="shared" si="5"/>
        <v>7.0004927192326531E-3</v>
      </c>
      <c r="O18" s="38">
        <f t="shared" si="5"/>
        <v>3.7608053867167839E-3</v>
      </c>
      <c r="P18" s="38">
        <f t="shared" si="5"/>
        <v>9.5025040257593123E-5</v>
      </c>
      <c r="Q18" s="38">
        <f t="shared" si="5"/>
        <v>6.1016625669933533E-5</v>
      </c>
      <c r="R18" s="38">
        <f t="shared" si="5"/>
        <v>3.6083164153384204E-5</v>
      </c>
      <c r="S18" s="45">
        <f t="shared" si="2"/>
        <v>4.201748911401916E-29</v>
      </c>
      <c r="T18" s="46">
        <f t="shared" si="3"/>
        <v>1.6806995645607665E-30</v>
      </c>
      <c r="U18" s="50">
        <f t="shared" si="4"/>
        <v>5.7996859845898377E-2</v>
      </c>
      <c r="W18" s="54" t="str">
        <f>'grid-approx'!C18&amp;"-"&amp;'grid-approx'!D18</f>
        <v>2-14.25</v>
      </c>
    </row>
    <row r="19" spans="1:23" x14ac:dyDescent="0.3">
      <c r="C19" s="26" cm="1">
        <f t="array" ref="C19">IF(D18=MAX(sigma_h),INDEX(mu_h,MATCH(C18,mu_h,0)+1), C18)</f>
        <v>2</v>
      </c>
      <c r="D19" s="27" cm="1">
        <f t="array" ref="D19">IF( D18 &lt; MAX(sigma_h), INDEX(sigma_h, MATCH(D18, sigma_h, 0)+1), MIN( sigma_h))</f>
        <v>15</v>
      </c>
      <c r="E19" s="35">
        <f t="shared" si="0"/>
        <v>0.2</v>
      </c>
      <c r="F19" s="36">
        <f t="shared" si="0"/>
        <v>0.2</v>
      </c>
      <c r="G19" s="38">
        <f t="shared" si="5"/>
        <v>5.5255084507513187E-2</v>
      </c>
      <c r="H19" s="38">
        <f t="shared" si="5"/>
        <v>4.0245440701357937E-2</v>
      </c>
      <c r="I19" s="38">
        <f t="shared" si="5"/>
        <v>2.7605777499997403E-2</v>
      </c>
      <c r="J19" s="38">
        <f t="shared" si="5"/>
        <v>2.4799825938899182E-2</v>
      </c>
      <c r="K19" s="38">
        <f t="shared" si="5"/>
        <v>2.2438978827104921E-2</v>
      </c>
      <c r="L19" s="38">
        <f t="shared" si="5"/>
        <v>1.8704390591656496E-2</v>
      </c>
      <c r="M19" s="38">
        <f t="shared" si="5"/>
        <v>1.0633845971502754E-2</v>
      </c>
      <c r="N19" s="38">
        <f t="shared" si="5"/>
        <v>7.0620928866773694E-3</v>
      </c>
      <c r="O19" s="38">
        <f t="shared" si="5"/>
        <v>3.815606402515158E-3</v>
      </c>
      <c r="P19" s="38">
        <f t="shared" si="5"/>
        <v>9.7399503150931327E-5</v>
      </c>
      <c r="Q19" s="38">
        <f t="shared" si="5"/>
        <v>6.2556741197907699E-5</v>
      </c>
      <c r="R19" s="38">
        <f t="shared" si="5"/>
        <v>3.7001794914627334E-5</v>
      </c>
      <c r="S19" s="45">
        <f t="shared" si="2"/>
        <v>4.1278624032823569E-29</v>
      </c>
      <c r="T19" s="46">
        <f t="shared" si="3"/>
        <v>1.6511449613129431E-30</v>
      </c>
      <c r="U19" s="50">
        <f t="shared" si="4"/>
        <v>5.6977002270809936E-2</v>
      </c>
      <c r="W19" s="54" t="str">
        <f>'grid-approx'!C19&amp;"-"&amp;'grid-approx'!D19</f>
        <v>2-15</v>
      </c>
    </row>
    <row r="20" spans="1:23" x14ac:dyDescent="0.3">
      <c r="C20" s="24" cm="1">
        <f t="array" ref="C20">IF(D19=MAX(sigma_h),INDEX(mu_h,MATCH(C19,mu_h,0)+1), C19)</f>
        <v>2.5</v>
      </c>
      <c r="D20" s="25" cm="1">
        <f t="array" ref="D20">IF( D19 &lt; MAX(sigma_h), INDEX(sigma_h, MATCH(D19, sigma_h, 0)+1), MIN( sigma_h))</f>
        <v>12</v>
      </c>
      <c r="E20" s="34">
        <f t="shared" si="0"/>
        <v>0.2</v>
      </c>
      <c r="F20" s="15">
        <f t="shared" si="0"/>
        <v>0.2</v>
      </c>
      <c r="G20" s="38">
        <f t="shared" si="5"/>
        <v>6.3937742067088466E-2</v>
      </c>
      <c r="H20" s="38">
        <f t="shared" si="5"/>
        <v>4.2230287931620925E-2</v>
      </c>
      <c r="I20" s="38">
        <f t="shared" si="5"/>
        <v>2.6777080770313547E-2</v>
      </c>
      <c r="J20" s="38">
        <f t="shared" si="5"/>
        <v>2.3654930481135667E-2</v>
      </c>
      <c r="K20" s="38">
        <f t="shared" si="5"/>
        <v>2.1108750601884583E-2</v>
      </c>
      <c r="L20" s="38">
        <f t="shared" si="5"/>
        <v>1.7226223781464274E-2</v>
      </c>
      <c r="M20" s="38">
        <f t="shared" si="5"/>
        <v>9.4069254116203142E-3</v>
      </c>
      <c r="N20" s="38">
        <f t="shared" si="5"/>
        <v>6.1742680946205285E-3</v>
      </c>
      <c r="O20" s="38">
        <f t="shared" si="5"/>
        <v>3.3370094077100508E-3</v>
      </c>
      <c r="P20" s="38">
        <f t="shared" si="5"/>
        <v>1.0138343249383239E-4</v>
      </c>
      <c r="Q20" s="38">
        <f t="shared" si="5"/>
        <v>6.6954529585211821E-5</v>
      </c>
      <c r="R20" s="38">
        <f t="shared" si="5"/>
        <v>4.0955344287585857E-5</v>
      </c>
      <c r="S20" s="43">
        <f t="shared" si="2"/>
        <v>3.3509427315773571E-29</v>
      </c>
      <c r="T20" s="44">
        <f t="shared" si="3"/>
        <v>1.340377092630943E-30</v>
      </c>
      <c r="U20" s="49">
        <f t="shared" si="4"/>
        <v>4.6253157923727722E-2</v>
      </c>
      <c r="W20" s="54" t="str">
        <f>'grid-approx'!C20&amp;"-"&amp;'grid-approx'!D20</f>
        <v>2.5-12</v>
      </c>
    </row>
    <row r="21" spans="1:23" x14ac:dyDescent="0.3">
      <c r="C21" s="26" cm="1">
        <f t="array" ref="C21">IF(D20=MAX(sigma_h),INDEX(mu_h,MATCH(C20,mu_h,0)+1), C20)</f>
        <v>2.5</v>
      </c>
      <c r="D21" s="27" cm="1">
        <f t="array" ref="D21">IF( D20 &lt; MAX(sigma_h), INDEX(sigma_h, MATCH(D20, sigma_h, 0)+1), MIN( sigma_h))</f>
        <v>12.75</v>
      </c>
      <c r="E21" s="35">
        <f t="shared" si="0"/>
        <v>0.2</v>
      </c>
      <c r="F21" s="36">
        <f t="shared" si="0"/>
        <v>0.2</v>
      </c>
      <c r="G21" s="38">
        <f t="shared" si="5"/>
        <v>6.1041653985011476E-2</v>
      </c>
      <c r="H21" s="38">
        <f t="shared" si="5"/>
        <v>4.1040159062640774E-2</v>
      </c>
      <c r="I21" s="38">
        <f t="shared" si="5"/>
        <v>2.6401943143246558E-2</v>
      </c>
      <c r="J21" s="38">
        <f t="shared" si="5"/>
        <v>2.3398528349907091E-2</v>
      </c>
      <c r="K21" s="38">
        <f t="shared" si="5"/>
        <v>2.0936700854428114E-2</v>
      </c>
      <c r="L21" s="38">
        <f t="shared" si="5"/>
        <v>1.7160120593886118E-2</v>
      </c>
      <c r="M21" s="38">
        <f t="shared" si="5"/>
        <v>9.4630533803198962E-3</v>
      </c>
      <c r="N21" s="38">
        <f t="shared" si="5"/>
        <v>6.2405593397267317E-3</v>
      </c>
      <c r="O21" s="38">
        <f t="shared" si="5"/>
        <v>3.3891044587870665E-3</v>
      </c>
      <c r="P21" s="38">
        <f t="shared" si="5"/>
        <v>1.037968204252612E-4</v>
      </c>
      <c r="Q21" s="38">
        <f t="shared" si="5"/>
        <v>6.8561083562390375E-5</v>
      </c>
      <c r="R21" s="38">
        <f t="shared" si="5"/>
        <v>4.1944741760730723E-5</v>
      </c>
      <c r="S21" s="45">
        <f t="shared" si="2"/>
        <v>3.3217531531984196E-29</v>
      </c>
      <c r="T21" s="46">
        <f t="shared" si="3"/>
        <v>1.3287012612793678E-30</v>
      </c>
      <c r="U21" s="50">
        <f t="shared" si="4"/>
        <v>4.5850253342349656E-2</v>
      </c>
      <c r="W21" s="54" t="str">
        <f>'grid-approx'!C21&amp;"-"&amp;'grid-approx'!D21</f>
        <v>2.5-12.75</v>
      </c>
    </row>
    <row r="22" spans="1:23" x14ac:dyDescent="0.3">
      <c r="C22" s="26" cm="1">
        <f t="array" ref="C22">IF(D21=MAX(sigma_h),INDEX(mu_h,MATCH(C21,mu_h,0)+1), C21)</f>
        <v>2.5</v>
      </c>
      <c r="D22" s="27" cm="1">
        <f t="array" ref="D22">IF( D21 &lt; MAX(sigma_h), INDEX(sigma_h, MATCH(D21, sigma_h, 0)+1), MIN( sigma_h))</f>
        <v>13.5</v>
      </c>
      <c r="E22" s="35">
        <f t="shared" si="0"/>
        <v>0.2</v>
      </c>
      <c r="F22" s="36">
        <f t="shared" si="0"/>
        <v>0.2</v>
      </c>
      <c r="G22" s="38">
        <f t="shared" si="5"/>
        <v>5.8393637794477378E-2</v>
      </c>
      <c r="H22" s="38">
        <f t="shared" si="5"/>
        <v>3.9904924620289425E-2</v>
      </c>
      <c r="I22" s="38">
        <f t="shared" si="5"/>
        <v>2.6022601034320803E-2</v>
      </c>
      <c r="J22" s="38">
        <f t="shared" si="5"/>
        <v>2.3132743164095207E-2</v>
      </c>
      <c r="K22" s="38">
        <f t="shared" si="5"/>
        <v>2.0752516964125771E-2</v>
      </c>
      <c r="L22" s="38">
        <f t="shared" si="5"/>
        <v>1.7080024372976406E-2</v>
      </c>
      <c r="M22" s="38">
        <f t="shared" si="5"/>
        <v>9.5085719018065291E-3</v>
      </c>
      <c r="N22" s="38">
        <f t="shared" si="5"/>
        <v>6.2996437139447485E-3</v>
      </c>
      <c r="O22" s="38">
        <f t="shared" si="5"/>
        <v>3.4374309974580064E-3</v>
      </c>
      <c r="P22" s="38">
        <f t="shared" si="5"/>
        <v>1.0612046149933399E-4</v>
      </c>
      <c r="Q22" s="38">
        <f t="shared" si="5"/>
        <v>7.0108928590727979E-5</v>
      </c>
      <c r="R22" s="38">
        <f t="shared" si="5"/>
        <v>4.2898526127173913E-5</v>
      </c>
      <c r="S22" s="45">
        <f t="shared" si="2"/>
        <v>3.2674521238522118E-29</v>
      </c>
      <c r="T22" s="46">
        <f t="shared" si="3"/>
        <v>1.3069808495408849E-30</v>
      </c>
      <c r="U22" s="50">
        <f t="shared" si="4"/>
        <v>4.5100734688359158E-2</v>
      </c>
      <c r="W22" s="54" t="str">
        <f>'grid-approx'!C22&amp;"-"&amp;'grid-approx'!D22</f>
        <v>2.5-13.5</v>
      </c>
    </row>
    <row r="23" spans="1:23" x14ac:dyDescent="0.3">
      <c r="C23" s="26" cm="1">
        <f t="array" ref="C23">IF(D22=MAX(sigma_h),INDEX(mu_h,MATCH(C22,mu_h,0)+1), C22)</f>
        <v>2.5</v>
      </c>
      <c r="D23" s="27" cm="1">
        <f t="array" ref="D23">IF( D22 &lt; MAX(sigma_h), INDEX(sigma_h, MATCH(D22, sigma_h, 0)+1), MIN( sigma_h))</f>
        <v>14.25</v>
      </c>
      <c r="E23" s="35">
        <f t="shared" si="0"/>
        <v>0.2</v>
      </c>
      <c r="F23" s="36">
        <f t="shared" si="0"/>
        <v>0.2</v>
      </c>
      <c r="G23" s="38">
        <f t="shared" si="5"/>
        <v>5.5963544075318852E-2</v>
      </c>
      <c r="H23" s="38">
        <f t="shared" si="5"/>
        <v>3.8822453632694064E-2</v>
      </c>
      <c r="I23" s="38">
        <f t="shared" si="5"/>
        <v>2.5641871954133123E-2</v>
      </c>
      <c r="J23" s="38">
        <f t="shared" si="5"/>
        <v>2.2860447324905345E-2</v>
      </c>
      <c r="K23" s="38">
        <f t="shared" si="5"/>
        <v>2.055895990597344E-2</v>
      </c>
      <c r="L23" s="38">
        <f t="shared" si="5"/>
        <v>1.6988319501369163E-2</v>
      </c>
      <c r="M23" s="38">
        <f t="shared" si="5"/>
        <v>9.5446992653538867E-3</v>
      </c>
      <c r="N23" s="38">
        <f t="shared" si="5"/>
        <v>6.3522409985803333E-3</v>
      </c>
      <c r="O23" s="38">
        <f t="shared" si="5"/>
        <v>3.4823256991371146E-3</v>
      </c>
      <c r="P23" s="38">
        <f t="shared" si="5"/>
        <v>1.0836209109513305E-4</v>
      </c>
      <c r="Q23" s="38">
        <f t="shared" si="5"/>
        <v>7.1603142427057573E-5</v>
      </c>
      <c r="R23" s="38">
        <f t="shared" si="5"/>
        <v>4.3819787489701183E-5</v>
      </c>
      <c r="S23" s="45">
        <f t="shared" si="2"/>
        <v>3.1931000841290829E-29</v>
      </c>
      <c r="T23" s="46">
        <f t="shared" si="3"/>
        <v>1.2772400336516332E-30</v>
      </c>
      <c r="U23" s="50">
        <f t="shared" si="4"/>
        <v>4.4074451367293162E-2</v>
      </c>
      <c r="W23" s="54" t="str">
        <f>'grid-approx'!C23&amp;"-"&amp;'grid-approx'!D23</f>
        <v>2.5-14.25</v>
      </c>
    </row>
    <row r="24" spans="1:23" x14ac:dyDescent="0.3">
      <c r="C24" s="28" cm="1">
        <f t="array" ref="C24">IF(D23=MAX(sigma_h),INDEX(mu_h,MATCH(C23,mu_h,0)+1), C23)</f>
        <v>2.5</v>
      </c>
      <c r="D24" s="29" cm="1">
        <f t="array" ref="D24">IF( D23 &lt; MAX(sigma_h), INDEX(sigma_h, MATCH(D23, sigma_h, 0)+1), MIN( sigma_h))</f>
        <v>15</v>
      </c>
      <c r="E24" s="37">
        <f t="shared" si="0"/>
        <v>0.2</v>
      </c>
      <c r="F24" s="16">
        <f t="shared" si="0"/>
        <v>0.2</v>
      </c>
      <c r="G24" s="38">
        <f t="shared" si="5"/>
        <v>5.372584260765173E-2</v>
      </c>
      <c r="H24" s="38">
        <f t="shared" si="5"/>
        <v>3.779035557409751E-2</v>
      </c>
      <c r="I24" s="38">
        <f t="shared" si="5"/>
        <v>2.5261942775173303E-2</v>
      </c>
      <c r="J24" s="38">
        <f t="shared" si="5"/>
        <v>2.2583944520255847E-2</v>
      </c>
      <c r="K24" s="38">
        <f t="shared" si="5"/>
        <v>2.0358287422536991E-2</v>
      </c>
      <c r="L24" s="38">
        <f t="shared" si="5"/>
        <v>1.6887000481507666E-2</v>
      </c>
      <c r="M24" s="38">
        <f t="shared" si="5"/>
        <v>9.5724862916419587E-3</v>
      </c>
      <c r="N24" s="38">
        <f t="shared" si="5"/>
        <v>6.3989765971225613E-3</v>
      </c>
      <c r="O24" s="38">
        <f t="shared" si="5"/>
        <v>3.5240817907704184E-3</v>
      </c>
      <c r="P24" s="38">
        <f t="shared" si="5"/>
        <v>1.105284058224736E-4</v>
      </c>
      <c r="Q24" s="38">
        <f t="shared" si="5"/>
        <v>7.3048120141541229E-5</v>
      </c>
      <c r="R24" s="38">
        <f t="shared" si="5"/>
        <v>4.4711200088167063E-5</v>
      </c>
      <c r="S24" s="47">
        <f t="shared" si="2"/>
        <v>3.1031662819713025E-29</v>
      </c>
      <c r="T24" s="48">
        <f t="shared" si="3"/>
        <v>1.2412665127885212E-30</v>
      </c>
      <c r="U24" s="51">
        <f t="shared" si="4"/>
        <v>4.2833092535736222E-2</v>
      </c>
      <c r="W24" s="54" t="str">
        <f>'grid-approx'!C24&amp;"-"&amp;'grid-approx'!D24</f>
        <v>2.5-15</v>
      </c>
    </row>
    <row r="25" spans="1:23" x14ac:dyDescent="0.3">
      <c r="C25" s="26" cm="1">
        <f t="array" ref="C25">IF(D24=MAX(sigma_h),INDEX(mu_h,MATCH(C24,mu_h,0)+1), C24)</f>
        <v>3</v>
      </c>
      <c r="D25" s="27" cm="1">
        <f t="array" ref="D25">IF( D24 &lt; MAX(sigma_h), INDEX(sigma_h, MATCH(D24, sigma_h, 0)+1), MIN( sigma_h))</f>
        <v>12</v>
      </c>
      <c r="E25" s="35">
        <f t="shared" si="0"/>
        <v>0.2</v>
      </c>
      <c r="F25" s="36">
        <f t="shared" si="0"/>
        <v>0.2</v>
      </c>
      <c r="G25" s="38">
        <f t="shared" si="5"/>
        <v>6.1887851114837057E-2</v>
      </c>
      <c r="H25" s="38">
        <f t="shared" si="5"/>
        <v>3.9515549207916355E-2</v>
      </c>
      <c r="I25" s="38">
        <f t="shared" si="5"/>
        <v>2.4560209990935909E-2</v>
      </c>
      <c r="J25" s="38">
        <f t="shared" si="5"/>
        <v>2.1629268348594188E-2</v>
      </c>
      <c r="K25" s="38">
        <f t="shared" si="5"/>
        <v>1.9260035398628739E-2</v>
      </c>
      <c r="L25" s="38">
        <f t="shared" si="5"/>
        <v>1.5681756095436893E-2</v>
      </c>
      <c r="M25" s="38">
        <f t="shared" si="5"/>
        <v>8.5835808324652256E-3</v>
      </c>
      <c r="N25" s="38">
        <f t="shared" si="5"/>
        <v>5.6763661658781718E-3</v>
      </c>
      <c r="O25" s="38">
        <f t="shared" si="5"/>
        <v>3.1196192997761454E-3</v>
      </c>
      <c r="P25" s="38">
        <f t="shared" si="5"/>
        <v>1.0964630244960285E-4</v>
      </c>
      <c r="Q25" s="38">
        <f t="shared" si="5"/>
        <v>7.3821375346338005E-5</v>
      </c>
      <c r="R25" s="38">
        <f t="shared" si="5"/>
        <v>4.6206376716255654E-5</v>
      </c>
      <c r="S25" s="45">
        <f t="shared" si="2"/>
        <v>2.2305791892398734E-29</v>
      </c>
      <c r="T25" s="46">
        <f t="shared" si="3"/>
        <v>8.9223167569594937E-31</v>
      </c>
      <c r="U25" s="50">
        <f t="shared" si="4"/>
        <v>3.078874805261967E-2</v>
      </c>
      <c r="W25" s="54" t="str">
        <f>'grid-approx'!C25&amp;"-"&amp;'grid-approx'!D25</f>
        <v>3-12</v>
      </c>
    </row>
    <row r="26" spans="1:23" x14ac:dyDescent="0.3">
      <c r="C26" s="26" cm="1">
        <f t="array" ref="C26">IF(D25=MAX(sigma_h),INDEX(mu_h,MATCH(C25,mu_h,0)+1), C25)</f>
        <v>3</v>
      </c>
      <c r="D26" s="27" cm="1">
        <f t="array" ref="D26">IF( D25 &lt; MAX(sigma_h), INDEX(sigma_h, MATCH(D25, sigma_h, 0)+1), MIN( sigma_h))</f>
        <v>12.75</v>
      </c>
      <c r="E26" s="35">
        <f t="shared" si="0"/>
        <v>0.2</v>
      </c>
      <c r="F26" s="36">
        <f t="shared" si="0"/>
        <v>0.2</v>
      </c>
      <c r="G26" s="38">
        <f t="shared" si="5"/>
        <v>5.9173780637998344E-2</v>
      </c>
      <c r="H26" s="38">
        <f t="shared" si="5"/>
        <v>3.8479053416720366E-2</v>
      </c>
      <c r="I26" s="38">
        <f t="shared" si="5"/>
        <v>2.4249897175289279E-2</v>
      </c>
      <c r="J26" s="38">
        <f t="shared" si="5"/>
        <v>2.1419287755557497E-2</v>
      </c>
      <c r="K26" s="38">
        <f t="shared" si="5"/>
        <v>1.9120251640267167E-2</v>
      </c>
      <c r="L26" s="38">
        <f t="shared" si="5"/>
        <v>1.5628665743231924E-2</v>
      </c>
      <c r="M26" s="38">
        <f t="shared" si="5"/>
        <v>8.6278324281761094E-3</v>
      </c>
      <c r="N26" s="38">
        <f t="shared" si="5"/>
        <v>5.7285039467781804E-3</v>
      </c>
      <c r="O26" s="38">
        <f t="shared" si="5"/>
        <v>3.1608651740228874E-3</v>
      </c>
      <c r="P26" s="38">
        <f t="shared" si="5"/>
        <v>1.1182021733279465E-4</v>
      </c>
      <c r="Q26" s="38">
        <f t="shared" si="5"/>
        <v>7.5296127466200849E-5</v>
      </c>
      <c r="R26" s="38">
        <f t="shared" si="5"/>
        <v>4.7135429638539679E-5</v>
      </c>
      <c r="S26" s="45">
        <f t="shared" si="2"/>
        <v>2.1911568308314706E-29</v>
      </c>
      <c r="T26" s="46">
        <f t="shared" si="3"/>
        <v>8.7646273233258833E-31</v>
      </c>
      <c r="U26" s="50">
        <f t="shared" si="4"/>
        <v>3.0244600117172466E-2</v>
      </c>
      <c r="W26" s="54" t="str">
        <f>'grid-approx'!C26&amp;"-"&amp;'grid-approx'!D26</f>
        <v>3-12.75</v>
      </c>
    </row>
    <row r="27" spans="1:23" x14ac:dyDescent="0.3">
      <c r="C27" s="26" cm="1">
        <f t="array" ref="C27">IF(D26=MAX(sigma_h),INDEX(mu_h,MATCH(C26,mu_h,0)+1), C26)</f>
        <v>3</v>
      </c>
      <c r="D27" s="27" cm="1">
        <f t="array" ref="D27">IF( D26 &lt; MAX(sigma_h), INDEX(sigma_h, MATCH(D26, sigma_h, 0)+1), MIN( sigma_h))</f>
        <v>13.5</v>
      </c>
      <c r="E27" s="35">
        <f t="shared" si="0"/>
        <v>0.2</v>
      </c>
      <c r="F27" s="36">
        <f t="shared" si="0"/>
        <v>0.2</v>
      </c>
      <c r="G27" s="38">
        <f t="shared" si="5"/>
        <v>5.6684718887613082E-2</v>
      </c>
      <c r="H27" s="38">
        <f t="shared" si="5"/>
        <v>3.7485896235633302E-2</v>
      </c>
      <c r="I27" s="38">
        <f t="shared" si="5"/>
        <v>2.3934839400925525E-2</v>
      </c>
      <c r="J27" s="38">
        <f t="shared" si="5"/>
        <v>2.1200810429357387E-2</v>
      </c>
      <c r="K27" s="38">
        <f t="shared" si="5"/>
        <v>1.8970097623947003E-2</v>
      </c>
      <c r="L27" s="38">
        <f t="shared" si="5"/>
        <v>1.5564156183683561E-2</v>
      </c>
      <c r="M27" s="38">
        <f t="shared" si="5"/>
        <v>8.6637562613714591E-3</v>
      </c>
      <c r="N27" s="38">
        <f t="shared" si="5"/>
        <v>5.7749708633530461E-3</v>
      </c>
      <c r="O27" s="38">
        <f t="shared" si="5"/>
        <v>3.1990775667242403E-3</v>
      </c>
      <c r="P27" s="38">
        <f t="shared" si="5"/>
        <v>1.1390557904163185E-4</v>
      </c>
      <c r="Q27" s="38">
        <f t="shared" si="5"/>
        <v>7.6711667610674728E-5</v>
      </c>
      <c r="R27" s="38">
        <f t="shared" si="5"/>
        <v>4.8027642584673425E-5</v>
      </c>
      <c r="S27" s="45">
        <f t="shared" si="2"/>
        <v>2.1384076824153261E-29</v>
      </c>
      <c r="T27" s="46">
        <f t="shared" si="3"/>
        <v>8.553630729661306E-31</v>
      </c>
      <c r="U27" s="50">
        <f t="shared" si="4"/>
        <v>2.951650211984095E-2</v>
      </c>
      <c r="W27" s="54" t="str">
        <f>'grid-approx'!C27&amp;"-"&amp;'grid-approx'!D27</f>
        <v>3-13.5</v>
      </c>
    </row>
    <row r="28" spans="1:23" x14ac:dyDescent="0.3">
      <c r="C28" s="26" cm="1">
        <f t="array" ref="C28">IF(D27=MAX(sigma_h),INDEX(mu_h,MATCH(C27,mu_h,0)+1), C27)</f>
        <v>3</v>
      </c>
      <c r="D28" s="27" cm="1">
        <f t="array" ref="D28">IF( D27 &lt; MAX(sigma_h), INDEX(sigma_h, MATCH(D27, sigma_h, 0)+1), MIN( sigma_h))</f>
        <v>14.25</v>
      </c>
      <c r="E28" s="35">
        <f t="shared" si="0"/>
        <v>0.2</v>
      </c>
      <c r="F28" s="36">
        <f t="shared" si="0"/>
        <v>0.2</v>
      </c>
      <c r="G28" s="38">
        <f t="shared" si="5"/>
        <v>5.4394228614244644E-2</v>
      </c>
      <c r="H28" s="38">
        <f t="shared" si="5"/>
        <v>3.6534879432239722E-2</v>
      </c>
      <c r="I28" s="38">
        <f t="shared" si="5"/>
        <v>2.3617395159871019E-2</v>
      </c>
      <c r="J28" s="38">
        <f t="shared" si="5"/>
        <v>2.0976166728845606E-2</v>
      </c>
      <c r="K28" s="38">
        <f t="shared" si="5"/>
        <v>1.8811771813846148E-2</v>
      </c>
      <c r="L28" s="38">
        <f t="shared" si="5"/>
        <v>1.5490089297830285E-2</v>
      </c>
      <c r="M28" s="38">
        <f t="shared" si="5"/>
        <v>8.6923008069839398E-3</v>
      </c>
      <c r="N28" s="38">
        <f t="shared" si="5"/>
        <v>5.8163400351773729E-3</v>
      </c>
      <c r="O28" s="38">
        <f t="shared" si="5"/>
        <v>3.2345369293339372E-3</v>
      </c>
      <c r="P28" s="38">
        <f t="shared" si="5"/>
        <v>1.1591036464147627E-4</v>
      </c>
      <c r="Q28" s="38">
        <f t="shared" si="5"/>
        <v>7.8073342081340139E-5</v>
      </c>
      <c r="R28" s="38">
        <f t="shared" si="5"/>
        <v>4.8886348963421059E-5</v>
      </c>
      <c r="S28" s="45">
        <f t="shared" si="2"/>
        <v>2.0754464980519418E-29</v>
      </c>
      <c r="T28" s="46">
        <f t="shared" si="3"/>
        <v>8.3017859922077682E-31</v>
      </c>
      <c r="U28" s="50">
        <f t="shared" si="4"/>
        <v>2.8647447099597809E-2</v>
      </c>
      <c r="W28" s="54" t="str">
        <f>'grid-approx'!C28&amp;"-"&amp;'grid-approx'!D28</f>
        <v>3-14.25</v>
      </c>
    </row>
    <row r="29" spans="1:23" x14ac:dyDescent="0.3">
      <c r="C29" s="28" cm="1">
        <f t="array" ref="C29">IF(D28=MAX(sigma_h),INDEX(mu_h,MATCH(C28,mu_h,0)+1), C28)</f>
        <v>3</v>
      </c>
      <c r="D29" s="29" cm="1">
        <f t="array" ref="D29">IF( D28 &lt; MAX(sigma_h), INDEX(sigma_h, MATCH(D28, sigma_h, 0)+1), MIN( sigma_h))</f>
        <v>15</v>
      </c>
      <c r="E29" s="37">
        <f t="shared" si="0"/>
        <v>0.2</v>
      </c>
      <c r="F29" s="16">
        <f t="shared" si="0"/>
        <v>0.2</v>
      </c>
      <c r="G29" s="38">
        <f t="shared" si="5"/>
        <v>5.2279779382279359E-2</v>
      </c>
      <c r="H29" s="38">
        <f t="shared" si="5"/>
        <v>3.5624498889097848E-2</v>
      </c>
      <c r="I29" s="38">
        <f t="shared" si="5"/>
        <v>2.3299423025109973E-2</v>
      </c>
      <c r="J29" s="38">
        <f t="shared" si="5"/>
        <v>2.0747244197023913E-2</v>
      </c>
      <c r="K29" s="38">
        <f t="shared" si="5"/>
        <v>1.8647084706080494E-2</v>
      </c>
      <c r="L29" s="38">
        <f t="shared" si="5"/>
        <v>1.5408028318902992E-2</v>
      </c>
      <c r="M29" s="38">
        <f t="shared" si="5"/>
        <v>8.7142824444120907E-3</v>
      </c>
      <c r="N29" s="38">
        <f t="shared" si="5"/>
        <v>5.8531073342899384E-3</v>
      </c>
      <c r="O29" s="38">
        <f t="shared" si="5"/>
        <v>3.2674862113924595E-3</v>
      </c>
      <c r="P29" s="38">
        <f t="shared" si="5"/>
        <v>1.1784145296427961E-4</v>
      </c>
      <c r="Q29" s="38">
        <f t="shared" si="5"/>
        <v>7.9385760538394699E-5</v>
      </c>
      <c r="R29" s="38">
        <f t="shared" si="5"/>
        <v>4.9714422576845314E-5</v>
      </c>
      <c r="S29" s="47">
        <f t="shared" si="2"/>
        <v>2.0049386544330399E-29</v>
      </c>
      <c r="T29" s="48">
        <f t="shared" si="3"/>
        <v>8.0197546177321599E-31</v>
      </c>
      <c r="U29" s="51">
        <f t="shared" si="4"/>
        <v>2.767422532680092E-2</v>
      </c>
      <c r="W29" s="55" t="str">
        <f>'grid-approx'!C29&amp;"-"&amp;'grid-approx'!D29</f>
        <v>3-15</v>
      </c>
    </row>
    <row r="30" spans="1:23" x14ac:dyDescent="0.3">
      <c r="C30" s="5" t="s">
        <v>24</v>
      </c>
      <c r="D30" s="5" t="s">
        <v>18</v>
      </c>
      <c r="E30" s="5" t="s">
        <v>25</v>
      </c>
      <c r="F30" s="5" t="s">
        <v>26</v>
      </c>
      <c r="G30" s="2" t="s">
        <v>27</v>
      </c>
      <c r="M30" s="5" t="s">
        <v>11</v>
      </c>
      <c r="S30" s="5" t="s">
        <v>28</v>
      </c>
      <c r="T30" s="5" t="s">
        <v>29</v>
      </c>
      <c r="U30" s="5" t="s">
        <v>30</v>
      </c>
    </row>
    <row r="31" spans="1:23" x14ac:dyDescent="0.3">
      <c r="A31" s="57"/>
      <c r="B31" s="57"/>
      <c r="C31" s="58" t="str">
        <f t="shared" ref="C31:F31" ca="1" si="6">_xlfn.FORMULATEXT(C5)</f>
        <v>='grid-setup'!E3</v>
      </c>
      <c r="D31" s="58" t="str">
        <f t="shared" ca="1" si="6"/>
        <v>='grid-setup'!E10</v>
      </c>
      <c r="E31" s="58" t="str">
        <f t="shared" ca="1" si="6"/>
        <v>=1/5</v>
      </c>
      <c r="F31" s="58" t="str">
        <f t="shared" ca="1" si="6"/>
        <v>=1/5</v>
      </c>
      <c r="G31" s="219" t="str">
        <f ca="1">_xlfn.FORMULATEXT(G4)</f>
        <v>{=TRANSPOSE( wages )}</v>
      </c>
      <c r="H31" s="219"/>
      <c r="I31" s="219"/>
      <c r="J31" s="57"/>
      <c r="K31" s="57"/>
      <c r="L31" s="57"/>
      <c r="M31" s="218" t="str">
        <f ca="1">_xlfn.FORMULATEXT(M5)</f>
        <v>=(1/$D5)*(1+$C5*(M$4 - mu_thres)/$D5)^(-($C5+1)/$C5)</v>
      </c>
      <c r="N31" s="218"/>
      <c r="O31" s="218"/>
      <c r="P31" s="218"/>
      <c r="Q31" s="218"/>
      <c r="R31" s="57"/>
      <c r="S31" s="58" t="str">
        <f ca="1">_xlfn.FORMULATEXT(S5)</f>
        <v>=PRODUCT(G5:R5)</v>
      </c>
      <c r="T31" s="58" t="str">
        <f t="shared" ref="T31:U31" ca="1" si="7">_xlfn.FORMULATEXT(T5)</f>
        <v>=S5*E5*F5</v>
      </c>
      <c r="U31" s="58" t="str">
        <f t="shared" ca="1" si="7"/>
        <v>=T5 / sum</v>
      </c>
    </row>
    <row r="32" spans="1:23" x14ac:dyDescent="0.3">
      <c r="T32" s="5" t="s">
        <v>31</v>
      </c>
    </row>
    <row r="33" spans="3:26" x14ac:dyDescent="0.3">
      <c r="C33" s="96" t="s">
        <v>61</v>
      </c>
      <c r="D33" s="96" t="s">
        <v>60</v>
      </c>
      <c r="T33" s="5" t="str">
        <f ca="1">_xlfn.FORMULATEXT(sum)</f>
        <v>=SUM(T5:T29)</v>
      </c>
      <c r="W33" s="2" t="s">
        <v>17</v>
      </c>
    </row>
    <row r="34" spans="3:26" ht="86.4" x14ac:dyDescent="0.3">
      <c r="C34" s="96" t="str">
        <f ca="1">_xlfn.FORMULATEXT(C6)</f>
        <v>=IF(D5=MAX(sigma_h),INDEX(mu_h,MATCH(C5,mu_h,0)+1), C5)</v>
      </c>
      <c r="D34" s="96" t="str">
        <f ca="1">_xlfn.FORMULATEXT(D6)</f>
        <v>=IF( D5 &lt; MAX(sigma_h), INDEX(sigma_h, MATCH(D5, sigma_h, 0)+1), MIN( sigma_h))</v>
      </c>
      <c r="W34" s="98" t="str">
        <f ca="1">_xlfn.FORMULATEXT(W5)</f>
        <v>='grid-approx'!C5&amp;"-"&amp;'grid-approx'!D5</v>
      </c>
      <c r="X34" s="99"/>
      <c r="Y34" s="99"/>
      <c r="Z34" s="99"/>
    </row>
  </sheetData>
  <mergeCells count="4">
    <mergeCell ref="C3:D3"/>
    <mergeCell ref="G3:R3"/>
    <mergeCell ref="M31:Q31"/>
    <mergeCell ref="G31:I3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68222-2C65-43E0-876C-F150FBD402FB}">
  <sheetPr codeName="Sheet6"/>
  <dimension ref="B2:O16"/>
  <sheetViews>
    <sheetView workbookViewId="0">
      <selection activeCell="O8" sqref="O8"/>
    </sheetView>
  </sheetViews>
  <sheetFormatPr defaultColWidth="8.77734375" defaultRowHeight="14.4" x14ac:dyDescent="0.3"/>
  <cols>
    <col min="2" max="2" width="3.33203125" customWidth="1"/>
    <col min="3" max="3" width="12.44140625" customWidth="1"/>
    <col min="4" max="4" width="10.6640625" customWidth="1"/>
    <col min="5" max="5" width="10.44140625" customWidth="1"/>
    <col min="6" max="6" width="11.44140625" customWidth="1"/>
    <col min="7" max="7" width="11.109375" customWidth="1"/>
    <col min="9" max="9" width="11.77734375" customWidth="1"/>
    <col min="13" max="13" width="12.109375" customWidth="1"/>
    <col min="14" max="15" width="10.77734375" customWidth="1"/>
    <col min="26" max="26" width="12.6640625" customWidth="1"/>
    <col min="27" max="27" width="12.109375" customWidth="1"/>
    <col min="28" max="28" width="15.77734375" customWidth="1"/>
    <col min="30" max="30" width="12.44140625" customWidth="1"/>
    <col min="33" max="33" width="4.77734375" customWidth="1"/>
  </cols>
  <sheetData>
    <row r="2" spans="2:15" x14ac:dyDescent="0.3">
      <c r="D2" s="214" t="s">
        <v>5</v>
      </c>
      <c r="E2" s="215"/>
      <c r="F2" s="215"/>
      <c r="G2" s="215"/>
      <c r="H2" s="216"/>
    </row>
    <row r="3" spans="2:15" x14ac:dyDescent="0.3">
      <c r="D3" s="2">
        <f t="array" ref="D3:H3">TRANSPOSE( 'grid-setup'!E10:E14 )</f>
        <v>12</v>
      </c>
      <c r="E3" s="2">
        <v>12.75</v>
      </c>
      <c r="F3" s="91">
        <v>13.5</v>
      </c>
      <c r="G3" s="2">
        <v>14.25</v>
      </c>
      <c r="H3" s="2">
        <v>15</v>
      </c>
      <c r="I3" s="17" t="str">
        <f>"Pr( "&amp;'grid-approx'!C4&amp;" )"</f>
        <v>Pr( xi )</v>
      </c>
    </row>
    <row r="4" spans="2:15" x14ac:dyDescent="0.3">
      <c r="B4" s="220" t="str">
        <f>'grid-approx'!C4</f>
        <v>xi</v>
      </c>
      <c r="C4" s="56">
        <f>'grid-setup'!E3</f>
        <v>1</v>
      </c>
      <c r="D4" s="64">
        <f t="shared" ref="D4:H8" si="0">INDEX( Pr_h___d, MATCH( $C4&amp;"-"&amp;D$3, key, 0) )</f>
        <v>1.370288663720599E-2</v>
      </c>
      <c r="E4" s="65">
        <f t="shared" si="0"/>
        <v>1.5092981947917035E-2</v>
      </c>
      <c r="F4" s="92">
        <f t="shared" si="0"/>
        <v>1.6329020888544026E-2</v>
      </c>
      <c r="G4" s="65">
        <f t="shared" si="0"/>
        <v>1.739851371140631E-2</v>
      </c>
      <c r="H4" s="66">
        <f t="shared" si="0"/>
        <v>1.8296645898942445E-2</v>
      </c>
      <c r="I4" s="73">
        <f>SUM(D4:H4)</f>
        <v>8.0820049084015813E-2</v>
      </c>
      <c r="O4" s="102"/>
    </row>
    <row r="5" spans="2:15" x14ac:dyDescent="0.3">
      <c r="B5" s="221"/>
      <c r="C5" s="56">
        <f>'grid-setup'!E4</f>
        <v>1.5</v>
      </c>
      <c r="D5" s="67">
        <f t="shared" si="0"/>
        <v>4.9080560577334932E-2</v>
      </c>
      <c r="E5" s="68">
        <f t="shared" si="0"/>
        <v>5.0835461732953245E-2</v>
      </c>
      <c r="F5" s="88">
        <f t="shared" si="0"/>
        <v>5.2005137837493602E-2</v>
      </c>
      <c r="G5" s="68">
        <f t="shared" si="0"/>
        <v>5.2645231235252186E-2</v>
      </c>
      <c r="H5" s="69">
        <f t="shared" si="0"/>
        <v>5.2816755976966168E-2</v>
      </c>
      <c r="I5" s="73">
        <f t="shared" ref="I5:I8" si="1">SUM(D5:H5)</f>
        <v>0.25738314736000012</v>
      </c>
      <c r="O5" s="102"/>
    </row>
    <row r="6" spans="2:15" x14ac:dyDescent="0.3">
      <c r="B6" s="221"/>
      <c r="C6" s="86">
        <f>'grid-setup'!E5</f>
        <v>2</v>
      </c>
      <c r="D6" s="87">
        <f t="shared" si="0"/>
        <v>5.8408784712565588E-2</v>
      </c>
      <c r="E6" s="88">
        <f t="shared" si="0"/>
        <v>5.8798974872535145E-2</v>
      </c>
      <c r="F6" s="88">
        <f t="shared" si="0"/>
        <v>5.8631969280677348E-2</v>
      </c>
      <c r="G6" s="88">
        <f t="shared" si="0"/>
        <v>5.7996859845898377E-2</v>
      </c>
      <c r="H6" s="89">
        <f t="shared" si="0"/>
        <v>5.6977002270809936E-2</v>
      </c>
      <c r="I6" s="90">
        <f t="shared" si="1"/>
        <v>0.29081359098248638</v>
      </c>
      <c r="O6" s="102"/>
    </row>
    <row r="7" spans="2:15" x14ac:dyDescent="0.3">
      <c r="B7" s="221"/>
      <c r="C7" s="56">
        <f>'grid-setup'!E6</f>
        <v>2.5</v>
      </c>
      <c r="D7" s="67">
        <f t="shared" si="0"/>
        <v>4.6253157923727722E-2</v>
      </c>
      <c r="E7" s="68">
        <f t="shared" si="0"/>
        <v>4.5850253342349656E-2</v>
      </c>
      <c r="F7" s="88">
        <f t="shared" si="0"/>
        <v>4.5100734688359158E-2</v>
      </c>
      <c r="G7" s="68">
        <f t="shared" si="0"/>
        <v>4.4074451367293162E-2</v>
      </c>
      <c r="H7" s="69">
        <f t="shared" si="0"/>
        <v>4.2833092535736222E-2</v>
      </c>
      <c r="I7" s="73">
        <f t="shared" si="1"/>
        <v>0.22411168985746591</v>
      </c>
      <c r="O7" s="102"/>
    </row>
    <row r="8" spans="2:15" x14ac:dyDescent="0.3">
      <c r="B8" s="222"/>
      <c r="C8" s="56">
        <f>'grid-setup'!E7</f>
        <v>3</v>
      </c>
      <c r="D8" s="70">
        <f t="shared" si="0"/>
        <v>3.078874805261967E-2</v>
      </c>
      <c r="E8" s="71">
        <f t="shared" si="0"/>
        <v>3.0244600117172466E-2</v>
      </c>
      <c r="F8" s="93">
        <f t="shared" si="0"/>
        <v>2.951650211984095E-2</v>
      </c>
      <c r="G8" s="71">
        <f t="shared" si="0"/>
        <v>2.8647447099597809E-2</v>
      </c>
      <c r="H8" s="72">
        <f t="shared" si="0"/>
        <v>2.767422532680092E-2</v>
      </c>
      <c r="I8" s="73">
        <f t="shared" si="1"/>
        <v>0.14687152271603182</v>
      </c>
      <c r="O8" s="102"/>
    </row>
    <row r="9" spans="2:15" x14ac:dyDescent="0.3">
      <c r="C9" t="s">
        <v>12</v>
      </c>
      <c r="D9" s="51">
        <f>SUM(D4:D8)</f>
        <v>0.1982341379034539</v>
      </c>
      <c r="E9" s="51">
        <f t="shared" ref="E9:H9" si="2">SUM(E4:E8)</f>
        <v>0.20082227201292754</v>
      </c>
      <c r="F9" s="94">
        <f t="shared" si="2"/>
        <v>0.20158336481491507</v>
      </c>
      <c r="G9" s="51">
        <f t="shared" si="2"/>
        <v>0.20076250325944783</v>
      </c>
      <c r="H9" s="51">
        <f t="shared" si="2"/>
        <v>0.19859772200925568</v>
      </c>
      <c r="O9" s="102"/>
    </row>
    <row r="11" spans="2:15" x14ac:dyDescent="0.3">
      <c r="C11" s="5" t="s">
        <v>22</v>
      </c>
      <c r="D11" s="2" t="s">
        <v>21</v>
      </c>
    </row>
    <row r="12" spans="2:15" x14ac:dyDescent="0.3">
      <c r="C12" s="60" t="str">
        <f ca="1">_xlfn.FORMULATEXT(C4)</f>
        <v>='grid-setup'!E3</v>
      </c>
      <c r="D12" s="223" t="str">
        <f ca="1">_xlfn.FORMULATEXT(D3)</f>
        <v>{=TRANSPOSE( 'grid-setup'!E10:E14 )}</v>
      </c>
      <c r="E12" s="223"/>
      <c r="F12" s="223"/>
      <c r="G12" s="223"/>
      <c r="H12" s="223"/>
    </row>
    <row r="13" spans="2:15" x14ac:dyDescent="0.3">
      <c r="D13" s="2" t="s">
        <v>18</v>
      </c>
    </row>
    <row r="14" spans="2:15" x14ac:dyDescent="0.3">
      <c r="D14" s="223" t="str">
        <f ca="1">_xlfn.FORMULATEXT(D5)</f>
        <v>=INDEX( Pr_h___d, MATCH( $C5&amp;"-"&amp;D$3, key, 0) )</v>
      </c>
      <c r="E14" s="223"/>
      <c r="F14" s="223"/>
      <c r="G14" s="223"/>
      <c r="H14" s="223"/>
    </row>
    <row r="15" spans="2:15" x14ac:dyDescent="0.3">
      <c r="F15" s="5" t="s">
        <v>19</v>
      </c>
      <c r="I15" s="5" t="s">
        <v>20</v>
      </c>
    </row>
    <row r="16" spans="2:15" x14ac:dyDescent="0.3">
      <c r="F16" s="60" t="str">
        <f ca="1">_xlfn.FORMULATEXT(F9)</f>
        <v>=SUM(F4:F8)</v>
      </c>
      <c r="I16" s="60" t="str">
        <f ca="1">_xlfn.FORMULATEXT(I5)</f>
        <v>=SUM(D5:H5)</v>
      </c>
    </row>
  </sheetData>
  <mergeCells count="4">
    <mergeCell ref="D2:H2"/>
    <mergeCell ref="B4:B8"/>
    <mergeCell ref="D12:H12"/>
    <mergeCell ref="D14:H1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BE51F-5F9C-48BA-A9E5-7A9729DB825A}">
  <sheetPr codeName="Sheet8"/>
  <dimension ref="B3:AE15"/>
  <sheetViews>
    <sheetView topLeftCell="O1" workbookViewId="0">
      <selection activeCell="Z15" sqref="Z15:AE15"/>
    </sheetView>
  </sheetViews>
  <sheetFormatPr defaultColWidth="8.77734375" defaultRowHeight="14.4" x14ac:dyDescent="0.3"/>
  <cols>
    <col min="1" max="1" width="4" customWidth="1"/>
    <col min="11" max="11" width="14.44140625" customWidth="1"/>
    <col min="12" max="12" width="12.77734375" customWidth="1"/>
    <col min="13" max="13" width="10.77734375" customWidth="1"/>
    <col min="14" max="14" width="16.6640625" customWidth="1"/>
    <col min="16" max="16" width="11.33203125" customWidth="1"/>
    <col min="18" max="18" width="3.6640625" customWidth="1"/>
    <col min="19" max="19" width="21.44140625" customWidth="1"/>
    <col min="20" max="20" width="3.44140625" customWidth="1"/>
    <col min="22" max="22" width="17.6640625" customWidth="1"/>
    <col min="23" max="23" width="18.77734375" customWidth="1"/>
    <col min="25" max="25" width="11.109375" customWidth="1"/>
    <col min="27" max="27" width="10.109375" customWidth="1"/>
  </cols>
  <sheetData>
    <row r="3" spans="2:31" x14ac:dyDescent="0.3">
      <c r="B3" s="33" t="str">
        <f>'xi-sigma-grid'!I3</f>
        <v>Pr( xi )</v>
      </c>
      <c r="C3" s="33" t="s">
        <v>35</v>
      </c>
      <c r="D3" s="33" t="s">
        <v>72</v>
      </c>
      <c r="E3" s="33" t="s">
        <v>73</v>
      </c>
      <c r="G3" s="33" t="s">
        <v>12</v>
      </c>
      <c r="H3" s="33" t="s">
        <v>5</v>
      </c>
      <c r="I3" s="33" t="s">
        <v>72</v>
      </c>
      <c r="J3" s="33" t="s">
        <v>73</v>
      </c>
      <c r="L3" s="33" t="s">
        <v>74</v>
      </c>
      <c r="M3" s="33" t="s">
        <v>75</v>
      </c>
      <c r="N3" s="33" t="s">
        <v>76</v>
      </c>
      <c r="P3" s="85" t="s">
        <v>67</v>
      </c>
      <c r="Q3" s="146">
        <f>SUMPRODUCT(B4:B8, C4:C8)</f>
        <v>2.0494157448807488</v>
      </c>
      <c r="S3" s="60" t="str">
        <f ca="1">_xlfn.FORMULATEXT(Q3)</f>
        <v>=SUMPRODUCT(B4:B8, C4:C8)</v>
      </c>
      <c r="U3" s="104" t="s">
        <v>43</v>
      </c>
      <c r="V3" s="104" t="s">
        <v>35</v>
      </c>
      <c r="W3" s="104" t="s">
        <v>5</v>
      </c>
      <c r="Y3" s="142" t="s">
        <v>107</v>
      </c>
      <c r="AA3" s="142" t="s">
        <v>137</v>
      </c>
    </row>
    <row r="4" spans="2:31" x14ac:dyDescent="0.3">
      <c r="B4" s="101">
        <f>'xi-sigma-grid'!I4</f>
        <v>8.0820049084015813E-2</v>
      </c>
      <c r="C4" s="19">
        <f>'xi-sigma-grid'!C4</f>
        <v>1</v>
      </c>
      <c r="D4" s="19" cm="1">
        <f t="array" ref="D4">C4 - mu_xi</f>
        <v>-1.0494157448807488</v>
      </c>
      <c r="E4" s="19">
        <f>D4^2</f>
        <v>1.1012734056036169</v>
      </c>
      <c r="G4" s="106">
        <f t="array" ref="G4:G8">TRANSPOSE('xi-sigma-grid'!D9:H9)</f>
        <v>0.1982341379034539</v>
      </c>
      <c r="H4" s="106">
        <f t="array" ref="H4:H8">TRANSPOSE('xi-sigma-grid'!D3:H3)</f>
        <v>12</v>
      </c>
      <c r="I4" s="106">
        <f>H4 - mu_sigma</f>
        <v>-1.5005005495935926</v>
      </c>
      <c r="J4" s="106">
        <f>I4^2</f>
        <v>2.2515018993306732</v>
      </c>
      <c r="L4" s="106">
        <f>'xi-sigma-grid'!D4</f>
        <v>1.370288663720599E-2</v>
      </c>
      <c r="M4" s="106">
        <f>L4 / sum_pr_xi_sigma</f>
        <v>7.0300417274661395E-2</v>
      </c>
      <c r="N4" s="106">
        <f>D4 *I4</f>
        <v>1.574648901945733</v>
      </c>
      <c r="P4" s="85" t="s">
        <v>69</v>
      </c>
      <c r="Q4" s="20">
        <f>SUMPRODUCT(G4:G8, H4:H8)</f>
        <v>13.500500549593593</v>
      </c>
      <c r="S4" s="60" t="str">
        <f ca="1">_xlfn.FORMULATEXT(mu_xi)</f>
        <v>=SUMPRODUCT(B4:B8, C4:C8)</v>
      </c>
      <c r="U4">
        <v>2</v>
      </c>
      <c r="V4" s="106">
        <f t="shared" ref="V4:V9" ca="1" si="0">_xlfn.NORM.INV(RAND(), mu_xi, sig_xi)</f>
        <v>2.9332675071835412</v>
      </c>
      <c r="W4" s="106">
        <f t="shared" ref="W4:W9" ca="1" si="1">_xlfn.NORM.INV(_xlfn.NORM.DIST( rho*RAND()+(1-rho^2)^0.5*RAND(), 0,1,TRUE), mu_sigma, sig_sigma )</f>
        <v>14.427919471255617</v>
      </c>
      <c r="Y4" s="19">
        <f t="shared" ref="Y4:Y9" ca="1" si="2">MIN( AA$4, mu_thres + W4 * ( RAND()^-V4 - 1 ) / V4 )</f>
        <v>2391.6479174086885</v>
      </c>
      <c r="AA4">
        <f>2*MAX( claims )</f>
        <v>2406</v>
      </c>
    </row>
    <row r="5" spans="2:31" x14ac:dyDescent="0.3">
      <c r="B5" s="101">
        <f>'xi-sigma-grid'!I5</f>
        <v>0.25738314736000012</v>
      </c>
      <c r="C5" s="19">
        <f>'xi-sigma-grid'!C5</f>
        <v>1.5</v>
      </c>
      <c r="D5" s="19" cm="1">
        <f t="array" ref="D5">C5 - mu_xi</f>
        <v>-0.54941574488074885</v>
      </c>
      <c r="E5" s="19">
        <f t="shared" ref="E5:E8" si="3">D5^2</f>
        <v>0.30185766072286813</v>
      </c>
      <c r="G5" s="106">
        <v>0.20082227201292754</v>
      </c>
      <c r="H5" s="106">
        <v>12.75</v>
      </c>
      <c r="I5" s="106">
        <f>H5 - mu_sigma</f>
        <v>-0.75050054959359258</v>
      </c>
      <c r="J5" s="106">
        <f>I5^2</f>
        <v>0.56325107494028448</v>
      </c>
      <c r="L5" s="106">
        <f>'xi-sigma-grid'!E5</f>
        <v>5.0835461732953245E-2</v>
      </c>
      <c r="M5" s="106">
        <f>L5 / sum_pr_xi_sigma</f>
        <v>0.26080301667776046</v>
      </c>
      <c r="N5" s="106">
        <f>D5 *I5</f>
        <v>0.41233681848837506</v>
      </c>
      <c r="P5" s="85" t="s">
        <v>70</v>
      </c>
      <c r="Q5" s="20">
        <f>SUMPRODUCT(B4:B8, E4:E8)^0.5</f>
        <v>0.5878974104912309</v>
      </c>
      <c r="S5" s="60" t="str">
        <f ca="1">_xlfn.FORMULATEXT(mu_xi)</f>
        <v>=SUMPRODUCT(B4:B8, C4:C8)</v>
      </c>
      <c r="U5">
        <f>U4+1</f>
        <v>3</v>
      </c>
      <c r="V5" s="106">
        <f t="shared" ca="1" si="0"/>
        <v>1.9377871386138468</v>
      </c>
      <c r="W5" s="106">
        <f t="shared" ca="1" si="1"/>
        <v>14.137342700605146</v>
      </c>
      <c r="Y5" s="19">
        <f t="shared" ca="1" si="2"/>
        <v>708.95001714167506</v>
      </c>
    </row>
    <row r="6" spans="2:31" x14ac:dyDescent="0.3">
      <c r="B6" s="101">
        <f>'xi-sigma-grid'!I6</f>
        <v>0.29081359098248638</v>
      </c>
      <c r="C6" s="19">
        <f>'xi-sigma-grid'!C6</f>
        <v>2</v>
      </c>
      <c r="D6" s="19" cm="1">
        <f t="array" ref="D6">C6 - mu_xi</f>
        <v>-4.9415744880748846E-2</v>
      </c>
      <c r="E6" s="19">
        <f t="shared" si="3"/>
        <v>2.4419158421192556E-3</v>
      </c>
      <c r="G6" s="106">
        <v>0.20158336481491507</v>
      </c>
      <c r="H6" s="106">
        <v>13.5</v>
      </c>
      <c r="I6" s="106">
        <f>H6 - mu_sigma</f>
        <v>-5.0054959359258078E-4</v>
      </c>
      <c r="J6" s="106">
        <f>I6^2</f>
        <v>2.5054989564569779E-7</v>
      </c>
      <c r="L6" s="106">
        <f>'xi-sigma-grid'!F6</f>
        <v>5.8631969280677348E-2</v>
      </c>
      <c r="M6" s="106">
        <f>L6 / sum_pr_xi_sigma</f>
        <v>0.30080172267317168</v>
      </c>
      <c r="N6" s="106">
        <f>D6 *I6</f>
        <v>2.4735031017133489E-5</v>
      </c>
      <c r="P6" s="85" t="s">
        <v>68</v>
      </c>
      <c r="Q6" s="20">
        <f>SUMPRODUCT(G4:G8, J4:J8)^0.5</f>
        <v>1.0577158741100616</v>
      </c>
      <c r="S6" s="60" t="str">
        <f ca="1">_xlfn.FORMULATEXT(mu_xi)</f>
        <v>=SUMPRODUCT(B4:B8, C4:C8)</v>
      </c>
      <c r="U6">
        <f>U5+1</f>
        <v>4</v>
      </c>
      <c r="V6" s="106">
        <f t="shared" ca="1" si="0"/>
        <v>2.650102185534875</v>
      </c>
      <c r="W6" s="106">
        <f t="shared" ca="1" si="1"/>
        <v>14.641655343423398</v>
      </c>
      <c r="Y6" s="19">
        <f t="shared" ca="1" si="2"/>
        <v>1893.3640395029558</v>
      </c>
    </row>
    <row r="7" spans="2:31" x14ac:dyDescent="0.3">
      <c r="B7" s="101">
        <f>'xi-sigma-grid'!I7</f>
        <v>0.22411168985746591</v>
      </c>
      <c r="C7" s="19">
        <f>'xi-sigma-grid'!C7</f>
        <v>2.5</v>
      </c>
      <c r="D7" s="19" cm="1">
        <f t="array" ref="D7">C7 - mu_xi</f>
        <v>0.45058425511925115</v>
      </c>
      <c r="E7" s="19">
        <f t="shared" si="3"/>
        <v>0.20302617096137041</v>
      </c>
      <c r="G7" s="106">
        <v>0.20076250325944783</v>
      </c>
      <c r="H7" s="106">
        <v>14.25</v>
      </c>
      <c r="I7" s="106">
        <f>H7 - mu_sigma</f>
        <v>0.74949945040640742</v>
      </c>
      <c r="J7" s="106">
        <f>I7^2</f>
        <v>0.56174942615950674</v>
      </c>
      <c r="L7" s="106">
        <f>'xi-sigma-grid'!G7</f>
        <v>4.4074451367293162E-2</v>
      </c>
      <c r="M7" s="106">
        <f>L7 / sum_pr_xi_sigma</f>
        <v>0.22611675950522586</v>
      </c>
      <c r="N7" s="106">
        <f>D7 *I7</f>
        <v>0.33771265157365921</v>
      </c>
      <c r="P7" s="85" t="s">
        <v>66</v>
      </c>
      <c r="Q7" s="20">
        <f>SUMPRODUCT( M4:M8, N4:N8)</f>
        <v>0.49698273318183839</v>
      </c>
      <c r="S7" s="60" t="str">
        <f ca="1">_xlfn.FORMULATEXT(mu_xi)</f>
        <v>=SUMPRODUCT(B4:B8, C4:C8)</v>
      </c>
      <c r="U7">
        <f>U6+1</f>
        <v>5</v>
      </c>
      <c r="V7" s="106">
        <f t="shared" ca="1" si="0"/>
        <v>1.7083059106240228</v>
      </c>
      <c r="W7" s="106">
        <f t="shared" ca="1" si="1"/>
        <v>13.924020288553791</v>
      </c>
      <c r="Y7" s="19">
        <f t="shared" ca="1" si="2"/>
        <v>385.79077814707455</v>
      </c>
    </row>
    <row r="8" spans="2:31" x14ac:dyDescent="0.3">
      <c r="B8" s="71">
        <f>'xi-sigma-grid'!I8</f>
        <v>0.14687152271603182</v>
      </c>
      <c r="C8" s="105">
        <f>'xi-sigma-grid'!C8</f>
        <v>3</v>
      </c>
      <c r="D8" s="19" cm="1">
        <f t="array" ref="D8">C8 - mu_xi</f>
        <v>0.95058425511925115</v>
      </c>
      <c r="E8" s="19">
        <f t="shared" si="3"/>
        <v>0.90361042608062159</v>
      </c>
      <c r="G8" s="40">
        <v>0.19859772200925568</v>
      </c>
      <c r="H8" s="40">
        <v>15</v>
      </c>
      <c r="I8" s="106">
        <f>H8 - mu_sigma</f>
        <v>1.4994994504064074</v>
      </c>
      <c r="J8" s="40">
        <f>I8^2</f>
        <v>2.2484986017691178</v>
      </c>
      <c r="L8" s="39">
        <f>'xi-sigma-grid'!H8</f>
        <v>2.767422532680092E-2</v>
      </c>
      <c r="M8" s="40">
        <f>L8 / sum_pr_xi_sigma</f>
        <v>0.14197808386918068</v>
      </c>
      <c r="N8" s="40">
        <f>D8 *I8</f>
        <v>1.4254005681163013</v>
      </c>
      <c r="P8" s="85" t="s">
        <v>71</v>
      </c>
      <c r="Q8" s="20">
        <f>Q7 / (Q5*Q6)</f>
        <v>0.79922807395111162</v>
      </c>
      <c r="S8" s="60" t="str">
        <f ca="1">_xlfn.FORMULATEXT(mu_xi)</f>
        <v>=SUMPRODUCT(B4:B8, C4:C8)</v>
      </c>
      <c r="U8">
        <f>U7+1</f>
        <v>6</v>
      </c>
      <c r="V8" s="106">
        <f t="shared" ca="1" si="0"/>
        <v>2.2804027655339669</v>
      </c>
      <c r="W8" s="106">
        <f t="shared" ca="1" si="1"/>
        <v>14.526051922071582</v>
      </c>
      <c r="Y8" s="19">
        <f t="shared" ca="1" si="2"/>
        <v>704.97296736371379</v>
      </c>
    </row>
    <row r="9" spans="2:31" x14ac:dyDescent="0.3">
      <c r="C9" s="19"/>
      <c r="D9" s="19"/>
      <c r="K9" s="123" t="s">
        <v>97</v>
      </c>
      <c r="L9" s="122">
        <f>SUM(L4:L8)</f>
        <v>0.19491899434493065</v>
      </c>
      <c r="U9" s="103">
        <f>U8+1</f>
        <v>7</v>
      </c>
      <c r="V9" s="40">
        <f t="shared" ca="1" si="0"/>
        <v>1.2714032509244275</v>
      </c>
      <c r="W9" s="40">
        <f t="shared" ca="1" si="1"/>
        <v>14.214480757076473</v>
      </c>
      <c r="Y9" s="19">
        <f t="shared" ca="1" si="2"/>
        <v>132.9328675692845</v>
      </c>
    </row>
    <row r="10" spans="2:31" x14ac:dyDescent="0.3">
      <c r="U10" s="124"/>
      <c r="V10" s="39"/>
      <c r="W10" s="39"/>
    </row>
    <row r="11" spans="2:31" x14ac:dyDescent="0.3">
      <c r="B11" s="96" t="s">
        <v>94</v>
      </c>
      <c r="C11" s="96" t="s">
        <v>22</v>
      </c>
      <c r="D11" s="96" t="s">
        <v>95</v>
      </c>
      <c r="E11" s="96" t="s">
        <v>96</v>
      </c>
      <c r="G11" s="96" t="s">
        <v>27</v>
      </c>
      <c r="H11" s="96" t="s">
        <v>88</v>
      </c>
      <c r="I11" s="96" t="s">
        <v>89</v>
      </c>
      <c r="J11" s="96" t="s">
        <v>90</v>
      </c>
      <c r="K11" s="95"/>
      <c r="L11" s="96" t="s">
        <v>91</v>
      </c>
      <c r="M11" s="96" t="s">
        <v>92</v>
      </c>
      <c r="N11" s="96" t="s">
        <v>93</v>
      </c>
      <c r="V11" s="126" t="s">
        <v>98</v>
      </c>
      <c r="W11" s="126" t="s">
        <v>99</v>
      </c>
      <c r="Y11" s="20" t="s">
        <v>87</v>
      </c>
    </row>
    <row r="12" spans="2:31" ht="60" x14ac:dyDescent="0.3">
      <c r="B12" s="96" t="str">
        <f ca="1">_xlfn.FORMULATEXT(B4)</f>
        <v>='xi-sigma-grid'!I4</v>
      </c>
      <c r="C12" s="96" t="str">
        <f ca="1">_xlfn.FORMULATEXT(C4)</f>
        <v>='xi-sigma-grid'!C4</v>
      </c>
      <c r="D12" s="96" t="str">
        <f ca="1">_xlfn.FORMULATEXT(D4)</f>
        <v>=C4 - mu_xi</v>
      </c>
      <c r="E12" s="96" t="str">
        <f ca="1">_xlfn.FORMULATEXT(E4)</f>
        <v>=D4^2</v>
      </c>
      <c r="G12" s="96" t="str">
        <f ca="1">_xlfn.FORMULATEXT(G4)</f>
        <v>{=TRANSPOSE('xi-sigma-grid'!D9:H9)}</v>
      </c>
      <c r="H12" s="96" t="str">
        <f ca="1">_xlfn.FORMULATEXT(H4)</f>
        <v>{=TRANSPOSE('xi-sigma-grid'!D3:H3)}</v>
      </c>
      <c r="I12" s="96" t="str">
        <f ca="1">_xlfn.FORMULATEXT(I4)</f>
        <v>=H4 - mu_sigma</v>
      </c>
      <c r="J12" s="96" t="str">
        <f ca="1">_xlfn.FORMULATEXT(J4)</f>
        <v>=I4^2</v>
      </c>
      <c r="K12" s="95"/>
      <c r="L12" s="96" t="str">
        <f ca="1">_xlfn.FORMULATEXT(L4)</f>
        <v>='xi-sigma-grid'!D4</v>
      </c>
      <c r="M12" s="96" t="str">
        <f ca="1">_xlfn.FORMULATEXT(M4)</f>
        <v>=L4 / sum_pr_xi_sigma</v>
      </c>
      <c r="N12" s="96" t="str">
        <f ca="1">_xlfn.FORMULATEXT(N4)</f>
        <v>=D4 *I4</v>
      </c>
      <c r="V12" s="126" t="str">
        <f ca="1">_xlfn.FORMULATEXT(V4)</f>
        <v>=NORM.INV(RAND(), mu_xi, sig_xi)</v>
      </c>
      <c r="W12" s="126" t="str">
        <f ca="1">_xlfn.FORMULATEXT(W4)</f>
        <v>=NORM.INV(NORM.DIST( rho*RAND()+(1-rho^2)^0.5*RAND(), 0,1,TRUE), mu_sigma, sig_sigma )</v>
      </c>
      <c r="Y12" s="126" t="str">
        <f ca="1">_xlfn.FORMULATEXT(Y4)</f>
        <v>=MIN( AA$4, mu_thres + W4 * ( RAND()^-V4 - 1 ) / V4 )</v>
      </c>
    </row>
    <row r="14" spans="2:31" x14ac:dyDescent="0.3">
      <c r="Z14" t="s">
        <v>109</v>
      </c>
    </row>
    <row r="15" spans="2:31" x14ac:dyDescent="0.3">
      <c r="Z15" s="148">
        <f t="array" aca="1" ref="Z15:AE15" ca="1">TRANSPOSE(Y4:Y9)</f>
        <v>2391.6479174086885</v>
      </c>
      <c r="AA15" s="149">
        <f ca="1"/>
        <v>708.95001714167506</v>
      </c>
      <c r="AB15" s="149">
        <f ca="1"/>
        <v>1893.3640395029558</v>
      </c>
      <c r="AC15" s="149">
        <f ca="1"/>
        <v>385.79077814707455</v>
      </c>
      <c r="AD15" s="149">
        <f ca="1"/>
        <v>704.97296736371379</v>
      </c>
      <c r="AE15" s="150">
        <f ca="1"/>
        <v>132.9328675692845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2AE5F-46CD-4D6B-8E40-CBAC9E735AAA}">
  <sheetPr codeName="Sheet12"/>
  <dimension ref="B2:T28"/>
  <sheetViews>
    <sheetView topLeftCell="B1" zoomScale="70" zoomScaleNormal="60" workbookViewId="0">
      <selection activeCell="D26" sqref="D26"/>
    </sheetView>
  </sheetViews>
  <sheetFormatPr defaultColWidth="8.77734375" defaultRowHeight="14.4" x14ac:dyDescent="0.3"/>
  <cols>
    <col min="2" max="2" width="20.44140625" customWidth="1"/>
    <col min="3" max="3" width="17" customWidth="1"/>
    <col min="5" max="5" width="28.33203125" customWidth="1"/>
    <col min="6" max="6" width="4.109375" customWidth="1"/>
    <col min="13" max="14" width="10.77734375" customWidth="1"/>
    <col min="15" max="15" width="9" customWidth="1"/>
    <col min="20" max="20" width="38.33203125" customWidth="1"/>
  </cols>
  <sheetData>
    <row r="2" spans="2:20" ht="43.2" x14ac:dyDescent="0.3">
      <c r="G2" s="162" t="s">
        <v>115</v>
      </c>
      <c r="H2" s="162" t="s">
        <v>116</v>
      </c>
      <c r="I2" s="162" t="s">
        <v>117</v>
      </c>
      <c r="J2" s="162" t="s">
        <v>118</v>
      </c>
      <c r="K2" s="162" t="s">
        <v>119</v>
      </c>
      <c r="L2" s="162" t="s">
        <v>120</v>
      </c>
      <c r="M2" s="162" t="s">
        <v>121</v>
      </c>
      <c r="N2" s="162" t="s">
        <v>140</v>
      </c>
      <c r="O2" s="170" t="s">
        <v>139</v>
      </c>
      <c r="P2" s="162" t="s">
        <v>146</v>
      </c>
    </row>
    <row r="3" spans="2:20" x14ac:dyDescent="0.3">
      <c r="B3" s="33" t="str">
        <f>'[1]simulation-live'!F2&amp;" grid"</f>
        <v>mu grid</v>
      </c>
      <c r="C3" s="33" t="s">
        <v>149</v>
      </c>
      <c r="G3">
        <f>1</f>
        <v>1</v>
      </c>
      <c r="H3">
        <f ca="1">min_mu</f>
        <v>585.86222079342235</v>
      </c>
      <c r="I3">
        <f t="shared" ref="I3:I23" ca="1" si="0">H3 + width_mu</f>
        <v>845.81690797044848</v>
      </c>
      <c r="J3">
        <f ca="1">((H3 + I3)/2)</f>
        <v>715.83956438193536</v>
      </c>
      <c r="K3">
        <f t="shared" ref="K3:K22" ca="1" si="1">COUNTIFS( INDIRECT(C$3), "&gt;="&amp;H3, INDIRECT(C$3), "&lt;"&amp;I3 )</f>
        <v>23</v>
      </c>
      <c r="L3" s="106">
        <f t="shared" ref="L3:L23" ca="1" si="2">K3 / count_wait</f>
        <v>0.23</v>
      </c>
      <c r="M3" s="106">
        <f ca="1">L3</f>
        <v>0.23</v>
      </c>
      <c r="N3">
        <f t="shared" ref="N3:N23" ca="1" si="3">(1/mu_sigma)*(1+mu_xi*((J3)-100)/mu_sigma)^(-(1+mu_xi)/mu_xi)</f>
        <v>8.519464545461132E-5</v>
      </c>
      <c r="O3" s="106">
        <f t="shared" ref="O3:O23" ca="1" si="4">N3 / sum_pmf</f>
        <v>0.26129833936249336</v>
      </c>
      <c r="P3" s="171">
        <f ca="1">O3</f>
        <v>0.26129833936249336</v>
      </c>
      <c r="S3" s="5" t="s">
        <v>39</v>
      </c>
      <c r="T3" s="5" t="str">
        <f>C3</f>
        <v>capital_yr1_short_term</v>
      </c>
    </row>
    <row r="4" spans="2:20" x14ac:dyDescent="0.3">
      <c r="B4" s="85" t="str">
        <f>"max_"&amp;$C$3</f>
        <v>max_capital_yr1_short_term</v>
      </c>
      <c r="C4" s="20">
        <f ca="1">MAX( INDIRECT(C$3) )</f>
        <v>6044.9106515109725</v>
      </c>
      <c r="E4" s="163" t="str">
        <f ca="1">_xlfn.FORMULATEXT(max_mu)</f>
        <v>=MAX( INDIRECT(C$3) )</v>
      </c>
      <c r="G4">
        <f t="shared" ref="G4:G23" si="5">G3+1</f>
        <v>2</v>
      </c>
      <c r="H4">
        <f t="shared" ref="H4:H23" ca="1" si="6">I3</f>
        <v>845.81690797044848</v>
      </c>
      <c r="I4">
        <f t="shared" ca="1" si="0"/>
        <v>1105.7715951474747</v>
      </c>
      <c r="J4">
        <f t="shared" ref="J4:J23" ca="1" si="7">((H4 + I4)/2)</f>
        <v>975.79425155896161</v>
      </c>
      <c r="K4">
        <f t="shared" ca="1" si="1"/>
        <v>14</v>
      </c>
      <c r="L4" s="106">
        <f t="shared" ca="1" si="2"/>
        <v>0.14000000000000001</v>
      </c>
      <c r="M4" s="106">
        <f t="shared" ref="M4:M23" ca="1" si="8">M3 + L4</f>
        <v>0.37</v>
      </c>
      <c r="N4">
        <f t="shared" ca="1" si="3"/>
        <v>5.0685943456557433E-5</v>
      </c>
      <c r="O4" s="106">
        <f t="shared" ca="1" si="4"/>
        <v>0.15545757346071365</v>
      </c>
      <c r="P4" s="171">
        <f ca="1">P3 + O4</f>
        <v>0.41675591282320701</v>
      </c>
      <c r="S4" s="5" t="s">
        <v>40</v>
      </c>
      <c r="T4" s="5" t="s">
        <v>138</v>
      </c>
    </row>
    <row r="5" spans="2:20" x14ac:dyDescent="0.3">
      <c r="B5" s="85" t="str">
        <f>"min_"&amp;$C$3</f>
        <v>min_capital_yr1_short_term</v>
      </c>
      <c r="C5" s="20">
        <f ca="1">MIN( INDIRECT(C$3) )</f>
        <v>585.86222079342235</v>
      </c>
      <c r="E5" s="163" t="str">
        <f ca="1">_xlfn.FORMULATEXT(C5)</f>
        <v>=MIN( INDIRECT(C$3) )</v>
      </c>
      <c r="G5">
        <f t="shared" si="5"/>
        <v>3</v>
      </c>
      <c r="H5">
        <f t="shared" ca="1" si="6"/>
        <v>1105.7715951474747</v>
      </c>
      <c r="I5">
        <f t="shared" ca="1" si="0"/>
        <v>1365.726282324501</v>
      </c>
      <c r="J5">
        <f t="shared" ca="1" si="7"/>
        <v>1235.7489387359878</v>
      </c>
      <c r="K5">
        <f t="shared" ca="1" si="1"/>
        <v>6</v>
      </c>
      <c r="L5" s="106">
        <f t="shared" ca="1" si="2"/>
        <v>0.06</v>
      </c>
      <c r="M5" s="106">
        <f t="shared" ca="1" si="8"/>
        <v>0.43</v>
      </c>
      <c r="N5">
        <f t="shared" ca="1" si="3"/>
        <v>3.4517012537078968E-5</v>
      </c>
      <c r="O5" s="106">
        <f t="shared" ca="1" si="4"/>
        <v>0.10586625494554383</v>
      </c>
      <c r="P5" s="171">
        <f t="shared" ref="P5:P23" ca="1" si="9">P4 + O5</f>
        <v>0.52262216776875081</v>
      </c>
      <c r="S5" s="5" t="s">
        <v>122</v>
      </c>
      <c r="T5" s="5" t="str">
        <f>L2</f>
        <v>relative frequency</v>
      </c>
    </row>
    <row r="6" spans="2:20" x14ac:dyDescent="0.3">
      <c r="B6" s="85" t="str">
        <f>"intervals_"&amp;$C$3</f>
        <v>intervals_capital_yr1_short_term</v>
      </c>
      <c r="C6" s="20">
        <f>21</f>
        <v>21</v>
      </c>
      <c r="E6" s="163" t="str">
        <f t="shared" ref="E6:E8" ca="1" si="10">_xlfn.FORMULATEXT(C6)</f>
        <v>=21</v>
      </c>
      <c r="G6">
        <f t="shared" si="5"/>
        <v>4</v>
      </c>
      <c r="H6">
        <f t="shared" ca="1" si="6"/>
        <v>1365.726282324501</v>
      </c>
      <c r="I6">
        <f t="shared" ca="1" si="0"/>
        <v>1625.6809695015272</v>
      </c>
      <c r="J6">
        <f t="shared" ca="1" si="7"/>
        <v>1495.7036259130141</v>
      </c>
      <c r="K6">
        <f t="shared" ca="1" si="1"/>
        <v>4</v>
      </c>
      <c r="L6" s="106">
        <f t="shared" ca="1" si="2"/>
        <v>0.04</v>
      </c>
      <c r="M6" s="106">
        <f t="shared" ca="1" si="8"/>
        <v>0.47</v>
      </c>
      <c r="N6">
        <f t="shared" ca="1" si="3"/>
        <v>2.544136960330962E-5</v>
      </c>
      <c r="O6" s="106">
        <f t="shared" ca="1" si="4"/>
        <v>7.8030580360756663E-2</v>
      </c>
      <c r="P6" s="171">
        <f t="shared" ca="1" si="9"/>
        <v>0.60065274812950742</v>
      </c>
      <c r="S6" s="5" t="s">
        <v>123</v>
      </c>
      <c r="T6" s="5" t="str">
        <f>M2</f>
        <v>cumulative relative prequency</v>
      </c>
    </row>
    <row r="7" spans="2:20" x14ac:dyDescent="0.3">
      <c r="B7" s="85" t="str">
        <f>"width_"&amp;$C$3</f>
        <v>width_capital_yr1_short_term</v>
      </c>
      <c r="C7" s="20">
        <f ca="1">(C4 - C5) / C6</f>
        <v>259.95468717702619</v>
      </c>
      <c r="E7" s="163" t="str">
        <f t="shared" ca="1" si="10"/>
        <v>=(C4 - C5) / C6</v>
      </c>
      <c r="G7">
        <f t="shared" si="5"/>
        <v>5</v>
      </c>
      <c r="H7">
        <f t="shared" ca="1" si="6"/>
        <v>1625.6809695015272</v>
      </c>
      <c r="I7">
        <f t="shared" ca="1" si="0"/>
        <v>1885.6356566785535</v>
      </c>
      <c r="J7">
        <f t="shared" ca="1" si="7"/>
        <v>1755.6583130900403</v>
      </c>
      <c r="K7">
        <f t="shared" ca="1" si="1"/>
        <v>2</v>
      </c>
      <c r="L7" s="106">
        <f t="shared" ca="1" si="2"/>
        <v>0.02</v>
      </c>
      <c r="M7" s="106">
        <f t="shared" ca="1" si="8"/>
        <v>0.49</v>
      </c>
      <c r="N7">
        <f t="shared" ca="1" si="3"/>
        <v>1.9753557382159974E-5</v>
      </c>
      <c r="O7" s="106">
        <f t="shared" ca="1" si="4"/>
        <v>6.0585635551591382E-2</v>
      </c>
      <c r="P7" s="171">
        <f t="shared" ca="1" si="9"/>
        <v>0.66123838368109877</v>
      </c>
    </row>
    <row r="8" spans="2:20" x14ac:dyDescent="0.3">
      <c r="B8" s="85" t="str">
        <f>"count_"&amp;$C$3</f>
        <v>count_capital_yr1_short_term</v>
      </c>
      <c r="C8" s="20">
        <f ca="1">SUM(K3:K23)</f>
        <v>100</v>
      </c>
      <c r="E8" s="163" t="str">
        <f t="shared" ca="1" si="10"/>
        <v>=SUM(K3:K23)</v>
      </c>
      <c r="G8">
        <f t="shared" si="5"/>
        <v>6</v>
      </c>
      <c r="H8">
        <f t="shared" ca="1" si="6"/>
        <v>1885.6356566785535</v>
      </c>
      <c r="I8">
        <f t="shared" ca="1" si="0"/>
        <v>2145.5903438555797</v>
      </c>
      <c r="J8">
        <f t="shared" ca="1" si="7"/>
        <v>2015.6130002670666</v>
      </c>
      <c r="K8">
        <f t="shared" ca="1" si="1"/>
        <v>3</v>
      </c>
      <c r="L8" s="106">
        <f t="shared" ca="1" si="2"/>
        <v>0.03</v>
      </c>
      <c r="M8" s="106">
        <f t="shared" ca="1" si="8"/>
        <v>0.52</v>
      </c>
      <c r="N8">
        <f t="shared" ca="1" si="3"/>
        <v>1.5912958821165557E-5</v>
      </c>
      <c r="O8" s="106">
        <f t="shared" ca="1" si="4"/>
        <v>4.8806232975399266E-2</v>
      </c>
      <c r="P8" s="171">
        <f t="shared" ca="1" si="9"/>
        <v>0.71004461665649798</v>
      </c>
    </row>
    <row r="9" spans="2:20" x14ac:dyDescent="0.3">
      <c r="C9" s="19"/>
      <c r="G9">
        <f t="shared" si="5"/>
        <v>7</v>
      </c>
      <c r="H9">
        <f t="shared" ca="1" si="6"/>
        <v>2145.5903438555797</v>
      </c>
      <c r="I9">
        <f t="shared" ca="1" si="0"/>
        <v>2405.5450310326059</v>
      </c>
      <c r="J9">
        <f t="shared" ca="1" si="7"/>
        <v>2275.5676874440928</v>
      </c>
      <c r="K9">
        <f t="shared" ca="1" si="1"/>
        <v>7</v>
      </c>
      <c r="L9" s="106">
        <f t="shared" ca="1" si="2"/>
        <v>7.0000000000000007E-2</v>
      </c>
      <c r="M9" s="106">
        <f t="shared" ca="1" si="8"/>
        <v>0.59000000000000008</v>
      </c>
      <c r="N9">
        <f t="shared" ca="1" si="3"/>
        <v>1.3176032256254075E-5</v>
      </c>
      <c r="O9" s="106">
        <f t="shared" ca="1" si="4"/>
        <v>4.0411874825866591E-2</v>
      </c>
      <c r="P9" s="171">
        <f t="shared" ca="1" si="9"/>
        <v>0.7504564914823646</v>
      </c>
    </row>
    <row r="10" spans="2:20" x14ac:dyDescent="0.3">
      <c r="C10" s="42" t="str">
        <f>C3</f>
        <v>capital_yr1_short_term</v>
      </c>
      <c r="E10" s="163" t="str">
        <f ca="1">_xlfn.FORMULATEXT(max_mu)</f>
        <v>=MAX( INDIRECT(C$3) )</v>
      </c>
      <c r="G10">
        <f t="shared" si="5"/>
        <v>8</v>
      </c>
      <c r="H10">
        <f t="shared" ca="1" si="6"/>
        <v>2405.5450310326059</v>
      </c>
      <c r="I10">
        <f t="shared" ca="1" si="0"/>
        <v>2665.4997182096322</v>
      </c>
      <c r="J10">
        <f t="shared" ca="1" si="7"/>
        <v>2535.5223746211191</v>
      </c>
      <c r="K10">
        <f t="shared" ca="1" si="1"/>
        <v>2</v>
      </c>
      <c r="L10" s="106">
        <f t="shared" ca="1" si="2"/>
        <v>0.02</v>
      </c>
      <c r="M10" s="106">
        <f t="shared" ca="1" si="8"/>
        <v>0.6100000000000001</v>
      </c>
      <c r="N10">
        <f t="shared" ca="1" si="3"/>
        <v>1.1144346163800863E-5</v>
      </c>
      <c r="O10" s="106">
        <f t="shared" ca="1" si="4"/>
        <v>3.4180541867896486E-2</v>
      </c>
      <c r="P10" s="171">
        <f t="shared" ca="1" si="9"/>
        <v>0.78463703335026103</v>
      </c>
    </row>
    <row r="11" spans="2:20" x14ac:dyDescent="0.3">
      <c r="B11" s="85" t="s">
        <v>0</v>
      </c>
      <c r="C11" s="20">
        <f ca="1">MIN( INDIRECT(C$10))</f>
        <v>585.86222079342235</v>
      </c>
      <c r="E11" s="163" t="str">
        <f ca="1">_xlfn.FORMULATEXT(C11)</f>
        <v>=MIN( INDIRECT(C$10))</v>
      </c>
      <c r="G11">
        <f t="shared" si="5"/>
        <v>9</v>
      </c>
      <c r="H11">
        <f t="shared" ca="1" si="6"/>
        <v>2665.4997182096322</v>
      </c>
      <c r="I11">
        <f t="shared" ca="1" si="0"/>
        <v>2925.4544053866584</v>
      </c>
      <c r="J11">
        <f t="shared" ca="1" si="7"/>
        <v>2795.4770617981453</v>
      </c>
      <c r="K11">
        <f t="shared" ca="1" si="1"/>
        <v>15</v>
      </c>
      <c r="L11" s="106">
        <f t="shared" ca="1" si="2"/>
        <v>0.15</v>
      </c>
      <c r="M11" s="106">
        <f t="shared" ca="1" si="8"/>
        <v>0.76000000000000012</v>
      </c>
      <c r="N11">
        <f t="shared" ca="1" si="3"/>
        <v>9.5871260896408424E-6</v>
      </c>
      <c r="O11" s="106">
        <f t="shared" ca="1" si="4"/>
        <v>2.9404431617907432E-2</v>
      </c>
      <c r="P11" s="171">
        <f t="shared" ca="1" si="9"/>
        <v>0.81404146496816843</v>
      </c>
    </row>
    <row r="12" spans="2:20" x14ac:dyDescent="0.3">
      <c r="B12" s="32">
        <v>0.25</v>
      </c>
      <c r="C12" s="21">
        <f ca="1">PERCENTILE( INDIRECT(C$3), $B12 )</f>
        <v>862.97416195173594</v>
      </c>
      <c r="E12" s="163" t="str">
        <f t="shared" ref="E12:E21" ca="1" si="11">_xlfn.FORMULATEXT(C12)</f>
        <v>=PERCENTILE( INDIRECT(C$3), $B12 )</v>
      </c>
      <c r="G12">
        <f t="shared" si="5"/>
        <v>10</v>
      </c>
      <c r="H12">
        <f t="shared" ca="1" si="6"/>
        <v>2925.4544053866584</v>
      </c>
      <c r="I12">
        <f t="shared" ca="1" si="0"/>
        <v>3185.4090925636847</v>
      </c>
      <c r="J12">
        <f t="shared" ca="1" si="7"/>
        <v>3055.4317489751716</v>
      </c>
      <c r="K12">
        <f t="shared" ca="1" si="1"/>
        <v>8</v>
      </c>
      <c r="L12" s="106">
        <f t="shared" ca="1" si="2"/>
        <v>0.08</v>
      </c>
      <c r="M12" s="106">
        <f t="shared" ca="1" si="8"/>
        <v>0.84000000000000008</v>
      </c>
      <c r="N12">
        <f t="shared" ca="1" si="3"/>
        <v>8.3624040698022275E-6</v>
      </c>
      <c r="O12" s="106">
        <f t="shared" ca="1" si="4"/>
        <v>2.5648117729201801E-2</v>
      </c>
      <c r="P12" s="171">
        <f t="shared" ca="1" si="9"/>
        <v>0.83968958269737026</v>
      </c>
    </row>
    <row r="13" spans="2:20" x14ac:dyDescent="0.3">
      <c r="B13" s="164">
        <v>0.5</v>
      </c>
      <c r="C13" s="22">
        <f ca="1">PERCENTILE( INDIRECT(C$3), $B13 )</f>
        <v>1928.5695928193811</v>
      </c>
      <c r="E13" s="163" t="str">
        <f t="shared" ca="1" si="11"/>
        <v>=PERCENTILE( INDIRECT(C$3), $B13 )</v>
      </c>
      <c r="G13">
        <f t="shared" si="5"/>
        <v>11</v>
      </c>
      <c r="H13">
        <f t="shared" ca="1" si="6"/>
        <v>3185.4090925636847</v>
      </c>
      <c r="I13">
        <f t="shared" ca="1" si="0"/>
        <v>3445.3637797407109</v>
      </c>
      <c r="J13">
        <f t="shared" ca="1" si="7"/>
        <v>3315.3864361521978</v>
      </c>
      <c r="K13">
        <f t="shared" ca="1" si="1"/>
        <v>3</v>
      </c>
      <c r="L13" s="106">
        <f t="shared" ca="1" si="2"/>
        <v>0.03</v>
      </c>
      <c r="M13" s="106">
        <f t="shared" ca="1" si="8"/>
        <v>0.87000000000000011</v>
      </c>
      <c r="N13">
        <f t="shared" ca="1" si="3"/>
        <v>7.3785391617670729E-6</v>
      </c>
      <c r="O13" s="106">
        <f t="shared" ca="1" si="4"/>
        <v>2.2630530587958487E-2</v>
      </c>
      <c r="P13" s="171">
        <f t="shared" ca="1" si="9"/>
        <v>0.86232011328532876</v>
      </c>
    </row>
    <row r="14" spans="2:20" x14ac:dyDescent="0.3">
      <c r="B14" s="165">
        <v>0.75</v>
      </c>
      <c r="C14" s="23">
        <f ca="1">PERCENTILE( INDIRECT(C$3), $B14 )</f>
        <v>2869.6171121240404</v>
      </c>
      <c r="E14" s="163" t="str">
        <f t="shared" ca="1" si="11"/>
        <v>=PERCENTILE( INDIRECT(C$3), $B14 )</v>
      </c>
      <c r="G14">
        <f t="shared" si="5"/>
        <v>12</v>
      </c>
      <c r="H14">
        <f t="shared" ca="1" si="6"/>
        <v>3445.3637797407109</v>
      </c>
      <c r="I14">
        <f t="shared" ca="1" si="0"/>
        <v>3705.3184669177372</v>
      </c>
      <c r="J14">
        <f t="shared" ca="1" si="7"/>
        <v>3575.341123329224</v>
      </c>
      <c r="K14">
        <f t="shared" ca="1" si="1"/>
        <v>3</v>
      </c>
      <c r="L14" s="106">
        <f t="shared" ca="1" si="2"/>
        <v>0.03</v>
      </c>
      <c r="M14" s="106">
        <f t="shared" ca="1" si="8"/>
        <v>0.90000000000000013</v>
      </c>
      <c r="N14">
        <f t="shared" ca="1" si="3"/>
        <v>6.5740028440178146E-6</v>
      </c>
      <c r="O14" s="106">
        <f t="shared" ca="1" si="4"/>
        <v>2.0162957624154133E-2</v>
      </c>
      <c r="P14" s="171">
        <f t="shared" ca="1" si="9"/>
        <v>0.88248307090948286</v>
      </c>
    </row>
    <row r="15" spans="2:20" x14ac:dyDescent="0.3">
      <c r="B15" s="85" t="s">
        <v>1</v>
      </c>
      <c r="C15" s="20">
        <f ca="1">MAX( INDIRECT(C$10))</f>
        <v>6044.9106515109725</v>
      </c>
      <c r="E15" s="163" t="str">
        <f t="shared" ca="1" si="11"/>
        <v>=MAX( INDIRECT(C$10))</v>
      </c>
      <c r="G15">
        <f t="shared" si="5"/>
        <v>13</v>
      </c>
      <c r="H15">
        <f t="shared" ca="1" si="6"/>
        <v>3705.3184669177372</v>
      </c>
      <c r="I15">
        <f t="shared" ca="1" si="0"/>
        <v>3965.2731540947634</v>
      </c>
      <c r="J15">
        <f t="shared" ca="1" si="7"/>
        <v>3835.2958105062503</v>
      </c>
      <c r="K15">
        <f t="shared" ca="1" si="1"/>
        <v>1</v>
      </c>
      <c r="L15" s="106">
        <f t="shared" ca="1" si="2"/>
        <v>0.01</v>
      </c>
      <c r="M15" s="106">
        <f t="shared" ca="1" si="8"/>
        <v>0.91000000000000014</v>
      </c>
      <c r="N15">
        <f t="shared" ca="1" si="3"/>
        <v>5.9061071412437079E-6</v>
      </c>
      <c r="O15" s="106">
        <f t="shared" ca="1" si="4"/>
        <v>1.8114471629864765E-2</v>
      </c>
      <c r="P15" s="171">
        <f t="shared" ca="1" si="9"/>
        <v>0.90059754253934765</v>
      </c>
    </row>
    <row r="16" spans="2:20" x14ac:dyDescent="0.3">
      <c r="B16" s="166" t="s">
        <v>2</v>
      </c>
      <c r="C16" s="20">
        <f ca="1">C14 - C12</f>
        <v>2006.6429501723046</v>
      </c>
      <c r="E16" s="163" t="str">
        <f t="shared" ca="1" si="11"/>
        <v>=C14 - C12</v>
      </c>
      <c r="G16">
        <f t="shared" si="5"/>
        <v>14</v>
      </c>
      <c r="H16">
        <f t="shared" ca="1" si="6"/>
        <v>3965.2731540947634</v>
      </c>
      <c r="I16">
        <f t="shared" ca="1" si="0"/>
        <v>4225.2278412717897</v>
      </c>
      <c r="J16">
        <f t="shared" ca="1" si="7"/>
        <v>4095.2504976832765</v>
      </c>
      <c r="K16">
        <f t="shared" ca="1" si="1"/>
        <v>0</v>
      </c>
      <c r="L16" s="106">
        <f t="shared" ca="1" si="2"/>
        <v>0</v>
      </c>
      <c r="M16" s="106">
        <f t="shared" ca="1" si="8"/>
        <v>0.91000000000000014</v>
      </c>
      <c r="N16">
        <f t="shared" ca="1" si="3"/>
        <v>5.3444016819505417E-6</v>
      </c>
      <c r="O16" s="106">
        <f t="shared" ca="1" si="4"/>
        <v>1.6391679041892249E-2</v>
      </c>
      <c r="P16" s="171">
        <f t="shared" ca="1" si="9"/>
        <v>0.91698922158123986</v>
      </c>
    </row>
    <row r="17" spans="2:16" x14ac:dyDescent="0.3">
      <c r="B17" s="166" t="str">
        <f>"mu_"&amp;C$10</f>
        <v>mu_capital_yr1_short_term</v>
      </c>
      <c r="C17" s="30">
        <f ca="1">AVERAGE( INDIRECT(C$10) )</f>
        <v>2094.2582992009543</v>
      </c>
      <c r="E17" s="163" t="str">
        <f t="shared" ca="1" si="11"/>
        <v>=AVERAGE( INDIRECT(C$10) )</v>
      </c>
      <c r="G17">
        <f t="shared" si="5"/>
        <v>15</v>
      </c>
      <c r="H17">
        <f t="shared" ca="1" si="6"/>
        <v>4225.2278412717897</v>
      </c>
      <c r="I17">
        <f t="shared" ca="1" si="0"/>
        <v>4485.1825284488159</v>
      </c>
      <c r="J17">
        <f t="shared" ca="1" si="7"/>
        <v>4355.2051848603023</v>
      </c>
      <c r="K17">
        <f t="shared" ca="1" si="1"/>
        <v>1</v>
      </c>
      <c r="L17" s="106">
        <f t="shared" ca="1" si="2"/>
        <v>0.01</v>
      </c>
      <c r="M17" s="106">
        <f t="shared" ca="1" si="8"/>
        <v>0.92000000000000015</v>
      </c>
      <c r="N17">
        <f t="shared" ca="1" si="3"/>
        <v>4.8666419320090338E-6</v>
      </c>
      <c r="O17" s="106">
        <f t="shared" ca="1" si="4"/>
        <v>1.4926354212992463E-2</v>
      </c>
      <c r="P17" s="171">
        <f t="shared" ca="1" si="9"/>
        <v>0.93191557579423234</v>
      </c>
    </row>
    <row r="18" spans="2:16" x14ac:dyDescent="0.3">
      <c r="B18" s="167" t="str">
        <f>"sig_"&amp;C$10</f>
        <v>sig_capital_yr1_short_term</v>
      </c>
      <c r="C18" s="169">
        <f ca="1">_xlfn.STDEV.S( INDIRECT(C$10) )</f>
        <v>1350.8856691198318</v>
      </c>
      <c r="E18" s="163" t="str">
        <f t="shared" ca="1" si="11"/>
        <v>=STDEV.S( INDIRECT(C$10) )</v>
      </c>
      <c r="G18">
        <f t="shared" si="5"/>
        <v>16</v>
      </c>
      <c r="H18">
        <f t="shared" ca="1" si="6"/>
        <v>4485.1825284488159</v>
      </c>
      <c r="I18">
        <f t="shared" ca="1" si="0"/>
        <v>4745.1372156258421</v>
      </c>
      <c r="J18">
        <f t="shared" ca="1" si="7"/>
        <v>4615.1598720373295</v>
      </c>
      <c r="K18">
        <f t="shared" ca="1" si="1"/>
        <v>1</v>
      </c>
      <c r="L18" s="106">
        <f t="shared" ca="1" si="2"/>
        <v>0.01</v>
      </c>
      <c r="M18" s="106">
        <f t="shared" ca="1" si="8"/>
        <v>0.93000000000000016</v>
      </c>
      <c r="N18">
        <f t="shared" ca="1" si="3"/>
        <v>4.4562386386636363E-6</v>
      </c>
      <c r="O18" s="106">
        <f t="shared" ca="1" si="4"/>
        <v>1.366761666619226E-2</v>
      </c>
      <c r="P18" s="171">
        <f t="shared" ca="1" si="9"/>
        <v>0.94558319246042455</v>
      </c>
    </row>
    <row r="19" spans="2:16" x14ac:dyDescent="0.3">
      <c r="B19" s="167" t="s">
        <v>124</v>
      </c>
      <c r="C19" s="169">
        <f ca="1">AVEDEV(  INDIRECT(C$10) )</f>
        <v>1136.3021772487402</v>
      </c>
      <c r="E19" s="163" t="str">
        <f t="shared" ca="1" si="11"/>
        <v>=AVEDEV(  INDIRECT(C$10) )</v>
      </c>
      <c r="G19">
        <f t="shared" si="5"/>
        <v>17</v>
      </c>
      <c r="H19">
        <f t="shared" ca="1" si="6"/>
        <v>4745.1372156258421</v>
      </c>
      <c r="I19">
        <f t="shared" ca="1" si="0"/>
        <v>5005.0919028028684</v>
      </c>
      <c r="J19">
        <f t="shared" ca="1" si="7"/>
        <v>4875.1145592143548</v>
      </c>
      <c r="K19">
        <f t="shared" ca="1" si="1"/>
        <v>2</v>
      </c>
      <c r="L19" s="106">
        <f t="shared" ca="1" si="2"/>
        <v>0.02</v>
      </c>
      <c r="M19" s="106">
        <f t="shared" ca="1" si="8"/>
        <v>0.95000000000000018</v>
      </c>
      <c r="N19">
        <f t="shared" ca="1" si="3"/>
        <v>4.1005941616656371E-6</v>
      </c>
      <c r="O19" s="106">
        <f t="shared" ca="1" si="4"/>
        <v>1.2576828498143258E-2</v>
      </c>
      <c r="P19" s="171">
        <f t="shared" ca="1" si="9"/>
        <v>0.95816002095856778</v>
      </c>
    </row>
    <row r="20" spans="2:16" x14ac:dyDescent="0.3">
      <c r="B20" s="167" t="s">
        <v>125</v>
      </c>
      <c r="C20" s="169">
        <f ca="1">SKEW(  INDIRECT(C$10) )</f>
        <v>0.86101723906137018</v>
      </c>
      <c r="E20" s="163" t="str">
        <f t="shared" ca="1" si="11"/>
        <v>=SKEW(  INDIRECT(C$10) )</v>
      </c>
      <c r="G20">
        <f t="shared" si="5"/>
        <v>18</v>
      </c>
      <c r="H20">
        <f t="shared" ca="1" si="6"/>
        <v>5005.0919028028684</v>
      </c>
      <c r="I20">
        <f t="shared" ca="1" si="0"/>
        <v>5265.0465899798946</v>
      </c>
      <c r="J20">
        <f t="shared" ca="1" si="7"/>
        <v>5135.069246391382</v>
      </c>
      <c r="K20">
        <f t="shared" ca="1" si="1"/>
        <v>2</v>
      </c>
      <c r="L20" s="106">
        <f t="shared" ca="1" si="2"/>
        <v>0.02</v>
      </c>
      <c r="M20" s="106">
        <f t="shared" ca="1" si="8"/>
        <v>0.9700000000000002</v>
      </c>
      <c r="N20">
        <f t="shared" ca="1" si="3"/>
        <v>3.7899879078614401E-6</v>
      </c>
      <c r="O20" s="106">
        <f t="shared" ca="1" si="4"/>
        <v>1.1624175923775994E-2</v>
      </c>
      <c r="P20" s="171">
        <f t="shared" ca="1" si="9"/>
        <v>0.96978419688234374</v>
      </c>
    </row>
    <row r="21" spans="2:16" x14ac:dyDescent="0.3">
      <c r="B21" s="168" t="s">
        <v>126</v>
      </c>
      <c r="C21" s="31">
        <f ca="1">KURT(  INDIRECT(C$10) ) + 3</f>
        <v>3.1428392511126195</v>
      </c>
      <c r="E21" s="163" t="str">
        <f t="shared" ca="1" si="11"/>
        <v>=KURT(  INDIRECT(C$10) ) + 3</v>
      </c>
      <c r="G21">
        <f t="shared" si="5"/>
        <v>19</v>
      </c>
      <c r="H21">
        <f t="shared" ca="1" si="6"/>
        <v>5265.0465899798946</v>
      </c>
      <c r="I21">
        <f t="shared" ca="1" si="0"/>
        <v>5525.0012771569209</v>
      </c>
      <c r="J21">
        <f t="shared" ca="1" si="7"/>
        <v>5395.0239335684073</v>
      </c>
      <c r="K21">
        <f t="shared" ca="1" si="1"/>
        <v>1</v>
      </c>
      <c r="L21" s="106">
        <f t="shared" ca="1" si="2"/>
        <v>0.01</v>
      </c>
      <c r="M21" s="106">
        <f t="shared" ca="1" si="8"/>
        <v>0.9800000000000002</v>
      </c>
      <c r="N21">
        <f t="shared" ca="1" si="3"/>
        <v>3.5168118448275098E-6</v>
      </c>
      <c r="O21" s="106">
        <f t="shared" ca="1" si="4"/>
        <v>1.0786324539531678E-2</v>
      </c>
      <c r="P21" s="171">
        <f t="shared" ca="1" si="9"/>
        <v>0.9805705214218754</v>
      </c>
    </row>
    <row r="22" spans="2:16" x14ac:dyDescent="0.3">
      <c r="G22">
        <f t="shared" si="5"/>
        <v>20</v>
      </c>
      <c r="H22">
        <f t="shared" ca="1" si="6"/>
        <v>5525.0012771569209</v>
      </c>
      <c r="I22">
        <f t="shared" ca="1" si="0"/>
        <v>5784.9559643339471</v>
      </c>
      <c r="J22">
        <f t="shared" ca="1" si="7"/>
        <v>5654.9786207454345</v>
      </c>
      <c r="K22">
        <f t="shared" ca="1" si="1"/>
        <v>1</v>
      </c>
      <c r="L22" s="106">
        <f t="shared" ca="1" si="2"/>
        <v>0.01</v>
      </c>
      <c r="M22" s="106">
        <f t="shared" ca="1" si="8"/>
        <v>0.99000000000000021</v>
      </c>
      <c r="N22">
        <f t="shared" ca="1" si="3"/>
        <v>3.2750350579756227E-6</v>
      </c>
      <c r="O22" s="106">
        <f t="shared" ca="1" si="4"/>
        <v>1.0044777080020793E-2</v>
      </c>
      <c r="P22" s="171">
        <f t="shared" ca="1" si="9"/>
        <v>0.99061529850189622</v>
      </c>
    </row>
    <row r="23" spans="2:16" x14ac:dyDescent="0.3">
      <c r="G23" s="103">
        <f t="shared" si="5"/>
        <v>21</v>
      </c>
      <c r="H23" s="103">
        <f t="shared" ca="1" si="6"/>
        <v>5784.9559643339471</v>
      </c>
      <c r="I23" s="103">
        <f t="shared" ca="1" si="0"/>
        <v>6044.9106515109734</v>
      </c>
      <c r="J23" s="103">
        <f t="shared" ca="1" si="7"/>
        <v>5914.9333079224598</v>
      </c>
      <c r="K23" s="103">
        <f ca="1">COUNTIFS( INDIRECT(C$3), "&gt;="&amp;H23, INDIRECT(C$3), "&lt;="&amp;I23 )</f>
        <v>1</v>
      </c>
      <c r="L23" s="40">
        <f t="shared" ca="1" si="2"/>
        <v>0.01</v>
      </c>
      <c r="M23" s="40">
        <f t="shared" ca="1" si="8"/>
        <v>1.0000000000000002</v>
      </c>
      <c r="N23" s="103">
        <f t="shared" ca="1" si="3"/>
        <v>3.0598216535892554E-6</v>
      </c>
      <c r="O23" s="40">
        <f t="shared" ca="1" si="4"/>
        <v>9.3847014981033056E-3</v>
      </c>
      <c r="P23" s="172">
        <f t="shared" ca="1" si="9"/>
        <v>0.99999999999999956</v>
      </c>
    </row>
    <row r="24" spans="2:16" x14ac:dyDescent="0.3">
      <c r="M24" t="s">
        <v>141</v>
      </c>
      <c r="N24" s="77">
        <f ca="1">SUM(N3:N23)</f>
        <v>3.260435778599522E-4</v>
      </c>
    </row>
    <row r="25" spans="2:16" x14ac:dyDescent="0.3">
      <c r="G25" s="97" t="s">
        <v>127</v>
      </c>
      <c r="H25" s="97" t="s">
        <v>128</v>
      </c>
      <c r="I25" s="97" t="s">
        <v>129</v>
      </c>
      <c r="J25" s="97" t="s">
        <v>130</v>
      </c>
      <c r="K25" s="97" t="s">
        <v>131</v>
      </c>
      <c r="L25" s="97" t="s">
        <v>132</v>
      </c>
      <c r="M25" s="97" t="s">
        <v>133</v>
      </c>
      <c r="N25" s="97" t="s">
        <v>142</v>
      </c>
      <c r="O25" s="97" t="s">
        <v>143</v>
      </c>
      <c r="P25" s="97" t="s">
        <v>134</v>
      </c>
    </row>
    <row r="26" spans="2:16" ht="96" x14ac:dyDescent="0.3">
      <c r="G26" s="126" t="str">
        <f t="shared" ref="G26:P26" ca="1" si="12">_xlfn.FORMULATEXT(G3)</f>
        <v>=1</v>
      </c>
      <c r="H26" s="126" t="str">
        <f t="shared" ca="1" si="12"/>
        <v>=min_mu</v>
      </c>
      <c r="I26" s="126" t="str">
        <f t="shared" ca="1" si="12"/>
        <v>=H3 + width_mu</v>
      </c>
      <c r="J26" s="126" t="str">
        <f t="shared" ca="1" si="12"/>
        <v>=((H3 + I3)/2)</v>
      </c>
      <c r="K26" s="126" t="str">
        <f t="shared" ca="1" si="12"/>
        <v>=COUNTIFS( INDIRECT(C$3), "&gt;="&amp;H3, INDIRECT(C$3), "&lt;"&amp;I3 )</v>
      </c>
      <c r="L26" s="126" t="str">
        <f t="shared" ca="1" si="12"/>
        <v>=K3 / count_wait</v>
      </c>
      <c r="M26" s="126" t="str">
        <f t="shared" ca="1" si="12"/>
        <v>=L3</v>
      </c>
      <c r="N26" s="126" t="str">
        <f t="shared" ca="1" si="12"/>
        <v>=(1/mu_sigma)*(1+mu_xi*((J3)-100)/mu_sigma)^(-(1+mu_xi)/mu_xi)</v>
      </c>
      <c r="O26" s="126" t="str">
        <f t="shared" ca="1" si="12"/>
        <v>=N3 / sum_pmf</v>
      </c>
      <c r="P26" s="126" t="str">
        <f t="shared" ca="1" si="12"/>
        <v>=O3</v>
      </c>
    </row>
    <row r="27" spans="2:16" x14ac:dyDescent="0.3">
      <c r="G27" s="2" t="s">
        <v>27</v>
      </c>
      <c r="H27" s="2" t="s">
        <v>88</v>
      </c>
      <c r="I27" s="5" t="s">
        <v>89</v>
      </c>
      <c r="K27" s="5" t="s">
        <v>135</v>
      </c>
      <c r="P27" s="5" t="s">
        <v>144</v>
      </c>
    </row>
    <row r="28" spans="2:16" ht="96" x14ac:dyDescent="0.3">
      <c r="G28" s="126" t="str">
        <f ca="1">_xlfn.FORMULATEXT(G4)</f>
        <v>=G3+1</v>
      </c>
      <c r="H28" s="126" t="str">
        <f ca="1">_xlfn.FORMULATEXT(H4)</f>
        <v>=I3</v>
      </c>
      <c r="I28" s="126" t="str">
        <f ca="1">_xlfn.FORMULATEXT(I4)</f>
        <v>=H4 + width_mu</v>
      </c>
      <c r="J28" s="125"/>
      <c r="K28" s="126" t="str">
        <f ca="1">_xlfn.FORMULATEXT(K23)</f>
        <v>=COUNTIFS( INDIRECT(C$3), "&gt;="&amp;H23, INDIRECT(C$3), "&lt;="&amp;I23 )</v>
      </c>
      <c r="P28" s="126" t="str">
        <f ca="1">_xlfn.FORMULATEXT(P4)</f>
        <v>=P3 + O4</v>
      </c>
    </row>
  </sheetData>
  <dataValidations count="1">
    <dataValidation type="list" allowBlank="1" showInputMessage="1" showErrorMessage="1" sqref="C3" xr:uid="{EBD9349F-8D98-46D6-87AD-0A22BED45A21}">
      <formula1>list_final</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5F670-A293-4979-B1C7-E0825B7911AB}">
  <sheetPr codeName="Sheet13"/>
  <dimension ref="B2:D20"/>
  <sheetViews>
    <sheetView workbookViewId="0">
      <selection activeCell="B2" sqref="B2"/>
    </sheetView>
  </sheetViews>
  <sheetFormatPr defaultColWidth="8.77734375" defaultRowHeight="14.4" x14ac:dyDescent="0.3"/>
  <cols>
    <col min="4" max="4" width="21.109375" customWidth="1"/>
  </cols>
  <sheetData>
    <row r="2" spans="2:4" x14ac:dyDescent="0.3">
      <c r="B2" t="s">
        <v>136</v>
      </c>
      <c r="D2" s="5" t="s">
        <v>148</v>
      </c>
    </row>
    <row r="3" spans="2:4" x14ac:dyDescent="0.3">
      <c r="B3" t="str">
        <f t="array" ref="B3:B20">TRANSPOSE('fund-simulation-short-term'!B6:T6)</f>
        <v>A_1_2_</v>
      </c>
      <c r="D3" t="s">
        <v>150</v>
      </c>
    </row>
    <row r="4" spans="2:4" x14ac:dyDescent="0.3">
      <c r="B4" t="str">
        <v>B_8_8_</v>
      </c>
      <c r="D4" t="s">
        <v>151</v>
      </c>
    </row>
    <row r="5" spans="2:4" x14ac:dyDescent="0.3">
      <c r="B5" t="str">
        <v>C_8_8_</v>
      </c>
      <c r="D5" t="s">
        <v>149</v>
      </c>
    </row>
    <row r="6" spans="2:4" x14ac:dyDescent="0.3">
      <c r="B6" t="str">
        <v>D_8_8_</v>
      </c>
      <c r="D6" t="s">
        <v>147</v>
      </c>
    </row>
    <row r="7" spans="2:4" x14ac:dyDescent="0.3">
      <c r="B7" t="str">
        <v>A_2_3_</v>
      </c>
      <c r="D7" t="s">
        <v>145</v>
      </c>
    </row>
    <row r="8" spans="2:4" x14ac:dyDescent="0.3">
      <c r="B8" t="str">
        <v>A_3_4_</v>
      </c>
    </row>
    <row r="9" spans="2:4" x14ac:dyDescent="0.3">
      <c r="B9" t="str">
        <v>B_8_8_</v>
      </c>
    </row>
    <row r="10" spans="2:4" x14ac:dyDescent="0.3">
      <c r="B10" t="str">
        <v>A_4_5_</v>
      </c>
    </row>
    <row r="11" spans="2:4" x14ac:dyDescent="0.3">
      <c r="B11" t="str">
        <v>C_8_8_</v>
      </c>
    </row>
    <row r="12" spans="2:4" x14ac:dyDescent="0.3">
      <c r="B12" t="str">
        <v>A_5_6_</v>
      </c>
    </row>
    <row r="13" spans="2:4" x14ac:dyDescent="0.3">
      <c r="B13" t="str">
        <v>B_8_8_</v>
      </c>
    </row>
    <row r="14" spans="2:4" x14ac:dyDescent="0.3">
      <c r="B14" t="str">
        <v>A_6_7_</v>
      </c>
    </row>
    <row r="15" spans="2:4" x14ac:dyDescent="0.3">
      <c r="B15" t="str">
        <v>capital_yr1</v>
      </c>
    </row>
    <row r="16" spans="2:4" x14ac:dyDescent="0.3">
      <c r="B16" t="str">
        <v>claims_yr2</v>
      </c>
    </row>
    <row r="17" spans="2:2" x14ac:dyDescent="0.3">
      <c r="B17" t="str">
        <v>claims_yr3</v>
      </c>
    </row>
    <row r="18" spans="2:2" x14ac:dyDescent="0.3">
      <c r="B18" t="str">
        <v>claims_yr4</v>
      </c>
    </row>
    <row r="19" spans="2:2" x14ac:dyDescent="0.3">
      <c r="B19" t="str">
        <v>claims_yr5</v>
      </c>
    </row>
    <row r="20" spans="2:2" x14ac:dyDescent="0.3">
      <c r="B20" t="str">
        <v>claims_yr6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A59E5-4723-4EEF-AB51-2736FDA9398B}">
  <dimension ref="A1"/>
  <sheetViews>
    <sheetView workbookViewId="0"/>
  </sheetViews>
  <sheetFormatPr defaultColWidth="8.77734375"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4321D-DA04-4040-87DB-0DB3D9208FE6}">
  <dimension ref="A1"/>
  <sheetViews>
    <sheetView workbookViewId="0"/>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74</vt:i4>
      </vt:variant>
    </vt:vector>
  </HeadingPairs>
  <TitlesOfParts>
    <vt:vector size="93" baseType="lpstr">
      <vt:lpstr>case</vt:lpstr>
      <vt:lpstr>rubric</vt:lpstr>
      <vt:lpstr>results</vt:lpstr>
      <vt:lpstr>fund-claims</vt:lpstr>
      <vt:lpstr>fund-allocation</vt:lpstr>
      <vt:lpstr>fund-simulation-short-term</vt:lpstr>
      <vt:lpstr>fund-simulation-all</vt:lpstr>
      <vt:lpstr>&gt;&gt;GPD&gt;&gt;</vt:lpstr>
      <vt:lpstr>data</vt:lpstr>
      <vt:lpstr>eda</vt:lpstr>
      <vt:lpstr>mean-excess-over-threshold</vt:lpstr>
      <vt:lpstr>grid-setup</vt:lpstr>
      <vt:lpstr>grid-approx</vt:lpstr>
      <vt:lpstr>xi-sigma-grid</vt:lpstr>
      <vt:lpstr>xi-sigma-sim</vt:lpstr>
      <vt:lpstr>eda-sim-short-term</vt:lpstr>
      <vt:lpstr>control</vt:lpstr>
      <vt:lpstr>Sheet2</vt:lpstr>
      <vt:lpstr>Sheet3</vt:lpstr>
      <vt:lpstr>A_1_2</vt:lpstr>
      <vt:lpstr>A_1_2_</vt:lpstr>
      <vt:lpstr>A_1_2_all</vt:lpstr>
      <vt:lpstr>A_1_2_short_term</vt:lpstr>
      <vt:lpstr>A_2_3</vt:lpstr>
      <vt:lpstr>A_2_3_</vt:lpstr>
      <vt:lpstr>A_3_4</vt:lpstr>
      <vt:lpstr>A_3_4_</vt:lpstr>
      <vt:lpstr>A_4_5</vt:lpstr>
      <vt:lpstr>A_4_5_</vt:lpstr>
      <vt:lpstr>A_5_6</vt:lpstr>
      <vt:lpstr>A_5_6_</vt:lpstr>
      <vt:lpstr>A_6_7</vt:lpstr>
      <vt:lpstr>A_6_7_</vt:lpstr>
      <vt:lpstr>B_1_3</vt:lpstr>
      <vt:lpstr>B_1_3_</vt:lpstr>
      <vt:lpstr>B_3_5</vt:lpstr>
      <vt:lpstr>B_3_5_</vt:lpstr>
      <vt:lpstr>B_5_7</vt:lpstr>
      <vt:lpstr>B_5_7_</vt:lpstr>
      <vt:lpstr>C_1_4</vt:lpstr>
      <vt:lpstr>C_1_4_</vt:lpstr>
      <vt:lpstr>C_4_7</vt:lpstr>
      <vt:lpstr>C_4_7_</vt:lpstr>
      <vt:lpstr>calculation_claims</vt:lpstr>
      <vt:lpstr>capital_yr1</vt:lpstr>
      <vt:lpstr>capital_yr1_all</vt:lpstr>
      <vt:lpstr>capital_yr1_short_term</vt:lpstr>
      <vt:lpstr>claims</vt:lpstr>
      <vt:lpstr>claims_yr2</vt:lpstr>
      <vt:lpstr>claims_yr3</vt:lpstr>
      <vt:lpstr>claims_yr4</vt:lpstr>
      <vt:lpstr>claims_yr5</vt:lpstr>
      <vt:lpstr>claims_yr6</vt:lpstr>
      <vt:lpstr>claims_yr7</vt:lpstr>
      <vt:lpstr>count_wait</vt:lpstr>
      <vt:lpstr>cov_xi__sigma</vt:lpstr>
      <vt:lpstr>D_1_7</vt:lpstr>
      <vt:lpstr>D_1_7_</vt:lpstr>
      <vt:lpstr>gpa</vt:lpstr>
      <vt:lpstr>interface</vt:lpstr>
      <vt:lpstr>interval_mu_h</vt:lpstr>
      <vt:lpstr>interval_sigma_h</vt:lpstr>
      <vt:lpstr>key</vt:lpstr>
      <vt:lpstr>list_final</vt:lpstr>
      <vt:lpstr>max_mu</vt:lpstr>
      <vt:lpstr>max_mu_h</vt:lpstr>
      <vt:lpstr>max_sigma_h</vt:lpstr>
      <vt:lpstr>min_mu</vt:lpstr>
      <vt:lpstr>min_mu_h</vt:lpstr>
      <vt:lpstr>min_sigma_h</vt:lpstr>
      <vt:lpstr>'grid-approx'!mu_h</vt:lpstr>
      <vt:lpstr>'grid-setup'!mu_h</vt:lpstr>
      <vt:lpstr>mu_sigma</vt:lpstr>
      <vt:lpstr>mu_thres</vt:lpstr>
      <vt:lpstr>mu_wait</vt:lpstr>
      <vt:lpstr>mu_xi</vt:lpstr>
      <vt:lpstr>Pr_h___d</vt:lpstr>
      <vt:lpstr>rho</vt:lpstr>
      <vt:lpstr>sig_sigma</vt:lpstr>
      <vt:lpstr>sig_wait</vt:lpstr>
      <vt:lpstr>sig_xi</vt:lpstr>
      <vt:lpstr>'grid-approx'!sigma_h</vt:lpstr>
      <vt:lpstr>'grid-setup'!sigma_h</vt:lpstr>
      <vt:lpstr>sim_list</vt:lpstr>
      <vt:lpstr>simulation</vt:lpstr>
      <vt:lpstr>sum</vt:lpstr>
      <vt:lpstr>sum_pmf</vt:lpstr>
      <vt:lpstr>sum_pr_xi_sigma</vt:lpstr>
      <vt:lpstr>u</vt:lpstr>
      <vt:lpstr>wages</vt:lpstr>
      <vt:lpstr>width_mu</vt:lpstr>
      <vt:lpstr>width_mu_h</vt:lpstr>
      <vt:lpstr>width_sigma_h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Foote</dc:creator>
  <cp:lastModifiedBy>Bill Foote</cp:lastModifiedBy>
  <dcterms:created xsi:type="dcterms:W3CDTF">2021-02-27T21:28:33Z</dcterms:created>
  <dcterms:modified xsi:type="dcterms:W3CDTF">2022-05-01T14:36:03Z</dcterms:modified>
</cp:coreProperties>
</file>