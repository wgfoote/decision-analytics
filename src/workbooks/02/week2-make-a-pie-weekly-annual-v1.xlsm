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filterPrivacy="1" codeName="ThisWorkbook"/>
  <xr:revisionPtr revIDLastSave="0" documentId="13_ncr:1_{18246326-37FB-463B-8954-682085A46E82}" xr6:coauthVersionLast="45" xr6:coauthVersionMax="45" xr10:uidLastSave="{00000000-0000-0000-0000-000000000000}"/>
  <bookViews>
    <workbookView xWindow="-108" yWindow="-108" windowWidth="23256" windowHeight="12576" tabRatio="954" xr2:uid="{00000000-000D-0000-FFFF-FFFF00000000}"/>
  </bookViews>
  <sheets>
    <sheet name="dashboard" sheetId="13" r:id="rId1"/>
    <sheet name="settings" sheetId="12" r:id="rId2"/>
    <sheet name="questions" sheetId="8" r:id="rId3"/>
    <sheet name="influence-diagram" sheetId="3" r:id="rId4"/>
    <sheet name="data" sheetId="11" r:id="rId5"/>
    <sheet name="cost" sheetId="2" r:id="rId6"/>
    <sheet name="demand" sheetId="9" r:id="rId7"/>
    <sheet name="profit" sheetId="1" r:id="rId8"/>
    <sheet name="npv" sheetId="10" r:id="rId9"/>
    <sheet name="npv-sensitivity" sheetId="16" r:id="rId10"/>
    <sheet name="npv-sensitivity (2)" sheetId="18" r:id="rId11"/>
    <sheet name="sensitivity" sheetId="4" r:id="rId12"/>
    <sheet name="profit-breakeven" sheetId="15" r:id="rId13"/>
    <sheet name="npv-breakeven" sheetId="14" r:id="rId14"/>
    <sheet name="goal-seek" sheetId="7" r:id="rId15"/>
    <sheet name="NPV_pie()" sheetId="17" r:id="rId16"/>
  </sheets>
  <functionGroups builtInGroupCount="19"/>
  <definedNames>
    <definedName name="_xlnm._FilterDatabase" localSheetId="11" hidden="1">sensitivity!$T$26:$AC$35</definedName>
    <definedName name="a_0">demand!$D$6</definedName>
    <definedName name="a_1">demand!$D$9</definedName>
    <definedName name="se_e">cost!$R$5</definedName>
    <definedName name="solver_adj" localSheetId="8" hidden="1">npv!$D$4</definedName>
    <definedName name="solver_adj" localSheetId="13" hidden="1">'npv-breakeven'!$D$4</definedName>
    <definedName name="solver_adj" localSheetId="9" hidden="1">'npv-sensitivity'!$D$4</definedName>
    <definedName name="solver_adj" localSheetId="10" hidden="1">'npv-sensitivity (2)'!$D$4</definedName>
    <definedName name="solver_adj" localSheetId="7" hidden="1">profit!$C$3</definedName>
    <definedName name="solver_adj" localSheetId="12" hidden="1">'profit-breakeven'!$B$3</definedName>
    <definedName name="solver_adj" localSheetId="11" hidden="1">sensitivity!$C$3</definedName>
    <definedName name="solver_cvg" localSheetId="8" hidden="1">0.0001</definedName>
    <definedName name="solver_cvg" localSheetId="13" hidden="1">0.0001</definedName>
    <definedName name="solver_cvg" localSheetId="9" hidden="1">0.0001</definedName>
    <definedName name="solver_cvg" localSheetId="10" hidden="1">0.0001</definedName>
    <definedName name="solver_cvg" localSheetId="7" hidden="1">0.0001</definedName>
    <definedName name="solver_cvg" localSheetId="12" hidden="1">0.0001</definedName>
    <definedName name="solver_cvg" localSheetId="11" hidden="1">0.0001</definedName>
    <definedName name="solver_drv" localSheetId="8" hidden="1">1</definedName>
    <definedName name="solver_drv" localSheetId="13" hidden="1">1</definedName>
    <definedName name="solver_drv" localSheetId="9" hidden="1">1</definedName>
    <definedName name="solver_drv" localSheetId="10" hidden="1">1</definedName>
    <definedName name="solver_drv" localSheetId="7" hidden="1">1</definedName>
    <definedName name="solver_drv" localSheetId="12" hidden="1">1</definedName>
    <definedName name="solver_drv" localSheetId="11" hidden="1">1</definedName>
    <definedName name="solver_eng" localSheetId="8" hidden="1">1</definedName>
    <definedName name="solver_eng" localSheetId="13" hidden="1">1</definedName>
    <definedName name="solver_eng" localSheetId="9" hidden="1">1</definedName>
    <definedName name="solver_eng" localSheetId="10" hidden="1">1</definedName>
    <definedName name="solver_eng" localSheetId="11" hidden="1">1</definedName>
    <definedName name="solver_est" localSheetId="8" hidden="1">1</definedName>
    <definedName name="solver_est" localSheetId="13" hidden="1">1</definedName>
    <definedName name="solver_est" localSheetId="9" hidden="1">1</definedName>
    <definedName name="solver_est" localSheetId="10" hidden="1">1</definedName>
    <definedName name="solver_est" localSheetId="7" hidden="1">1</definedName>
    <definedName name="solver_est" localSheetId="12" hidden="1">1</definedName>
    <definedName name="solver_est" localSheetId="11" hidden="1">1</definedName>
    <definedName name="solver_itr" localSheetId="8" hidden="1">100</definedName>
    <definedName name="solver_itr" localSheetId="13" hidden="1">100</definedName>
    <definedName name="solver_itr" localSheetId="9" hidden="1">100</definedName>
    <definedName name="solver_itr" localSheetId="10" hidden="1">100</definedName>
    <definedName name="solver_itr" localSheetId="7" hidden="1">100</definedName>
    <definedName name="solver_itr" localSheetId="12" hidden="1">100</definedName>
    <definedName name="solver_itr" localSheetId="11" hidden="1">2147483647</definedName>
    <definedName name="solver_lhs1" localSheetId="11" hidden="1">sensitivity!$C$3</definedName>
    <definedName name="solver_lin" localSheetId="8" hidden="1">2</definedName>
    <definedName name="solver_lin" localSheetId="13" hidden="1">2</definedName>
    <definedName name="solver_lin" localSheetId="9" hidden="1">2</definedName>
    <definedName name="solver_lin" localSheetId="10" hidden="1">2</definedName>
    <definedName name="solver_lin" localSheetId="7" hidden="1">2</definedName>
    <definedName name="solver_lin" localSheetId="12" hidden="1">2</definedName>
    <definedName name="solver_mip" localSheetId="8" hidden="1">2147483647</definedName>
    <definedName name="solver_mip" localSheetId="13" hidden="1">2147483647</definedName>
    <definedName name="solver_mip" localSheetId="9" hidden="1">2147483647</definedName>
    <definedName name="solver_mip" localSheetId="10" hidden="1">2147483647</definedName>
    <definedName name="solver_mip" localSheetId="11" hidden="1">2147483647</definedName>
    <definedName name="solver_mni" localSheetId="8" hidden="1">30</definedName>
    <definedName name="solver_mni" localSheetId="13" hidden="1">30</definedName>
    <definedName name="solver_mni" localSheetId="9" hidden="1">30</definedName>
    <definedName name="solver_mni" localSheetId="10" hidden="1">30</definedName>
    <definedName name="solver_mni" localSheetId="11" hidden="1">30</definedName>
    <definedName name="solver_mrt" localSheetId="8" hidden="1">0.075</definedName>
    <definedName name="solver_mrt" localSheetId="13" hidden="1">0.075</definedName>
    <definedName name="solver_mrt" localSheetId="9" hidden="1">0.075</definedName>
    <definedName name="solver_mrt" localSheetId="10" hidden="1">0.075</definedName>
    <definedName name="solver_mrt" localSheetId="11" hidden="1">0.075</definedName>
    <definedName name="solver_msl" localSheetId="8" hidden="1">2</definedName>
    <definedName name="solver_msl" localSheetId="13" hidden="1">2</definedName>
    <definedName name="solver_msl" localSheetId="9" hidden="1">2</definedName>
    <definedName name="solver_msl" localSheetId="10" hidden="1">2</definedName>
    <definedName name="solver_msl" localSheetId="11" hidden="1">2</definedName>
    <definedName name="solver_neg" localSheetId="8" hidden="1">1</definedName>
    <definedName name="solver_neg" localSheetId="13" hidden="1">1</definedName>
    <definedName name="solver_neg" localSheetId="9" hidden="1">1</definedName>
    <definedName name="solver_neg" localSheetId="10" hidden="1">1</definedName>
    <definedName name="solver_neg" localSheetId="7" hidden="1">2</definedName>
    <definedName name="solver_neg" localSheetId="12" hidden="1">2</definedName>
    <definedName name="solver_neg" localSheetId="11" hidden="1">1</definedName>
    <definedName name="solver_nod" localSheetId="8" hidden="1">2147483647</definedName>
    <definedName name="solver_nod" localSheetId="13" hidden="1">2147483647</definedName>
    <definedName name="solver_nod" localSheetId="9" hidden="1">2147483647</definedName>
    <definedName name="solver_nod" localSheetId="10" hidden="1">2147483647</definedName>
    <definedName name="solver_nod" localSheetId="11" hidden="1">2147483647</definedName>
    <definedName name="solver_num" localSheetId="8" hidden="1">0</definedName>
    <definedName name="solver_num" localSheetId="13" hidden="1">0</definedName>
    <definedName name="solver_num" localSheetId="9" hidden="1">0</definedName>
    <definedName name="solver_num" localSheetId="10" hidden="1">0</definedName>
    <definedName name="solver_num" localSheetId="7" hidden="1">0</definedName>
    <definedName name="solver_num" localSheetId="12" hidden="1">0</definedName>
    <definedName name="solver_num" localSheetId="11" hidden="1">1</definedName>
    <definedName name="solver_nwt" localSheetId="8" hidden="1">1</definedName>
    <definedName name="solver_nwt" localSheetId="13" hidden="1">1</definedName>
    <definedName name="solver_nwt" localSheetId="9" hidden="1">1</definedName>
    <definedName name="solver_nwt" localSheetId="10" hidden="1">1</definedName>
    <definedName name="solver_nwt" localSheetId="7" hidden="1">1</definedName>
    <definedName name="solver_nwt" localSheetId="12" hidden="1">1</definedName>
    <definedName name="solver_nwt" localSheetId="11" hidden="1">1</definedName>
    <definedName name="solver_opt" localSheetId="8" hidden="1">npv!#REF!</definedName>
    <definedName name="solver_opt" localSheetId="13" hidden="1">'npv-breakeven'!#REF!</definedName>
    <definedName name="solver_opt" localSheetId="9" hidden="1">'npv-sensitivity'!#REF!</definedName>
    <definedName name="solver_opt" localSheetId="10" hidden="1">'npv-sensitivity (2)'!#REF!</definedName>
    <definedName name="solver_opt" localSheetId="7" hidden="1">profit!$C$22</definedName>
    <definedName name="solver_opt" localSheetId="12" hidden="1">'profit-breakeven'!$B$22</definedName>
    <definedName name="solver_opt" localSheetId="11" hidden="1">sensitivity!#REF!</definedName>
    <definedName name="solver_pre" localSheetId="8" hidden="1">0.000001</definedName>
    <definedName name="solver_pre" localSheetId="13" hidden="1">0.000001</definedName>
    <definedName name="solver_pre" localSheetId="9" hidden="1">0.000001</definedName>
    <definedName name="solver_pre" localSheetId="10" hidden="1">0.000001</definedName>
    <definedName name="solver_pre" localSheetId="7" hidden="1">0.000001</definedName>
    <definedName name="solver_pre" localSheetId="12" hidden="1">0.000001</definedName>
    <definedName name="solver_pre" localSheetId="11" hidden="1">0.000001</definedName>
    <definedName name="solver_rbv" localSheetId="8" hidden="1">1</definedName>
    <definedName name="solver_rbv" localSheetId="13" hidden="1">1</definedName>
    <definedName name="solver_rbv" localSheetId="9" hidden="1">1</definedName>
    <definedName name="solver_rbv" localSheetId="10" hidden="1">1</definedName>
    <definedName name="solver_rbv" localSheetId="11" hidden="1">1</definedName>
    <definedName name="solver_rel1" localSheetId="11" hidden="1">3</definedName>
    <definedName name="solver_rhs1" localSheetId="11" hidden="1">0</definedName>
    <definedName name="solver_rlx" localSheetId="8" hidden="1">1</definedName>
    <definedName name="solver_rlx" localSheetId="13" hidden="1">1</definedName>
    <definedName name="solver_rlx" localSheetId="9" hidden="1">1</definedName>
    <definedName name="solver_rlx" localSheetId="10" hidden="1">1</definedName>
    <definedName name="solver_rlx" localSheetId="11" hidden="1">2</definedName>
    <definedName name="solver_rsd" localSheetId="8" hidden="1">0</definedName>
    <definedName name="solver_rsd" localSheetId="13" hidden="1">0</definedName>
    <definedName name="solver_rsd" localSheetId="9" hidden="1">0</definedName>
    <definedName name="solver_rsd" localSheetId="10" hidden="1">0</definedName>
    <definedName name="solver_rsd" localSheetId="11" hidden="1">0</definedName>
    <definedName name="solver_scl" localSheetId="8" hidden="1">2</definedName>
    <definedName name="solver_scl" localSheetId="13" hidden="1">2</definedName>
    <definedName name="solver_scl" localSheetId="9" hidden="1">2</definedName>
    <definedName name="solver_scl" localSheetId="10" hidden="1">2</definedName>
    <definedName name="solver_scl" localSheetId="7" hidden="1">2</definedName>
    <definedName name="solver_scl" localSheetId="12" hidden="1">2</definedName>
    <definedName name="solver_scl" localSheetId="11" hidden="1">1</definedName>
    <definedName name="solver_sho" localSheetId="8" hidden="1">2</definedName>
    <definedName name="solver_sho" localSheetId="13" hidden="1">2</definedName>
    <definedName name="solver_sho" localSheetId="9" hidden="1">2</definedName>
    <definedName name="solver_sho" localSheetId="10" hidden="1">2</definedName>
    <definedName name="solver_sho" localSheetId="7" hidden="1">2</definedName>
    <definedName name="solver_sho" localSheetId="12" hidden="1">2</definedName>
    <definedName name="solver_sho" localSheetId="11" hidden="1">2</definedName>
    <definedName name="solver_ssz" localSheetId="8" hidden="1">100</definedName>
    <definedName name="solver_ssz" localSheetId="13" hidden="1">100</definedName>
    <definedName name="solver_ssz" localSheetId="9" hidden="1">100</definedName>
    <definedName name="solver_ssz" localSheetId="10" hidden="1">100</definedName>
    <definedName name="solver_ssz" localSheetId="11" hidden="1">100</definedName>
    <definedName name="solver_tim" localSheetId="8" hidden="1">100</definedName>
    <definedName name="solver_tim" localSheetId="13" hidden="1">100</definedName>
    <definedName name="solver_tim" localSheetId="9" hidden="1">100</definedName>
    <definedName name="solver_tim" localSheetId="10" hidden="1">100</definedName>
    <definedName name="solver_tim" localSheetId="7" hidden="1">100</definedName>
    <definedName name="solver_tim" localSheetId="12" hidden="1">100</definedName>
    <definedName name="solver_tim" localSheetId="11" hidden="1">2147483647</definedName>
    <definedName name="solver_tol" localSheetId="8" hidden="1">0.05</definedName>
    <definedName name="solver_tol" localSheetId="13" hidden="1">0.05</definedName>
    <definedName name="solver_tol" localSheetId="9" hidden="1">0.05</definedName>
    <definedName name="solver_tol" localSheetId="10" hidden="1">0.05</definedName>
    <definedName name="solver_tol" localSheetId="7" hidden="1">0.05</definedName>
    <definedName name="solver_tol" localSheetId="12" hidden="1">0.05</definedName>
    <definedName name="solver_tol" localSheetId="11" hidden="1">0.01</definedName>
    <definedName name="solver_typ" localSheetId="8" hidden="1">1</definedName>
    <definedName name="solver_typ" localSheetId="13" hidden="1">1</definedName>
    <definedName name="solver_typ" localSheetId="9" hidden="1">1</definedName>
    <definedName name="solver_typ" localSheetId="10" hidden="1">1</definedName>
    <definedName name="solver_typ" localSheetId="7" hidden="1">1</definedName>
    <definedName name="solver_typ" localSheetId="12" hidden="1">1</definedName>
    <definedName name="solver_typ" localSheetId="11" hidden="1">1</definedName>
    <definedName name="solver_val" localSheetId="8" hidden="1">0</definedName>
    <definedName name="solver_val" localSheetId="13" hidden="1">0</definedName>
    <definedName name="solver_val" localSheetId="9" hidden="1">0</definedName>
    <definedName name="solver_val" localSheetId="10" hidden="1">0</definedName>
    <definedName name="solver_val" localSheetId="7" hidden="1">0</definedName>
    <definedName name="solver_val" localSheetId="12" hidden="1">0</definedName>
    <definedName name="solver_val" localSheetId="11" hidden="1">0</definedName>
    <definedName name="solver_ver" localSheetId="8" hidden="1">3</definedName>
    <definedName name="solver_ver" localSheetId="13" hidden="1">3</definedName>
    <definedName name="solver_ver" localSheetId="9" hidden="1">3</definedName>
    <definedName name="solver_ver" localSheetId="10" hidden="1">3</definedName>
    <definedName name="solver_ver" localSheetId="11" hidden="1">3</definedName>
    <definedName name="tolerance">settings!$P$3</definedName>
    <definedName name="X_1">cost!$B$5:$B$13</definedName>
    <definedName name="X_2">cost!$C$5:$C$13</definedName>
    <definedName name="Y">cost!$D$5:$D$13</definedName>
    <definedName name="Y_hat">cost!$E$5:$E$13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5" i="4" l="1"/>
  <c r="W45" i="4"/>
  <c r="V45" i="4"/>
  <c r="T45" i="4"/>
  <c r="AC45" i="4" s="1"/>
  <c r="W44" i="4"/>
  <c r="X44" i="4" s="1"/>
  <c r="Y44" i="4" s="1"/>
  <c r="Z44" i="4" s="1"/>
  <c r="AA44" i="4" s="1"/>
  <c r="AB44" i="4" s="1"/>
  <c r="AC44" i="4" s="1"/>
  <c r="V44" i="4"/>
  <c r="U44" i="4"/>
  <c r="U45" i="4" s="1"/>
  <c r="Y45" i="4" l="1"/>
  <c r="Z45" i="4"/>
  <c r="AA45" i="4"/>
  <c r="AB45" i="4"/>
  <c r="AF60" i="4" l="1"/>
  <c r="AF61" i="4" s="1"/>
  <c r="AF58" i="4"/>
  <c r="AF48" i="4"/>
  <c r="T46" i="4" s="1"/>
  <c r="U26" i="4"/>
  <c r="T27" i="4"/>
  <c r="AF27" i="4"/>
  <c r="T28" i="4"/>
  <c r="T29" i="4" s="1"/>
  <c r="T30" i="4" s="1"/>
  <c r="T31" i="4" s="1"/>
  <c r="T32" i="4" s="1"/>
  <c r="T33" i="4" s="1"/>
  <c r="T34" i="4" s="1"/>
  <c r="T35" i="4" s="1"/>
  <c r="AF37" i="4"/>
  <c r="V26" i="4" s="1"/>
  <c r="W26" i="4" s="1"/>
  <c r="X26" i="4" s="1"/>
  <c r="Y26" i="4" s="1"/>
  <c r="Z26" i="4" s="1"/>
  <c r="AA26" i="4" s="1"/>
  <c r="AB26" i="4" s="1"/>
  <c r="AC26" i="4" s="1"/>
  <c r="AF29" i="4" s="1"/>
  <c r="AF30" i="4" s="1"/>
  <c r="AJ25" i="4"/>
  <c r="AF39" i="4"/>
  <c r="AF40" i="4" s="1"/>
  <c r="C7" i="18"/>
  <c r="D4" i="18"/>
  <c r="H26" i="18"/>
  <c r="C26" i="18" s="1"/>
  <c r="F17" i="18"/>
  <c r="E17" i="18"/>
  <c r="D17" i="18"/>
  <c r="F16" i="18"/>
  <c r="E16" i="18"/>
  <c r="D16" i="18"/>
  <c r="F14" i="18"/>
  <c r="E14" i="18"/>
  <c r="D14" i="18"/>
  <c r="F13" i="18"/>
  <c r="E13" i="18"/>
  <c r="D13" i="18"/>
  <c r="H9" i="18"/>
  <c r="C9" i="18"/>
  <c r="D9" i="18" s="1"/>
  <c r="H8" i="18"/>
  <c r="C8" i="18"/>
  <c r="H7" i="18"/>
  <c r="H4" i="18"/>
  <c r="E2" i="10"/>
  <c r="F2" i="10" s="1"/>
  <c r="D2" i="10"/>
  <c r="B3" i="4"/>
  <c r="H9" i="14"/>
  <c r="H8" i="14"/>
  <c r="H7" i="14"/>
  <c r="H4" i="14"/>
  <c r="C13" i="12"/>
  <c r="C12" i="12"/>
  <c r="B16" i="12"/>
  <c r="E22" i="13"/>
  <c r="G20" i="13"/>
  <c r="U6" i="4"/>
  <c r="S8" i="4"/>
  <c r="H26" i="16"/>
  <c r="C26" i="16" s="1"/>
  <c r="F17" i="16"/>
  <c r="E17" i="16"/>
  <c r="D17" i="16"/>
  <c r="F16" i="16"/>
  <c r="E16" i="16"/>
  <c r="D16" i="16"/>
  <c r="F14" i="16"/>
  <c r="E14" i="16"/>
  <c r="D14" i="16"/>
  <c r="F13" i="16"/>
  <c r="E13" i="16"/>
  <c r="D13" i="16"/>
  <c r="H9" i="16"/>
  <c r="C9" i="16"/>
  <c r="D9" i="16" s="1"/>
  <c r="H8" i="16"/>
  <c r="C8" i="16"/>
  <c r="D8" i="16" s="1"/>
  <c r="E8" i="16" s="1"/>
  <c r="F8" i="16" s="1"/>
  <c r="H7" i="16"/>
  <c r="H4" i="16"/>
  <c r="T8" i="4"/>
  <c r="F22" i="13" s="1"/>
  <c r="U7" i="4"/>
  <c r="G21" i="13" s="1"/>
  <c r="AF18" i="4"/>
  <c r="V7" i="4" s="1"/>
  <c r="W7" i="4" s="1"/>
  <c r="X7" i="4" s="1"/>
  <c r="Y7" i="4" s="1"/>
  <c r="Z7" i="4" s="1"/>
  <c r="AA7" i="4" s="1"/>
  <c r="AB7" i="4" s="1"/>
  <c r="AC7" i="4" s="1"/>
  <c r="AF8" i="4"/>
  <c r="K4" i="2" a="1"/>
  <c r="K4" i="2" s="1"/>
  <c r="H9" i="10"/>
  <c r="H8" i="10"/>
  <c r="H7" i="10"/>
  <c r="H4" i="10"/>
  <c r="H26" i="10"/>
  <c r="F14" i="10"/>
  <c r="E14" i="10"/>
  <c r="D14" i="10"/>
  <c r="F13" i="10"/>
  <c r="E13" i="10"/>
  <c r="D13" i="10"/>
  <c r="D14" i="14"/>
  <c r="D13" i="14"/>
  <c r="B13" i="15"/>
  <c r="B12" i="15"/>
  <c r="C26" i="14"/>
  <c r="H15" i="13"/>
  <c r="H14" i="13"/>
  <c r="L13" i="13"/>
  <c r="K13" i="13"/>
  <c r="J13" i="13"/>
  <c r="I13" i="13"/>
  <c r="K7" i="13"/>
  <c r="J7" i="13"/>
  <c r="I9" i="13"/>
  <c r="I8" i="13"/>
  <c r="H5" i="13"/>
  <c r="H4" i="13"/>
  <c r="H3" i="13"/>
  <c r="K6" i="4"/>
  <c r="O9" i="4"/>
  <c r="W10" i="12" s="1"/>
  <c r="K9" i="13" s="1"/>
  <c r="O7" i="4"/>
  <c r="U57" i="4"/>
  <c r="T57" i="4"/>
  <c r="U55" i="4"/>
  <c r="V55" i="4"/>
  <c r="T59" i="4"/>
  <c r="AH51" i="4"/>
  <c r="AH61" i="4"/>
  <c r="AH60" i="4"/>
  <c r="AH48" i="4"/>
  <c r="AH50" i="4"/>
  <c r="AH58" i="4"/>
  <c r="AH40" i="4"/>
  <c r="AH39" i="4"/>
  <c r="AH37" i="4"/>
  <c r="AH30" i="4"/>
  <c r="AH29" i="4"/>
  <c r="AH27" i="4"/>
  <c r="T39" i="4"/>
  <c r="U37" i="4"/>
  <c r="V37" i="4"/>
  <c r="T41" i="4"/>
  <c r="U39" i="4"/>
  <c r="K25" i="18"/>
  <c r="J21" i="18"/>
  <c r="J15" i="18"/>
  <c r="K9" i="18"/>
  <c r="K26" i="18"/>
  <c r="J25" i="18"/>
  <c r="J22" i="18"/>
  <c r="J20" i="18"/>
  <c r="J18" i="18"/>
  <c r="J16" i="18"/>
  <c r="J14" i="18"/>
  <c r="J12" i="18"/>
  <c r="J23" i="18"/>
  <c r="J26" i="18"/>
  <c r="K4" i="18"/>
  <c r="J13" i="18"/>
  <c r="J8" i="18"/>
  <c r="J9" i="18"/>
  <c r="K7" i="18"/>
  <c r="J4" i="18"/>
  <c r="J19" i="18"/>
  <c r="K8" i="18"/>
  <c r="J7" i="18"/>
  <c r="J17" i="18"/>
  <c r="J2" i="10"/>
  <c r="K26" i="10"/>
  <c r="K25" i="10"/>
  <c r="J26" i="10"/>
  <c r="J25" i="10"/>
  <c r="J27" i="10"/>
  <c r="V18" i="4"/>
  <c r="U18" i="4"/>
  <c r="T22" i="4"/>
  <c r="T20" i="4"/>
  <c r="U20" i="4"/>
  <c r="J29" i="10"/>
  <c r="K26" i="14"/>
  <c r="K9" i="14"/>
  <c r="J9" i="14"/>
  <c r="K4" i="14"/>
  <c r="J4" i="14"/>
  <c r="K8" i="14"/>
  <c r="J8" i="14"/>
  <c r="K7" i="14"/>
  <c r="J7" i="14"/>
  <c r="J9" i="16"/>
  <c r="J7" i="16"/>
  <c r="J23" i="16"/>
  <c r="K9" i="16"/>
  <c r="K25" i="16"/>
  <c r="K8" i="16"/>
  <c r="J21" i="16"/>
  <c r="J13" i="16"/>
  <c r="K26" i="16"/>
  <c r="J25" i="16"/>
  <c r="J22" i="16"/>
  <c r="J20" i="16"/>
  <c r="J18" i="16"/>
  <c r="J16" i="16"/>
  <c r="J14" i="16"/>
  <c r="J12" i="16"/>
  <c r="J17" i="16"/>
  <c r="J8" i="16"/>
  <c r="J26" i="16"/>
  <c r="K4" i="16"/>
  <c r="J19" i="16"/>
  <c r="K7" i="16"/>
  <c r="J4" i="16"/>
  <c r="J15" i="16"/>
  <c r="AH21" i="4"/>
  <c r="AH20" i="4"/>
  <c r="AH18" i="4"/>
  <c r="AH11" i="4"/>
  <c r="AH10" i="4"/>
  <c r="AH8" i="4"/>
  <c r="J23" i="10"/>
  <c r="J19" i="10"/>
  <c r="J15" i="10"/>
  <c r="J22" i="10"/>
  <c r="J18" i="10"/>
  <c r="J14" i="10"/>
  <c r="J13" i="10"/>
  <c r="J16" i="10"/>
  <c r="J17" i="10"/>
  <c r="J20" i="10"/>
  <c r="J21" i="10"/>
  <c r="J12" i="10"/>
  <c r="K9" i="10"/>
  <c r="J9" i="10"/>
  <c r="J7" i="10"/>
  <c r="K8" i="10"/>
  <c r="J8" i="10"/>
  <c r="K7" i="10"/>
  <c r="K4" i="10"/>
  <c r="J4" i="10"/>
  <c r="J26" i="14"/>
  <c r="J25" i="14"/>
  <c r="J23" i="14"/>
  <c r="J15" i="14"/>
  <c r="J22" i="14"/>
  <c r="J14" i="14"/>
  <c r="J21" i="14"/>
  <c r="J13" i="14"/>
  <c r="J20" i="14"/>
  <c r="J12" i="14"/>
  <c r="J16" i="14"/>
  <c r="J19" i="14"/>
  <c r="J18" i="14"/>
  <c r="J17" i="14"/>
  <c r="G5" i="7"/>
  <c r="G3" i="7"/>
  <c r="G9" i="7"/>
  <c r="G7" i="7"/>
  <c r="D20" i="15"/>
  <c r="D16" i="15"/>
  <c r="D6" i="15"/>
  <c r="D14" i="15"/>
  <c r="D21" i="15"/>
  <c r="D17" i="15"/>
  <c r="D13" i="15"/>
  <c r="D7" i="15"/>
  <c r="D12" i="15"/>
  <c r="D22" i="15"/>
  <c r="D8" i="15"/>
  <c r="D18" i="15"/>
  <c r="D19" i="15"/>
  <c r="D15" i="15"/>
  <c r="D11" i="15"/>
  <c r="D3" i="15"/>
  <c r="K17" i="4"/>
  <c r="K19" i="4"/>
  <c r="L17" i="4"/>
  <c r="Q9" i="4"/>
  <c r="Q7" i="4"/>
  <c r="Q10" i="4"/>
  <c r="AB46" i="4" l="1"/>
  <c r="T47" i="4"/>
  <c r="AA46" i="4"/>
  <c r="Z46" i="4"/>
  <c r="X46" i="4"/>
  <c r="V46" i="4"/>
  <c r="Y46" i="4"/>
  <c r="AC46" i="4"/>
  <c r="W46" i="4"/>
  <c r="U46" i="4"/>
  <c r="H21" i="13"/>
  <c r="I21" i="13"/>
  <c r="J21" i="13"/>
  <c r="L21" i="13"/>
  <c r="K21" i="13"/>
  <c r="M21" i="13"/>
  <c r="D8" i="18"/>
  <c r="E8" i="18" s="1"/>
  <c r="F8" i="18" s="1"/>
  <c r="D7" i="18"/>
  <c r="E7" i="18" s="1"/>
  <c r="D21" i="18"/>
  <c r="E9" i="18"/>
  <c r="T9" i="4"/>
  <c r="F23" i="13"/>
  <c r="C14" i="12"/>
  <c r="D21" i="16"/>
  <c r="E9" i="16"/>
  <c r="F16" i="14"/>
  <c r="B15" i="15"/>
  <c r="E16" i="14"/>
  <c r="D16" i="14"/>
  <c r="K6" i="2"/>
  <c r="L6" i="2"/>
  <c r="L5" i="2"/>
  <c r="K8" i="2"/>
  <c r="M7" i="2"/>
  <c r="K5" i="2"/>
  <c r="M5" i="2"/>
  <c r="L7" i="2"/>
  <c r="M4" i="2"/>
  <c r="M8" i="2"/>
  <c r="K7" i="2"/>
  <c r="L4" i="2"/>
  <c r="L8" i="2"/>
  <c r="M6" i="2"/>
  <c r="K7" i="4"/>
  <c r="K8" i="4" s="1"/>
  <c r="K9" i="4" s="1"/>
  <c r="K10" i="4" s="1"/>
  <c r="K11" i="4" s="1"/>
  <c r="K12" i="4" s="1"/>
  <c r="K13" i="4" s="1"/>
  <c r="K14" i="4" s="1"/>
  <c r="T48" i="4" l="1"/>
  <c r="AA47" i="4"/>
  <c r="AB47" i="4"/>
  <c r="Z47" i="4"/>
  <c r="Y47" i="4"/>
  <c r="X47" i="4"/>
  <c r="V47" i="4"/>
  <c r="AC47" i="4"/>
  <c r="W47" i="4"/>
  <c r="U47" i="4"/>
  <c r="F9" i="18"/>
  <c r="F21" i="18" s="1"/>
  <c r="E21" i="18"/>
  <c r="F7" i="18"/>
  <c r="T10" i="4"/>
  <c r="E21" i="16"/>
  <c r="F9" i="16"/>
  <c r="F21" i="16" s="1"/>
  <c r="B16" i="15"/>
  <c r="E17" i="14"/>
  <c r="D17" i="14"/>
  <c r="F17" i="14"/>
  <c r="K3" i="4"/>
  <c r="C13" i="1"/>
  <c r="C12" i="1"/>
  <c r="H5" i="9"/>
  <c r="H6" i="9" s="1"/>
  <c r="H7" i="9" s="1"/>
  <c r="H8" i="9" s="1"/>
  <c r="H9" i="9" s="1"/>
  <c r="H10" i="9" s="1"/>
  <c r="H11" i="9" s="1"/>
  <c r="H12" i="9" s="1"/>
  <c r="H13" i="9" s="1"/>
  <c r="H14" i="9" s="1"/>
  <c r="H15" i="9" s="1"/>
  <c r="H16" i="9" s="1"/>
  <c r="H17" i="9" s="1"/>
  <c r="H18" i="9" s="1"/>
  <c r="D34" i="8"/>
  <c r="C34" i="8"/>
  <c r="D33" i="8"/>
  <c r="C33" i="8"/>
  <c r="D32" i="8"/>
  <c r="C32" i="8"/>
  <c r="D31" i="8"/>
  <c r="C31" i="8"/>
  <c r="D30" i="8"/>
  <c r="C30" i="8"/>
  <c r="D29" i="8"/>
  <c r="C29" i="8"/>
  <c r="D28" i="8"/>
  <c r="C28" i="8"/>
  <c r="D27" i="8"/>
  <c r="C27" i="8"/>
  <c r="D26" i="8"/>
  <c r="C26" i="8"/>
  <c r="D15" i="2"/>
  <c r="B15" i="2"/>
  <c r="G15" i="2"/>
  <c r="F15" i="2"/>
  <c r="T49" i="4" l="1"/>
  <c r="Z48" i="4"/>
  <c r="U48" i="4"/>
  <c r="AB48" i="4"/>
  <c r="Y48" i="4"/>
  <c r="X48" i="4"/>
  <c r="W48" i="4"/>
  <c r="V48" i="4"/>
  <c r="AC48" i="4"/>
  <c r="AA48" i="4"/>
  <c r="T11" i="4"/>
  <c r="F24" i="13"/>
  <c r="O10" i="4"/>
  <c r="L3" i="4" s="1"/>
  <c r="T50" i="4" l="1"/>
  <c r="Y49" i="4"/>
  <c r="X49" i="4"/>
  <c r="W49" i="4"/>
  <c r="Z49" i="4"/>
  <c r="V49" i="4"/>
  <c r="AC49" i="4"/>
  <c r="U49" i="4"/>
  <c r="AB49" i="4"/>
  <c r="AA49" i="4"/>
  <c r="E4" i="18"/>
  <c r="D12" i="18"/>
  <c r="T12" i="4"/>
  <c r="F25" i="13"/>
  <c r="C15" i="12"/>
  <c r="D4" i="16"/>
  <c r="D4" i="10"/>
  <c r="W9" i="12"/>
  <c r="K8" i="13" s="1"/>
  <c r="T51" i="4" l="1"/>
  <c r="X50" i="4"/>
  <c r="W50" i="4"/>
  <c r="V50" i="4"/>
  <c r="AC50" i="4"/>
  <c r="U50" i="4"/>
  <c r="Z50" i="4"/>
  <c r="AB50" i="4"/>
  <c r="AA50" i="4"/>
  <c r="Y50" i="4"/>
  <c r="F4" i="18"/>
  <c r="F12" i="18" s="1"/>
  <c r="E12" i="18"/>
  <c r="D18" i="18"/>
  <c r="D19" i="18"/>
  <c r="D15" i="18"/>
  <c r="D20" i="18" s="1"/>
  <c r="T13" i="4"/>
  <c r="F26" i="13"/>
  <c r="E4" i="16"/>
  <c r="D12" i="16"/>
  <c r="T52" i="4" l="1"/>
  <c r="W51" i="4"/>
  <c r="V51" i="4"/>
  <c r="AC51" i="4"/>
  <c r="U51" i="4"/>
  <c r="Z51" i="4"/>
  <c r="Y51" i="4"/>
  <c r="AB51" i="4"/>
  <c r="AA51" i="4"/>
  <c r="X51" i="4"/>
  <c r="D22" i="18"/>
  <c r="D23" i="18" s="1"/>
  <c r="D25" i="18" s="1"/>
  <c r="D26" i="18" s="1"/>
  <c r="E15" i="18"/>
  <c r="E20" i="18" s="1"/>
  <c r="E18" i="18"/>
  <c r="E19" i="18"/>
  <c r="F15" i="18"/>
  <c r="F20" i="18" s="1"/>
  <c r="F18" i="18"/>
  <c r="F19" i="18"/>
  <c r="T14" i="4"/>
  <c r="F27" i="13"/>
  <c r="D18" i="16"/>
  <c r="D15" i="16"/>
  <c r="D20" i="16" s="1"/>
  <c r="F4" i="16"/>
  <c r="F12" i="16" s="1"/>
  <c r="E12" i="16"/>
  <c r="T53" i="4" l="1"/>
  <c r="V52" i="4"/>
  <c r="Y52" i="4"/>
  <c r="AC52" i="4"/>
  <c r="U52" i="4"/>
  <c r="AB52" i="4"/>
  <c r="AA52" i="4"/>
  <c r="Z52" i="4"/>
  <c r="X52" i="4"/>
  <c r="W52" i="4"/>
  <c r="F22" i="18"/>
  <c r="F23" i="18" s="1"/>
  <c r="F25" i="18" s="1"/>
  <c r="F26" i="18" s="1"/>
  <c r="E22" i="18"/>
  <c r="E23" i="18" s="1"/>
  <c r="E25" i="18" s="1"/>
  <c r="E26" i="18" s="1"/>
  <c r="T15" i="4"/>
  <c r="F28" i="13"/>
  <c r="E18" i="16"/>
  <c r="E15" i="16"/>
  <c r="E20" i="16" s="1"/>
  <c r="F18" i="16"/>
  <c r="F15" i="16"/>
  <c r="F20" i="16" s="1"/>
  <c r="AC53" i="4" l="1"/>
  <c r="AF50" i="4" s="1"/>
  <c r="AF51" i="4" s="1"/>
  <c r="U53" i="4"/>
  <c r="AB53" i="4"/>
  <c r="AA53" i="4"/>
  <c r="Z53" i="4"/>
  <c r="Y53" i="4"/>
  <c r="X53" i="4"/>
  <c r="W53" i="4"/>
  <c r="V53" i="4"/>
  <c r="C27" i="18"/>
  <c r="T26" i="4" s="1"/>
  <c r="T16" i="4"/>
  <c r="F29" i="13"/>
  <c r="F30" i="13" l="1"/>
  <c r="A1" i="9" l="1"/>
  <c r="A1" i="2"/>
  <c r="A1" i="13"/>
  <c r="N4" i="12"/>
  <c r="N5" i="12"/>
  <c r="N6" i="12"/>
  <c r="K5" i="12"/>
  <c r="K4" i="12"/>
  <c r="K3" i="12"/>
  <c r="H5" i="12"/>
  <c r="H4" i="12"/>
  <c r="H3" i="12"/>
  <c r="D13" i="2"/>
  <c r="D12" i="2"/>
  <c r="D11" i="2"/>
  <c r="D10" i="2"/>
  <c r="D9" i="2"/>
  <c r="D8" i="2"/>
  <c r="D7" i="2"/>
  <c r="D6" i="2"/>
  <c r="D5" i="2"/>
  <c r="D3" i="2"/>
  <c r="B13" i="2"/>
  <c r="B12" i="2"/>
  <c r="B11" i="2"/>
  <c r="B10" i="2"/>
  <c r="B9" i="2"/>
  <c r="B8" i="2"/>
  <c r="B7" i="2"/>
  <c r="B6" i="2"/>
  <c r="B5" i="2"/>
  <c r="B4" i="2"/>
  <c r="B3" i="2"/>
  <c r="C3" i="2" s="1"/>
  <c r="B7" i="12"/>
  <c r="F9" i="4"/>
  <c r="V10" i="12" s="1"/>
  <c r="J9" i="13" s="1"/>
  <c r="C3" i="12"/>
  <c r="B6" i="4"/>
  <c r="F7" i="4"/>
  <c r="C5" i="12"/>
  <c r="D9" i="12" s="1"/>
  <c r="H7" i="4"/>
  <c r="H9" i="4"/>
  <c r="H10" i="4"/>
  <c r="H20" i="9"/>
  <c r="C16" i="9"/>
  <c r="E6" i="9"/>
  <c r="P8" i="2"/>
  <c r="O6" i="2"/>
  <c r="E20" i="1"/>
  <c r="E19" i="1"/>
  <c r="E18" i="1"/>
  <c r="E17" i="1"/>
  <c r="E16" i="1"/>
  <c r="E15" i="1"/>
  <c r="E22" i="1"/>
  <c r="E21" i="1"/>
  <c r="E14" i="1"/>
  <c r="E13" i="1"/>
  <c r="E12" i="1"/>
  <c r="E11" i="1"/>
  <c r="E8" i="1"/>
  <c r="E7" i="1"/>
  <c r="E6" i="1"/>
  <c r="E3" i="1"/>
  <c r="B19" i="4"/>
  <c r="B17" i="4"/>
  <c r="F17" i="4"/>
  <c r="C17" i="4"/>
  <c r="C15" i="2"/>
  <c r="E15" i="2"/>
  <c r="K10" i="2"/>
  <c r="C7" i="16" l="1"/>
  <c r="D7" i="16" s="1"/>
  <c r="C7" i="10"/>
  <c r="C7" i="14"/>
  <c r="D7" i="14" s="1"/>
  <c r="E7" i="14" s="1"/>
  <c r="F7" i="14" s="1"/>
  <c r="B6" i="15"/>
  <c r="V4" i="12"/>
  <c r="I3" i="13" s="1"/>
  <c r="B7" i="15"/>
  <c r="C8" i="14"/>
  <c r="D8" i="14" s="1"/>
  <c r="V5" i="12"/>
  <c r="I4" i="13" s="1"/>
  <c r="V6" i="12"/>
  <c r="I5" i="13" s="1"/>
  <c r="C9" i="14"/>
  <c r="D9" i="14" s="1"/>
  <c r="B8" i="15"/>
  <c r="B20" i="15" s="1"/>
  <c r="C4" i="12"/>
  <c r="C8" i="1"/>
  <c r="C9" i="10"/>
  <c r="C7" i="1"/>
  <c r="C8" i="10"/>
  <c r="C6" i="1"/>
  <c r="B7" i="4"/>
  <c r="B8" i="4" s="1"/>
  <c r="B9" i="4" s="1"/>
  <c r="B10" i="4" s="1"/>
  <c r="B11" i="4" s="1"/>
  <c r="U16" i="4" a="1"/>
  <c r="AC16" i="4" a="1"/>
  <c r="Y16" i="4" a="1"/>
  <c r="AB16" i="4" a="1"/>
  <c r="X16" i="4" a="1"/>
  <c r="W16" i="4" a="1"/>
  <c r="AA16" i="4" a="1"/>
  <c r="Z16" i="4" a="1"/>
  <c r="V16" i="4" a="1"/>
  <c r="V15" i="4" a="1"/>
  <c r="Z15" i="4" a="1"/>
  <c r="AC15" i="4" a="1"/>
  <c r="Y15" i="4" a="1"/>
  <c r="U15" i="4" a="1"/>
  <c r="AB15" i="4" a="1"/>
  <c r="X15" i="4" a="1"/>
  <c r="AA15" i="4" a="1"/>
  <c r="W15" i="4" a="1"/>
  <c r="W14" i="4" a="1"/>
  <c r="AA14" i="4" a="1"/>
  <c r="V14" i="4" a="1"/>
  <c r="Z14" i="4" a="1"/>
  <c r="Y14" i="4" a="1"/>
  <c r="AC14" i="4" a="1"/>
  <c r="U14" i="4" a="1"/>
  <c r="AB14" i="4" a="1"/>
  <c r="X14" i="4" a="1"/>
  <c r="AB13" i="4" a="1"/>
  <c r="X13" i="4" a="1"/>
  <c r="W13" i="4" a="1"/>
  <c r="AA13" i="4" a="1"/>
  <c r="Z13" i="4" a="1"/>
  <c r="V13" i="4" a="1"/>
  <c r="AC13" i="4" a="1"/>
  <c r="Y13" i="4" a="1"/>
  <c r="U13" i="4" a="1"/>
  <c r="C29" i="10" a="1"/>
  <c r="AC12" i="4" a="1"/>
  <c r="U12" i="4" a="1"/>
  <c r="Y12" i="4" a="1"/>
  <c r="X12" i="4" a="1"/>
  <c r="AB12" i="4" a="1"/>
  <c r="AA12" i="4" a="1"/>
  <c r="W12" i="4" a="1"/>
  <c r="Z12" i="4" a="1"/>
  <c r="V12" i="4" a="1"/>
  <c r="Z11" i="4" a="1"/>
  <c r="V11" i="4" a="1"/>
  <c r="Y11" i="4" a="1"/>
  <c r="AC11" i="4" a="1"/>
  <c r="U11" i="4" a="1"/>
  <c r="AB11" i="4" a="1"/>
  <c r="X11" i="4" a="1"/>
  <c r="AA11" i="4" a="1"/>
  <c r="W11" i="4" a="1"/>
  <c r="AA10" i="4" a="1"/>
  <c r="W10" i="4" a="1"/>
  <c r="Z10" i="4" a="1"/>
  <c r="V10" i="4" a="1"/>
  <c r="AC10" i="4" a="1"/>
  <c r="U10" i="4" a="1"/>
  <c r="Y10" i="4" a="1"/>
  <c r="AB10" i="4" a="1"/>
  <c r="X10" i="4" a="1"/>
  <c r="AB9" i="4" a="1"/>
  <c r="AC9" i="4" a="1"/>
  <c r="X9" i="4" a="1"/>
  <c r="AA9" i="4" a="1"/>
  <c r="W9" i="4" a="1"/>
  <c r="V9" i="4" a="1"/>
  <c r="U9" i="4" a="1"/>
  <c r="Z9" i="4" a="1"/>
  <c r="Y9" i="4" a="1"/>
  <c r="U8" i="4" a="1"/>
  <c r="V8" i="4" a="1"/>
  <c r="AA8" i="4" a="1"/>
  <c r="W8" i="4" a="1"/>
  <c r="X8" i="4" a="1"/>
  <c r="Z8" i="4" a="1"/>
  <c r="AB8" i="4" a="1"/>
  <c r="Y8" i="4" a="1"/>
  <c r="AC8" i="4" a="1"/>
  <c r="E7" i="16" l="1"/>
  <c r="D19" i="16"/>
  <c r="D22" i="16" s="1"/>
  <c r="D23" i="16" s="1"/>
  <c r="D25" i="16" s="1"/>
  <c r="D26" i="16" s="1"/>
  <c r="AC8" i="4"/>
  <c r="Y8" i="4"/>
  <c r="K22" i="13" s="1"/>
  <c r="AB8" i="4"/>
  <c r="Z8" i="4"/>
  <c r="L22" i="13" s="1"/>
  <c r="X8" i="4"/>
  <c r="J22" i="13" s="1"/>
  <c r="W8" i="4"/>
  <c r="I22" i="13" s="1"/>
  <c r="AA8" i="4"/>
  <c r="M22" i="13" s="1"/>
  <c r="V8" i="4"/>
  <c r="H22" i="13" s="1"/>
  <c r="U8" i="4"/>
  <c r="G22" i="13" s="1"/>
  <c r="Y9" i="4"/>
  <c r="K23" i="13" s="1"/>
  <c r="Z9" i="4"/>
  <c r="L23" i="13" s="1"/>
  <c r="U9" i="4"/>
  <c r="G23" i="13" s="1"/>
  <c r="V9" i="4"/>
  <c r="H23" i="13" s="1"/>
  <c r="W9" i="4"/>
  <c r="I23" i="13" s="1"/>
  <c r="AA9" i="4"/>
  <c r="M23" i="13" s="1"/>
  <c r="X9" i="4"/>
  <c r="J23" i="13" s="1"/>
  <c r="AC9" i="4"/>
  <c r="AB9" i="4"/>
  <c r="X10" i="4"/>
  <c r="J24" i="13" s="1"/>
  <c r="AB10" i="4"/>
  <c r="Y10" i="4"/>
  <c r="K24" i="13" s="1"/>
  <c r="U10" i="4"/>
  <c r="G24" i="13" s="1"/>
  <c r="AC10" i="4"/>
  <c r="V10" i="4"/>
  <c r="H24" i="13" s="1"/>
  <c r="Z10" i="4"/>
  <c r="L24" i="13" s="1"/>
  <c r="W10" i="4"/>
  <c r="I24" i="13" s="1"/>
  <c r="AA10" i="4"/>
  <c r="M24" i="13" s="1"/>
  <c r="W11" i="4"/>
  <c r="I25" i="13" s="1"/>
  <c r="AA11" i="4"/>
  <c r="M25" i="13" s="1"/>
  <c r="X11" i="4"/>
  <c r="J25" i="13" s="1"/>
  <c r="AB11" i="4"/>
  <c r="U11" i="4"/>
  <c r="G25" i="13" s="1"/>
  <c r="AC11" i="4"/>
  <c r="Y11" i="4"/>
  <c r="K25" i="13" s="1"/>
  <c r="V11" i="4"/>
  <c r="H25" i="13" s="1"/>
  <c r="Z11" i="4"/>
  <c r="L25" i="13" s="1"/>
  <c r="V12" i="4"/>
  <c r="H26" i="13" s="1"/>
  <c r="Z12" i="4"/>
  <c r="L26" i="13" s="1"/>
  <c r="W12" i="4"/>
  <c r="I26" i="13" s="1"/>
  <c r="AA12" i="4"/>
  <c r="M26" i="13" s="1"/>
  <c r="AB12" i="4"/>
  <c r="X12" i="4"/>
  <c r="J26" i="13" s="1"/>
  <c r="Y12" i="4"/>
  <c r="K26" i="13" s="1"/>
  <c r="U12" i="4"/>
  <c r="G26" i="13" s="1"/>
  <c r="AC12" i="4"/>
  <c r="C29" i="10"/>
  <c r="U13" i="4"/>
  <c r="G27" i="13" s="1"/>
  <c r="Y13" i="4"/>
  <c r="K27" i="13" s="1"/>
  <c r="AC13" i="4"/>
  <c r="V13" i="4"/>
  <c r="H27" i="13" s="1"/>
  <c r="Z13" i="4"/>
  <c r="L27" i="13" s="1"/>
  <c r="AA13" i="4"/>
  <c r="M27" i="13" s="1"/>
  <c r="W13" i="4"/>
  <c r="I27" i="13" s="1"/>
  <c r="X13" i="4"/>
  <c r="J27" i="13" s="1"/>
  <c r="AB13" i="4"/>
  <c r="X14" i="4"/>
  <c r="J28" i="13" s="1"/>
  <c r="AB14" i="4"/>
  <c r="U14" i="4"/>
  <c r="G28" i="13" s="1"/>
  <c r="AC14" i="4"/>
  <c r="Y14" i="4"/>
  <c r="K28" i="13" s="1"/>
  <c r="Z14" i="4"/>
  <c r="L28" i="13" s="1"/>
  <c r="V14" i="4"/>
  <c r="H28" i="13" s="1"/>
  <c r="AA14" i="4"/>
  <c r="M28" i="13" s="1"/>
  <c r="W14" i="4"/>
  <c r="I28" i="13" s="1"/>
  <c r="W15" i="4"/>
  <c r="I29" i="13" s="1"/>
  <c r="AA15" i="4"/>
  <c r="M29" i="13" s="1"/>
  <c r="X15" i="4"/>
  <c r="J29" i="13" s="1"/>
  <c r="AB15" i="4"/>
  <c r="U15" i="4"/>
  <c r="G29" i="13" s="1"/>
  <c r="Y15" i="4"/>
  <c r="K29" i="13" s="1"/>
  <c r="AC15" i="4"/>
  <c r="Z15" i="4"/>
  <c r="L29" i="13" s="1"/>
  <c r="V15" i="4"/>
  <c r="H29" i="13" s="1"/>
  <c r="V16" i="4"/>
  <c r="H30" i="13" s="1"/>
  <c r="Z16" i="4"/>
  <c r="L30" i="13" s="1"/>
  <c r="AA16" i="4"/>
  <c r="M30" i="13" s="1"/>
  <c r="W16" i="4"/>
  <c r="I30" i="13" s="1"/>
  <c r="X16" i="4"/>
  <c r="J30" i="13" s="1"/>
  <c r="AB16" i="4"/>
  <c r="Y16" i="4"/>
  <c r="K30" i="13" s="1"/>
  <c r="AC16" i="4"/>
  <c r="AF20" i="4" s="1"/>
  <c r="AF21" i="4" s="1"/>
  <c r="U16" i="4"/>
  <c r="G30" i="13" s="1"/>
  <c r="D18" i="12"/>
  <c r="E8" i="14"/>
  <c r="D21" i="14"/>
  <c r="E9" i="14"/>
  <c r="B12" i="4"/>
  <c r="B13" i="4" s="1"/>
  <c r="B14" i="4" s="1"/>
  <c r="F10" i="4"/>
  <c r="C3" i="4" s="1"/>
  <c r="C6" i="12"/>
  <c r="C9" i="12" s="1"/>
  <c r="F7" i="16" l="1"/>
  <c r="F19" i="16" s="1"/>
  <c r="F22" i="16" s="1"/>
  <c r="F23" i="16" s="1"/>
  <c r="F25" i="16" s="1"/>
  <c r="F26" i="16" s="1"/>
  <c r="E19" i="16"/>
  <c r="E22" i="16" s="1"/>
  <c r="E23" i="16" s="1"/>
  <c r="E25" i="16" s="1"/>
  <c r="E26" i="16" s="1"/>
  <c r="AF10" i="4"/>
  <c r="AF11" i="4" s="1"/>
  <c r="C18" i="12"/>
  <c r="C17" i="12"/>
  <c r="F8" i="14"/>
  <c r="E21" i="14"/>
  <c r="F9" i="14"/>
  <c r="F21" i="14" s="1"/>
  <c r="V9" i="12"/>
  <c r="J8" i="13" s="1"/>
  <c r="C3" i="1"/>
  <c r="C8" i="12"/>
  <c r="C26" i="10"/>
  <c r="D8" i="10"/>
  <c r="E8" i="10" s="1"/>
  <c r="F8" i="10" s="1"/>
  <c r="D7" i="10"/>
  <c r="E7" i="10" s="1"/>
  <c r="F7" i="10" s="1"/>
  <c r="D6" i="9"/>
  <c r="H22" i="9"/>
  <c r="C27" i="16" l="1"/>
  <c r="H4" i="9"/>
  <c r="D9" i="10"/>
  <c r="D21" i="10" s="1"/>
  <c r="L5" i="4" l="1"/>
  <c r="E9" i="10"/>
  <c r="F9" i="10" s="1"/>
  <c r="F21" i="10" s="1"/>
  <c r="C13" i="9"/>
  <c r="E21" i="10" l="1"/>
  <c r="C13" i="2"/>
  <c r="C12" i="2"/>
  <c r="C11" i="2"/>
  <c r="C10" i="2"/>
  <c r="C9" i="2"/>
  <c r="C8" i="2"/>
  <c r="C7" i="2"/>
  <c r="C6" i="2"/>
  <c r="C5" i="2"/>
  <c r="R5" i="2" l="1"/>
  <c r="D16" i="10"/>
  <c r="P12" i="2"/>
  <c r="P4" i="2"/>
  <c r="O4" i="2"/>
  <c r="C15" i="1" l="1"/>
  <c r="G11" i="2"/>
  <c r="F9" i="2"/>
  <c r="F7" i="2"/>
  <c r="G7" i="2"/>
  <c r="F8" i="2"/>
  <c r="G6" i="2"/>
  <c r="G13" i="2"/>
  <c r="F6" i="2"/>
  <c r="F12" i="2"/>
  <c r="G10" i="2"/>
  <c r="G9" i="2"/>
  <c r="G8" i="2"/>
  <c r="G12" i="2"/>
  <c r="F13" i="2"/>
  <c r="F11" i="2"/>
  <c r="F10" i="2"/>
  <c r="G5" i="2"/>
  <c r="F5" i="2"/>
  <c r="F16" i="10"/>
  <c r="E16" i="10"/>
  <c r="E17" i="10"/>
  <c r="C16" i="1"/>
  <c r="F17" i="10"/>
  <c r="D17" i="10"/>
  <c r="E5" i="2"/>
  <c r="E6" i="2" l="1"/>
  <c r="E11" i="2"/>
  <c r="E8" i="2"/>
  <c r="E13" i="2"/>
  <c r="E12" i="2"/>
  <c r="E10" i="2"/>
  <c r="E7" i="2"/>
  <c r="E9" i="2"/>
  <c r="C11" i="1"/>
  <c r="V13" i="12" s="1"/>
  <c r="I14" i="13" s="1"/>
  <c r="C20" i="1"/>
  <c r="C17" i="1" l="1"/>
  <c r="C18" i="1"/>
  <c r="C14" i="1"/>
  <c r="V14" i="12" s="1"/>
  <c r="I15" i="13" s="1"/>
  <c r="C19" i="1" l="1"/>
  <c r="C21" i="1" l="1"/>
  <c r="C22" i="1" s="1"/>
  <c r="C5" i="4" l="1"/>
  <c r="E4" i="10"/>
  <c r="F4" i="10" l="1"/>
  <c r="F12" i="10" s="1"/>
  <c r="E12" i="10"/>
  <c r="D12" i="10"/>
  <c r="X13" i="12" l="1"/>
  <c r="K14" i="13" s="1"/>
  <c r="E15" i="10"/>
  <c r="E19" i="10"/>
  <c r="E18" i="10"/>
  <c r="D19" i="10"/>
  <c r="D18" i="10"/>
  <c r="W13" i="12"/>
  <c r="J14" i="13" s="1"/>
  <c r="D15" i="10"/>
  <c r="F18" i="10"/>
  <c r="F19" i="10"/>
  <c r="F15" i="10"/>
  <c r="Y13" i="12"/>
  <c r="L14" i="13" s="1"/>
  <c r="W14" i="12" l="1"/>
  <c r="J15" i="13" s="1"/>
  <c r="D20" i="10"/>
  <c r="D22" i="10" s="1"/>
  <c r="D23" i="10" s="1"/>
  <c r="D25" i="10" s="1"/>
  <c r="D26" i="10" s="1"/>
  <c r="X14" i="12"/>
  <c r="K15" i="13" s="1"/>
  <c r="E20" i="10"/>
  <c r="E22" i="10" s="1"/>
  <c r="E23" i="10" s="1"/>
  <c r="E25" i="10" s="1"/>
  <c r="E26" i="10" s="1"/>
  <c r="F20" i="10"/>
  <c r="F22" i="10" s="1"/>
  <c r="F23" i="10" s="1"/>
  <c r="F25" i="10" s="1"/>
  <c r="F26" i="10" s="1"/>
  <c r="Y14" i="12"/>
  <c r="L15" i="13" s="1"/>
  <c r="C27" i="10" l="1"/>
  <c r="D5" i="7"/>
  <c r="V11" i="12" s="1"/>
  <c r="B11" i="15"/>
  <c r="B17" i="15" s="1"/>
  <c r="B18" i="15" l="1"/>
  <c r="B14" i="15"/>
  <c r="B19" i="15" s="1"/>
  <c r="B21" i="15" l="1"/>
  <c r="B22" i="15" s="1"/>
  <c r="D3" i="7" s="1"/>
  <c r="D12" i="14"/>
  <c r="D18" i="14" s="1"/>
  <c r="D9" i="7"/>
  <c r="W11" i="12" s="1"/>
  <c r="E4" i="14"/>
  <c r="E12" i="14" s="1"/>
  <c r="F4" i="14" l="1"/>
  <c r="F12" i="14" s="1"/>
  <c r="F19" i="14" s="1"/>
  <c r="D19" i="14"/>
  <c r="E15" i="14"/>
  <c r="E20" i="14" s="1"/>
  <c r="E19" i="14"/>
  <c r="E18" i="14"/>
  <c r="D15" i="14"/>
  <c r="D20" i="14" s="1"/>
  <c r="D22" i="14" s="1"/>
  <c r="D23" i="14" s="1"/>
  <c r="D25" i="14" s="1"/>
  <c r="D26" i="14" s="1"/>
  <c r="F18" i="14" l="1"/>
  <c r="F15" i="14"/>
  <c r="F20" i="14" s="1"/>
  <c r="F22" i="14" s="1"/>
  <c r="E22" i="14"/>
  <c r="E23" i="14" s="1"/>
  <c r="E25" i="14" s="1"/>
  <c r="E26" i="14" s="1"/>
  <c r="F23" i="14" l="1"/>
  <c r="F25" i="14" s="1"/>
  <c r="F26" i="14" s="1"/>
  <c r="C27" i="14" s="1"/>
  <c r="D7"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<sst xmlns="http://schemas.openxmlformats.org/spreadsheetml/2006/main" count="387" uniqueCount="183">
  <si>
    <t>Decision Variable</t>
  </si>
  <si>
    <t>Pie Price</t>
  </si>
  <si>
    <t>Model Parameters</t>
  </si>
  <si>
    <t>Fruit filling cost/pie</t>
  </si>
  <si>
    <t>Dough costs/pie</t>
  </si>
  <si>
    <t>Fixed Cost</t>
  </si>
  <si>
    <t>Total Revenue</t>
  </si>
  <si>
    <t>Total Material Cost</t>
  </si>
  <si>
    <t>Total Cost</t>
  </si>
  <si>
    <t>Profit</t>
  </si>
  <si>
    <t>Processing Cost</t>
  </si>
  <si>
    <t>Price</t>
  </si>
  <si>
    <t>Number of Pies (x1000)</t>
  </si>
  <si>
    <t>X</t>
  </si>
  <si>
    <t>X^2</t>
  </si>
  <si>
    <t>Y</t>
  </si>
  <si>
    <t>Y_hat</t>
  </si>
  <si>
    <t>b</t>
  </si>
  <si>
    <t>se</t>
  </si>
  <si>
    <t>R^2 / se_e</t>
  </si>
  <si>
    <t>SSR / SSE</t>
  </si>
  <si>
    <t>F / df</t>
  </si>
  <si>
    <t>constant</t>
  </si>
  <si>
    <t>Y = b_1*X + b_2*X^2 + e</t>
  </si>
  <si>
    <t>Make-A-Pie Co. -- Weekly Profit Model</t>
  </si>
  <si>
    <t>calculate</t>
  </si>
  <si>
    <t>Set cell</t>
  </si>
  <si>
    <t>(Data &gt; What-If Analysis &gt; Goal Seek)</t>
  </si>
  <si>
    <r>
      <rPr>
        <sz val="11"/>
        <color theme="1"/>
        <rFont val="Calibri"/>
        <family val="2"/>
        <scheme val="minor"/>
      </rPr>
      <t>Profit</t>
    </r>
    <r>
      <rPr>
        <vertAlign val="subscript"/>
        <sz val="11"/>
        <color theme="1"/>
        <rFont val="Calibri"/>
        <family val="2"/>
        <scheme val="minor"/>
      </rPr>
      <t>0</t>
    </r>
  </si>
  <si>
    <t>To value</t>
  </si>
  <si>
    <t>Breakeven = 0</t>
  </si>
  <si>
    <t>By changing cell</t>
  </si>
  <si>
    <t>Intercept: a_0</t>
  </si>
  <si>
    <t>Slope: a_1</t>
  </si>
  <si>
    <t>Quadratic term: b_2</t>
  </si>
  <si>
    <t>Linear term: b_1</t>
  </si>
  <si>
    <t>Price_0</t>
  </si>
  <si>
    <t>Demand_0</t>
  </si>
  <si>
    <t>a_0</t>
  </si>
  <si>
    <t>a_1</t>
  </si>
  <si>
    <t>Demand</t>
  </si>
  <si>
    <t>Demand decrease</t>
  </si>
  <si>
    <t xml:space="preserve">http://www.mit.edu/~mbarker/formula1/f1help/04-g-m60.htm </t>
  </si>
  <si>
    <t>Year</t>
  </si>
  <si>
    <t>Net Present Value</t>
  </si>
  <si>
    <t>Operations</t>
  </si>
  <si>
    <t>Production: Processing cost = b_1*X + b_2*X^2</t>
  </si>
  <si>
    <t>Growth rate</t>
  </si>
  <si>
    <t>Weekly profit versus price</t>
  </si>
  <si>
    <t>Discounted Value</t>
  </si>
  <si>
    <t>Appraised Value</t>
  </si>
  <si>
    <t>NPV</t>
  </si>
  <si>
    <t>x ( Pie Demand / 1000)^2 +</t>
  </si>
  <si>
    <t>x (Pie Demand / 1000)</t>
  </si>
  <si>
    <r>
      <rPr>
        <sz val="11"/>
        <color theme="1"/>
        <rFont val="Calibri"/>
        <family val="2"/>
        <scheme val="minor"/>
      </rPr>
      <t>NPV</t>
    </r>
    <r>
      <rPr>
        <vertAlign val="subscript"/>
        <sz val="11"/>
        <color theme="1"/>
        <rFont val="Calibri"/>
        <family val="2"/>
        <scheme val="minor"/>
      </rPr>
      <t>0</t>
    </r>
  </si>
  <si>
    <t>Demand = a_0 + a_1*Price</t>
  </si>
  <si>
    <t xml:space="preserve">Consumer:  Pie Demand (X) = a_0 + a_1*Price </t>
  </si>
  <si>
    <t>Notes</t>
  </si>
  <si>
    <t>Actual Cost ($/1000 pies)</t>
  </si>
  <si>
    <t>H4:J8</t>
  </si>
  <si>
    <t>for use in SUMPRODUCT()</t>
  </si>
  <si>
    <t>price</t>
  </si>
  <si>
    <t>max profit</t>
  </si>
  <si>
    <t>x</t>
  </si>
  <si>
    <t>a</t>
  </si>
  <si>
    <t>y</t>
  </si>
  <si>
    <t>title</t>
  </si>
  <si>
    <t>y-axis</t>
  </si>
  <si>
    <t>x-axis</t>
  </si>
  <si>
    <t>max</t>
  </si>
  <si>
    <t>min</t>
  </si>
  <si>
    <t>nodes</t>
  </si>
  <si>
    <t>width</t>
  </si>
  <si>
    <t>C6:</t>
  </si>
  <si>
    <t>F6:</t>
  </si>
  <si>
    <t>B7:</t>
  </si>
  <si>
    <t>B8:</t>
  </si>
  <si>
    <t>Filling cost/pie</t>
  </si>
  <si>
    <t>optimal price</t>
  </si>
  <si>
    <t>M4:</t>
  </si>
  <si>
    <t>N4:</t>
  </si>
  <si>
    <t>C5:</t>
  </si>
  <si>
    <t>E5:</t>
  </si>
  <si>
    <t>Ordinary Least Squares Regression</t>
  </si>
  <si>
    <t>Note: Reversed for order of regressors X, X^2</t>
  </si>
  <si>
    <t>LINEST() documentation</t>
  </si>
  <si>
    <t>intercept: a_0 means zero price sensitive demand</t>
  </si>
  <si>
    <t>slope: "rise over run" demand sensitivity to price</t>
  </si>
  <si>
    <t>C13:</t>
  </si>
  <si>
    <t>H5:</t>
  </si>
  <si>
    <t>H4:</t>
  </si>
  <si>
    <t>Directed Acyclic Graph</t>
  </si>
  <si>
    <t>increment</t>
  </si>
  <si>
    <t>value</t>
  </si>
  <si>
    <t>assumption</t>
  </si>
  <si>
    <r>
      <rPr>
        <sz val="9"/>
        <rFont val="Calibri"/>
        <family val="2"/>
      </rPr>
      <t>÷</t>
    </r>
    <r>
      <rPr>
        <sz val="9"/>
        <rFont val="Arial"/>
        <family val="2"/>
      </rPr>
      <t xml:space="preserve"> 1000</t>
    </r>
  </si>
  <si>
    <t>worksheet title</t>
  </si>
  <si>
    <t>Make-A-Pie Weekly Profit</t>
  </si>
  <si>
    <t>cost</t>
  </si>
  <si>
    <t>sensitivity</t>
  </si>
  <si>
    <t>demand</t>
  </si>
  <si>
    <t>dashboard</t>
  </si>
  <si>
    <t>Make-A-Pie Co. -- 3 year profit model</t>
  </si>
  <si>
    <t xml:space="preserve"> Pie Price</t>
  </si>
  <si>
    <t>lower bound</t>
  </si>
  <si>
    <t>upper bound</t>
  </si>
  <si>
    <t>predicted processing cost (USD / 1000)</t>
  </si>
  <si>
    <t>LB</t>
  </si>
  <si>
    <t>UB</t>
  </si>
  <si>
    <t>tolerance</t>
  </si>
  <si>
    <t>standard error of residuals</t>
  </si>
  <si>
    <t>se_e</t>
  </si>
  <si>
    <t>F5:</t>
  </si>
  <si>
    <t>old processing cost data</t>
  </si>
  <si>
    <t>B27:</t>
  </si>
  <si>
    <t>C26:</t>
  </si>
  <si>
    <t>B28:</t>
  </si>
  <si>
    <t>weekly</t>
  </si>
  <si>
    <t>3-year</t>
  </si>
  <si>
    <t>pie price</t>
  </si>
  <si>
    <t>profit-npv</t>
  </si>
  <si>
    <t>pies</t>
  </si>
  <si>
    <t>cost/pie</t>
  </si>
  <si>
    <t>year 1</t>
  </si>
  <si>
    <t>year 2</t>
  </si>
  <si>
    <t>year 3</t>
  </si>
  <si>
    <t>minimum</t>
  </si>
  <si>
    <t>filling cost/pie</t>
  </si>
  <si>
    <t>dough cost/pie</t>
  </si>
  <si>
    <t>fixed cost</t>
  </si>
  <si>
    <t>dashboard table</t>
  </si>
  <si>
    <t>Make-A-Pie Weekly Profit and Valuation</t>
  </si>
  <si>
    <t xml:space="preserve">Make-A-Pie Co. -- Weekly Profit Model - Breakeven </t>
  </si>
  <si>
    <t xml:space="preserve">filling cost </t>
  </si>
  <si>
    <t>dough cost</t>
  </si>
  <si>
    <t>required return</t>
  </si>
  <si>
    <t>growth</t>
  </si>
  <si>
    <t>price grid</t>
  </si>
  <si>
    <t>filling cost grid</t>
  </si>
  <si>
    <t>Two-way table with NPV_pie() VBA</t>
  </si>
  <si>
    <t>3-year npv profit versus price</t>
  </si>
  <si>
    <t>net present value</t>
  </si>
  <si>
    <t>Public Function NPV_pie(profit_0, rate, p, p_g, a_0, a_1, b_1, b_2, dough, dough_g, filling, filling_g, fixed, fixed_g, time)</t>
  </si>
  <si>
    <t xml:space="preserve">    'parameters</t>
  </si>
  <si>
    <t xml:space="preserve">    '</t>
  </si>
  <si>
    <t xml:space="preserve">    Dim price(3) As Double, demand(3) As Double, revenue(3) As Double, profit(3) As Double</t>
  </si>
  <si>
    <t xml:space="preserve">    Dim process(3) As Double, dough_cost(3) As Double, filling_cost(3) As Double, fixed_cost(3) As Double, cost(3) As Double</t>
  </si>
  <si>
    <t xml:space="preserve">    pv_0 = 0</t>
  </si>
  <si>
    <t xml:space="preserve">    For i = 1 To time</t>
  </si>
  <si>
    <t xml:space="preserve">        price(i) = p * (1 + p_g) ^ (i - 1)</t>
  </si>
  <si>
    <t xml:space="preserve">        demand(i) = (a_0 + a_1 * price(i)) * 52</t>
  </si>
  <si>
    <t xml:space="preserve">        revenue(i) = price(i) * demand(i)</t>
  </si>
  <si>
    <t xml:space="preserve">        process(i) = (b_1 * (demand(i) / 52000) + b_2 * (demand(i) / 52000) ^ 2) * 52000</t>
  </si>
  <si>
    <t xml:space="preserve">        dough_cost(i) = dough * demand(i) * (1 + dough_g) ^ i</t>
  </si>
  <si>
    <t xml:space="preserve">        filling_cost(i) = filling * demand(i) * (1 + filling_g) ^ i</t>
  </si>
  <si>
    <t xml:space="preserve">        fixed_cost(i) = fixed * (1 + fixed_g) ^ i</t>
  </si>
  <si>
    <t xml:space="preserve">        cost(i) = process(i) + dough_cost(i) + filling_cost(i) + fixed_cost(i)</t>
  </si>
  <si>
    <t xml:space="preserve">        profit(i) = revenue(i) - cost(i)</t>
  </si>
  <si>
    <t xml:space="preserve">        pv_0 = pv_0 + profit(i) / (1 + rate) ^ i</t>
  </si>
  <si>
    <t xml:space="preserve">    Next i</t>
  </si>
  <si>
    <t xml:space="preserve">    NPV_pie = pv_0 + profit_0</t>
  </si>
  <si>
    <t>End Function</t>
  </si>
  <si>
    <t>profit</t>
  </si>
  <si>
    <t>U7:</t>
  </si>
  <si>
    <t>U8</t>
  </si>
  <si>
    <t>T9:</t>
  </si>
  <si>
    <t>T8:</t>
  </si>
  <si>
    <t>Make-A-Pie Co. -- 3 year net present value model</t>
  </si>
  <si>
    <t>breakevn price</t>
  </si>
  <si>
    <t>breakeven price</t>
  </si>
  <si>
    <t>reference</t>
  </si>
  <si>
    <t>row</t>
  </si>
  <si>
    <t>column</t>
  </si>
  <si>
    <t>from 2-way data table</t>
  </si>
  <si>
    <t>U27:</t>
  </si>
  <si>
    <t>V27:</t>
  </si>
  <si>
    <t>V7:</t>
  </si>
  <si>
    <t>U28</t>
  </si>
  <si>
    <t>T28:</t>
  </si>
  <si>
    <t>T29:</t>
  </si>
  <si>
    <t>mean prices</t>
  </si>
  <si>
    <t>standard deviation of prices</t>
  </si>
  <si>
    <t>Gaussian Prices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</si>
</sst>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44" formatCode="_(&quot;$&quot;* #,##0.00_);_(&quot;$&quot;* \(#,##0.00\);_(&quot;$&quot;* &quot;-&quot;??_);_(@_)"/>
    <numFmt numFmtId="43" formatCode="_(* #,##0.00_);_(* \(#,##0.00\);_(* &quot;-&quot;??_);_(@_)"/>
    <numFmt numFmtId="164" formatCode="&quot;$&quot;#,##0.00"/>
    <numFmt numFmtId="165" formatCode="#,##0.0"/>
    <numFmt numFmtId="170" formatCode="0.0000"/>
  </numFmts>
  <fonts count="18" x14ac:knownFonts="1">
    <font>
      <sz val="10"/>
      <name val="Arial"/>
    </font>
    <font>
      <sz val="11"/>
      <color theme="1"/>
      <name val="Calibri"/>
      <family val="2"/>
      <scheme val="minor"/>
    </font>
    <font>
      <sz val="10"/>
      <name val="Arial"/>
      <family val="2"/>
    </font>
    <font>
      <b/>
      <sz val="10"/>
      <name val="Arial"/>
      <family val="2"/>
    </font>
    <font>
      <b/>
      <sz val="14"/>
      <name val="Arial"/>
      <family val="2"/>
    </font>
    <font>
      <sz val="14"/>
      <name val="Arial"/>
      <family val="2"/>
    </font>
    <font>
      <b/>
      <sz val="12"/>
      <name val="Arial"/>
      <family val="2"/>
    </font>
    <font>
      <sz val="14"/>
      <name val="Arial"/>
      <family val="2"/>
    </font>
    <font>
      <sz val="10"/>
      <name val="Arial"/>
      <family val="2"/>
    </font>
    <font>
      <b/>
      <sz val="10"/>
      <name val="Arial"/>
      <family val="2"/>
    </font>
    <font>
      <sz val="10"/>
      <name val="Arial"/>
      <family val="2"/>
    </font>
    <font>
      <u/>
      <sz val="10"/>
      <color theme="10"/>
      <name val="Arial"/>
      <family val="2"/>
    </font>
    <font>
      <sz val="8"/>
      <color theme="1"/>
      <name val="Calibri"/>
      <family val="2"/>
      <scheme val="minor"/>
    </font>
    <font>
      <vertAlign val="subscript"/>
      <sz val="11"/>
      <color theme="1"/>
      <name val="Calibri"/>
      <family val="2"/>
      <scheme val="minor"/>
    </font>
    <font>
      <sz val="8"/>
      <name val="Arial"/>
      <family val="2"/>
    </font>
    <font>
      <sz val="9"/>
      <name val="Arial"/>
      <family val="2"/>
    </font>
    <font>
      <sz val="9"/>
      <name val="Calibri"/>
      <family val="2"/>
    </font>
    <font>
      <sz val="12"/>
      <name val="Arial"/>
      <family val="2"/>
    </font>
  </fonts>
  <fills count="18">
    <fill>
      <patternFill patternType="none"/>
    </fill>
    <fill>
      <patternFill patternType="gray125"/>
    </fill>
    <fill>
      <patternFill patternType="solid">
        <fgColor indexed="11"/>
        <bgColor indexed="64"/>
      </patternFill>
    </fill>
    <fill>
      <patternFill patternType="solid">
        <fgColor indexed="13"/>
        <bgColor indexed="64"/>
      </patternFill>
    </fill>
    <fill>
      <patternFill patternType="solid">
        <fgColor indexed="15"/>
        <bgColor indexed="64"/>
      </patternFill>
    </fill>
    <fill>
      <patternFill patternType="solid">
        <fgColor theme="2" tint="-9.9978637043366805E-2"/>
        <bgColor indexed="64"/>
      </patternFill>
    </fill>
    <fill>
      <patternFill patternType="solid">
        <fgColor theme="0"/>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theme="2"/>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7" tint="0.39997558519241921"/>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s>
  <cellStyleXfs count="4">
    <xf numFmtId="0" fontId="0" fillId="0" borderId="0"/>
    <xf numFmtId="44" fontId="2" fillId="0" borderId="0" applyFont="0" applyFill="0" applyBorder="0" applyAlignment="0" applyProtection="0"/>
    <xf numFmtId="43" fontId="10" fillId="0" borderId="0" applyFont="0" applyFill="0" applyBorder="0" applyAlignment="0" applyProtection="0"/>
    <xf numFmtId="0" fontId="11" fillId="0" borderId="0" applyNumberFormat="0" applyFill="0" applyBorder="0" applyAlignment="0" applyProtection="0"/>
  </cellStyleXfs>
  <cellXfs count="261">
    <xf numFmtId="0" fontId="0" fillId="0" borderId="0" xfId="0"/>
    <xf numFmtId="0" fontId="3" fillId="0" borderId="0" xfId="0" applyFont="1"/>
    <xf numFmtId="0" fontId="4" fillId="0" borderId="0" xfId="0" applyFont="1"/>
    <xf numFmtId="0" fontId="6" fillId="0" borderId="0" xfId="0" applyFont="1"/>
    <xf numFmtId="0" fontId="3" fillId="0" borderId="0" xfId="0" applyFont="1" applyAlignment="1">
      <alignment horizontal="center"/>
    </xf>
    <xf numFmtId="0" fontId="0" fillId="0" borderId="1" xfId="0" applyBorder="1" applyAlignment="1">
      <alignment horizontal="center"/>
    </xf>
    <xf numFmtId="2" fontId="0" fillId="0" borderId="0" xfId="0" applyNumberFormat="1"/>
    <xf numFmtId="0" fontId="0" fillId="0" borderId="1" xfId="0" applyBorder="1"/>
    <xf numFmtId="0" fontId="2" fillId="0" borderId="0" xfId="0" applyFont="1"/>
    <xf numFmtId="0" fontId="7" fillId="0" borderId="0" xfId="0" applyFont="1"/>
    <xf numFmtId="0" fontId="8" fillId="0" borderId="0" xfId="0" applyFont="1"/>
    <xf numFmtId="0" fontId="9" fillId="0" borderId="0" xfId="0" applyFont="1"/>
    <xf numFmtId="164" fontId="8" fillId="3" borderId="1" xfId="0" applyNumberFormat="1" applyFont="1" applyFill="1" applyBorder="1" applyAlignment="1">
      <alignment horizontal="center"/>
    </xf>
    <xf numFmtId="164" fontId="8" fillId="0" borderId="0" xfId="0" applyNumberFormat="1" applyFont="1" applyFill="1" applyBorder="1" applyAlignment="1">
      <alignment horizontal="center"/>
    </xf>
    <xf numFmtId="0" fontId="8" fillId="0" borderId="0" xfId="0" applyFont="1" applyAlignment="1">
      <alignment horizontal="center"/>
    </xf>
    <xf numFmtId="0" fontId="8" fillId="0" borderId="0" xfId="0" applyFont="1" applyAlignment="1">
      <alignment horizontal="left" indent="3"/>
    </xf>
    <xf numFmtId="44" fontId="8" fillId="0" borderId="0" xfId="1" applyFont="1" applyAlignment="1">
      <alignment horizontal="center"/>
    </xf>
    <xf numFmtId="39" fontId="8" fillId="0" borderId="0" xfId="1" applyNumberFormat="1" applyFont="1"/>
    <xf numFmtId="0" fontId="8" fillId="2" borderId="1" xfId="0" applyFont="1" applyFill="1" applyBorder="1" applyAlignment="1">
      <alignment horizontal="center"/>
    </xf>
    <xf numFmtId="164" fontId="8" fillId="0" borderId="0" xfId="0" applyNumberFormat="1" applyFont="1" applyAlignment="1">
      <alignment horizontal="right"/>
    </xf>
    <xf numFmtId="0" fontId="9" fillId="0" borderId="0" xfId="0" applyFont="1" applyAlignment="1">
      <alignment horizontal="left"/>
    </xf>
    <xf numFmtId="0" fontId="2" fillId="0" borderId="1" xfId="0" applyFont="1" applyBorder="1" applyAlignment="1">
      <alignment horizontal="center"/>
    </xf>
    <xf numFmtId="0" fontId="0" fillId="0" borderId="4" xfId="0" applyBorder="1"/>
    <xf numFmtId="0" fontId="2" fillId="0" borderId="2" xfId="0" applyFont="1" applyBorder="1" applyAlignment="1">
      <alignment horizontal="right"/>
    </xf>
    <xf numFmtId="0" fontId="2" fillId="0" borderId="5" xfId="0" applyFont="1" applyBorder="1" applyAlignment="1">
      <alignment horizontal="right"/>
    </xf>
    <xf numFmtId="0" fontId="2" fillId="0" borderId="5" xfId="0" applyFont="1" applyFill="1" applyBorder="1" applyAlignment="1">
      <alignment horizontal="right"/>
    </xf>
    <xf numFmtId="0" fontId="2" fillId="0" borderId="6" xfId="0" applyFont="1" applyBorder="1" applyAlignment="1">
      <alignment horizontal="right"/>
    </xf>
    <xf numFmtId="0" fontId="2" fillId="0" borderId="0" xfId="0" applyFont="1" applyAlignment="1">
      <alignment horizontal="right"/>
    </xf>
    <xf numFmtId="0" fontId="0" fillId="0" borderId="9" xfId="0" applyBorder="1"/>
    <xf numFmtId="0" fontId="0" fillId="0" borderId="0" xfId="0" applyBorder="1"/>
    <xf numFmtId="0" fontId="0" fillId="5" borderId="11" xfId="0" applyFill="1" applyBorder="1"/>
    <xf numFmtId="0" fontId="0" fillId="5" borderId="14" xfId="0" applyFill="1" applyBorder="1"/>
    <xf numFmtId="0" fontId="2" fillId="0" borderId="0" xfId="0" applyFont="1" applyAlignment="1">
      <alignment horizontal="center" wrapText="1"/>
    </xf>
    <xf numFmtId="0" fontId="2" fillId="0" borderId="1" xfId="0" applyFont="1" applyBorder="1" applyAlignment="1">
      <alignment horizontal="center" wrapText="1"/>
    </xf>
    <xf numFmtId="0" fontId="2" fillId="0" borderId="2" xfId="0" applyFont="1" applyBorder="1" applyAlignment="1">
      <alignment horizontal="center" wrapText="1"/>
    </xf>
    <xf numFmtId="165" fontId="0" fillId="0" borderId="9" xfId="0" applyNumberFormat="1" applyBorder="1" applyAlignment="1">
      <alignment horizontal="center"/>
    </xf>
    <xf numFmtId="165" fontId="0" fillId="0" borderId="11" xfId="0" applyNumberFormat="1" applyBorder="1" applyAlignment="1">
      <alignment horizontal="center"/>
    </xf>
    <xf numFmtId="165" fontId="0" fillId="0" borderId="14" xfId="0" applyNumberFormat="1"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6" borderId="0" xfId="0" applyFill="1"/>
    <xf numFmtId="0" fontId="0" fillId="0" borderId="0" xfId="0" applyAlignment="1">
      <alignment horizontal="right" vertical="center"/>
    </xf>
    <xf numFmtId="0" fontId="2" fillId="7" borderId="1" xfId="0" applyFont="1" applyFill="1" applyBorder="1" applyAlignment="1">
      <alignment horizontal="center" vertical="center"/>
    </xf>
    <xf numFmtId="2" fontId="0" fillId="0" borderId="1" xfId="2" applyNumberFormat="1" applyFont="1" applyBorder="1"/>
    <xf numFmtId="0" fontId="12" fillId="0" borderId="0" xfId="0" applyFont="1" applyAlignment="1">
      <alignment horizontal="right" vertical="center"/>
    </xf>
    <xf numFmtId="0" fontId="13" fillId="0" borderId="1" xfId="0" applyFont="1" applyBorder="1" applyAlignment="1">
      <alignment horizontal="center" vertical="center"/>
    </xf>
    <xf numFmtId="0" fontId="2" fillId="8" borderId="1" xfId="0" applyFont="1" applyFill="1" applyBorder="1" applyAlignment="1">
      <alignment horizontal="center" vertical="center"/>
    </xf>
    <xf numFmtId="0" fontId="2" fillId="0" borderId="0" xfId="0" applyFont="1" applyAlignment="1">
      <alignment horizontal="left" indent="3"/>
    </xf>
    <xf numFmtId="0" fontId="2" fillId="0" borderId="0" xfId="0" applyFont="1" applyAlignment="1">
      <alignment horizontal="left" indent="5"/>
    </xf>
    <xf numFmtId="0" fontId="11" fillId="0" borderId="0" xfId="3"/>
    <xf numFmtId="0" fontId="14" fillId="0" borderId="0" xfId="0" applyFont="1"/>
    <xf numFmtId="0" fontId="2" fillId="0" borderId="1" xfId="0" applyFont="1" applyBorder="1"/>
    <xf numFmtId="0" fontId="2" fillId="0" borderId="1" xfId="0" applyFont="1" applyBorder="1" applyAlignment="1">
      <alignment horizontal="center" vertical="center"/>
    </xf>
    <xf numFmtId="0" fontId="8" fillId="0" borderId="1" xfId="0" applyFont="1" applyBorder="1" applyAlignment="1">
      <alignment horizontal="center" vertical="center"/>
    </xf>
    <xf numFmtId="0" fontId="3" fillId="0" borderId="0" xfId="0" applyFont="1" applyFill="1" applyBorder="1"/>
    <xf numFmtId="0" fontId="2" fillId="0" borderId="1" xfId="0" applyFont="1" applyBorder="1" applyAlignment="1">
      <alignment horizontal="right"/>
    </xf>
    <xf numFmtId="0" fontId="0" fillId="0" borderId="2" xfId="0" applyBorder="1"/>
    <xf numFmtId="0" fontId="0" fillId="0" borderId="5" xfId="0" applyBorder="1"/>
    <xf numFmtId="0" fontId="0" fillId="0" borderId="6" xfId="0" applyBorder="1"/>
    <xf numFmtId="9" fontId="8" fillId="9" borderId="0" xfId="0" applyNumberFormat="1" applyFont="1" applyFill="1" applyAlignment="1">
      <alignment horizontal="center"/>
    </xf>
    <xf numFmtId="44" fontId="8" fillId="0" borderId="0" xfId="1" applyFont="1"/>
    <xf numFmtId="44" fontId="8" fillId="0" borderId="1" xfId="1" applyFont="1" applyFill="1" applyBorder="1"/>
    <xf numFmtId="44" fontId="8" fillId="4" borderId="1" xfId="1" applyFont="1" applyFill="1" applyBorder="1"/>
    <xf numFmtId="2" fontId="2" fillId="0" borderId="1" xfId="2" applyNumberFormat="1" applyFont="1" applyBorder="1"/>
    <xf numFmtId="9" fontId="8" fillId="0" borderId="1" xfId="0" applyNumberFormat="1" applyFont="1" applyBorder="1" applyAlignment="1">
      <alignment horizontal="center"/>
    </xf>
    <xf numFmtId="9" fontId="2" fillId="0" borderId="1" xfId="1" applyNumberFormat="1" applyFont="1" applyBorder="1" applyAlignment="1">
      <alignment horizontal="center"/>
    </xf>
    <xf numFmtId="0" fontId="0" fillId="0" borderId="1" xfId="0" applyBorder="1" applyAlignment="1">
      <alignment horizontal="center"/>
    </xf>
    <xf numFmtId="0" fontId="14" fillId="0" borderId="0" xfId="0" applyFont="1" applyBorder="1" applyAlignment="1"/>
    <xf numFmtId="0" fontId="2" fillId="0" borderId="2" xfId="0" applyFont="1" applyBorder="1"/>
    <xf numFmtId="0" fontId="14" fillId="0" borderId="1" xfId="0" applyFont="1" applyBorder="1" applyAlignment="1"/>
    <xf numFmtId="0" fontId="2" fillId="0" borderId="1" xfId="0" applyFont="1" applyBorder="1" applyAlignment="1">
      <alignment wrapText="1"/>
    </xf>
    <xf numFmtId="2" fontId="4" fillId="0" borderId="0" xfId="0" applyNumberFormat="1" applyFont="1"/>
    <xf numFmtId="2" fontId="5" fillId="0" borderId="0" xfId="0" applyNumberFormat="1" applyFont="1"/>
    <xf numFmtId="2" fontId="3" fillId="0" borderId="0" xfId="0" applyNumberFormat="1" applyFont="1"/>
    <xf numFmtId="2" fontId="0" fillId="0" borderId="0" xfId="0" applyNumberFormat="1" applyAlignment="1">
      <alignment horizontal="right"/>
    </xf>
    <xf numFmtId="2" fontId="2" fillId="0" borderId="1" xfId="0" applyNumberFormat="1" applyFont="1" applyBorder="1" applyAlignment="1">
      <alignment horizontal="right"/>
    </xf>
    <xf numFmtId="2" fontId="0" fillId="0" borderId="2" xfId="0" applyNumberFormat="1" applyBorder="1"/>
    <xf numFmtId="2" fontId="2" fillId="0" borderId="1" xfId="0" applyNumberFormat="1" applyFont="1" applyFill="1" applyBorder="1" applyAlignment="1">
      <alignment horizontal="right"/>
    </xf>
    <xf numFmtId="2" fontId="0" fillId="0" borderId="1" xfId="0" applyNumberFormat="1" applyBorder="1"/>
    <xf numFmtId="2" fontId="2" fillId="0" borderId="2" xfId="0" applyNumberFormat="1" applyFont="1" applyFill="1" applyBorder="1" applyAlignment="1">
      <alignment horizontal="right"/>
    </xf>
    <xf numFmtId="2" fontId="0" fillId="0" borderId="6" xfId="0" applyNumberFormat="1" applyBorder="1"/>
    <xf numFmtId="2" fontId="0" fillId="0" borderId="1" xfId="0" applyNumberFormat="1" applyFont="1" applyFill="1" applyBorder="1" applyAlignment="1">
      <alignment horizontal="center"/>
    </xf>
    <xf numFmtId="0" fontId="0" fillId="0" borderId="15" xfId="0" applyBorder="1"/>
    <xf numFmtId="0" fontId="0" fillId="0" borderId="16" xfId="0" applyBorder="1"/>
    <xf numFmtId="2" fontId="2" fillId="0" borderId="1" xfId="0" applyNumberFormat="1" applyFont="1" applyBorder="1" applyAlignment="1">
      <alignment horizontal="center"/>
    </xf>
    <xf numFmtId="2" fontId="2" fillId="0" borderId="4" xfId="0" applyNumberFormat="1" applyFont="1" applyBorder="1" applyAlignment="1">
      <alignment horizontal="center"/>
    </xf>
    <xf numFmtId="2" fontId="2" fillId="0" borderId="15" xfId="0" applyNumberFormat="1" applyFont="1" applyBorder="1" applyAlignment="1">
      <alignment horizontal="center"/>
    </xf>
    <xf numFmtId="2" fontId="2" fillId="0" borderId="16" xfId="0" applyNumberFormat="1" applyFont="1" applyBorder="1" applyAlignment="1">
      <alignment horizontal="center"/>
    </xf>
    <xf numFmtId="0" fontId="0" fillId="0" borderId="1" xfId="0" applyBorder="1" applyAlignment="1">
      <alignment horizontal="right"/>
    </xf>
    <xf numFmtId="2" fontId="2" fillId="0" borderId="2" xfId="0" applyNumberFormat="1" applyFont="1" applyBorder="1" applyAlignment="1">
      <alignment horizontal="center"/>
    </xf>
    <xf numFmtId="2" fontId="0" fillId="0" borderId="17" xfId="0" applyNumberFormat="1" applyBorder="1"/>
    <xf numFmtId="2" fontId="0" fillId="0" borderId="19" xfId="1" applyNumberFormat="1" applyFont="1" applyBorder="1"/>
    <xf numFmtId="2" fontId="0" fillId="0" borderId="20" xfId="1" applyNumberFormat="1" applyFont="1" applyBorder="1"/>
    <xf numFmtId="2" fontId="0" fillId="0" borderId="21" xfId="1" applyNumberFormat="1" applyFont="1" applyBorder="1"/>
    <xf numFmtId="2" fontId="0" fillId="0" borderId="22" xfId="1" applyNumberFormat="1" applyFont="1" applyBorder="1"/>
    <xf numFmtId="0" fontId="14" fillId="0" borderId="1" xfId="0" applyFont="1" applyBorder="1"/>
    <xf numFmtId="0" fontId="2" fillId="0" borderId="16" xfId="0" applyFont="1" applyBorder="1"/>
    <xf numFmtId="0" fontId="9" fillId="0" borderId="0" xfId="0" applyFont="1" applyAlignment="1">
      <alignment horizontal="right"/>
    </xf>
    <xf numFmtId="0" fontId="15" fillId="0" borderId="0" xfId="0" quotePrefix="1" applyFont="1"/>
    <xf numFmtId="0" fontId="14" fillId="0" borderId="0" xfId="0" quotePrefix="1" applyFont="1"/>
    <xf numFmtId="0" fontId="8" fillId="0" borderId="1" xfId="0" applyFont="1" applyBorder="1"/>
    <xf numFmtId="0" fontId="2" fillId="0" borderId="0" xfId="0" applyFont="1" applyAlignment="1">
      <alignment horizontal="center" vertical="center" wrapText="1"/>
    </xf>
    <xf numFmtId="0" fontId="14" fillId="0" borderId="1" xfId="0" applyFont="1" applyBorder="1" applyAlignment="1">
      <alignment horizontal="left"/>
    </xf>
    <xf numFmtId="0" fontId="2" fillId="0" borderId="5" xfId="0" applyFont="1" applyBorder="1"/>
    <xf numFmtId="0" fontId="3" fillId="0" borderId="1" xfId="0" applyFont="1" applyBorder="1" applyAlignment="1">
      <alignment horizontal="center"/>
    </xf>
    <xf numFmtId="0" fontId="15" fillId="0" borderId="1" xfId="0" applyFont="1" applyBorder="1" applyAlignment="1">
      <alignment horizontal="left"/>
    </xf>
    <xf numFmtId="0" fontId="0" fillId="0" borderId="1" xfId="0" applyBorder="1" applyAlignment="1">
      <alignment horizontal="left"/>
    </xf>
    <xf numFmtId="0" fontId="2" fillId="0" borderId="1" xfId="0" applyFont="1" applyFill="1" applyBorder="1"/>
    <xf numFmtId="0" fontId="6" fillId="10" borderId="0" xfId="0" applyFont="1" applyFill="1"/>
    <xf numFmtId="0" fontId="0" fillId="10" borderId="0" xfId="0" applyFill="1"/>
    <xf numFmtId="0" fontId="8" fillId="10" borderId="0" xfId="0" applyFont="1" applyFill="1"/>
    <xf numFmtId="0" fontId="2" fillId="10" borderId="0" xfId="0" applyFont="1" applyFill="1"/>
    <xf numFmtId="0" fontId="8" fillId="10" borderId="0" xfId="0" quotePrefix="1" applyFont="1" applyFill="1"/>
    <xf numFmtId="0" fontId="2" fillId="10" borderId="0" xfId="0" quotePrefix="1" applyFont="1" applyFill="1"/>
    <xf numFmtId="0" fontId="8" fillId="13" borderId="1" xfId="0" applyFont="1" applyFill="1" applyBorder="1" applyAlignment="1">
      <alignment horizontal="center"/>
    </xf>
    <xf numFmtId="0" fontId="0" fillId="6" borderId="1" xfId="0" applyFill="1" applyBorder="1"/>
    <xf numFmtId="2" fontId="0" fillId="6" borderId="1" xfId="0" applyNumberFormat="1" applyFill="1" applyBorder="1"/>
    <xf numFmtId="2" fontId="8" fillId="6" borderId="1" xfId="1" applyNumberFormat="1" applyFont="1" applyFill="1" applyBorder="1" applyAlignment="1">
      <alignment horizontal="right"/>
    </xf>
    <xf numFmtId="2" fontId="8" fillId="6" borderId="1" xfId="0" applyNumberFormat="1" applyFont="1" applyFill="1" applyBorder="1" applyAlignment="1">
      <alignment horizontal="right"/>
    </xf>
    <xf numFmtId="2" fontId="0" fillId="6" borderId="1" xfId="0" applyNumberFormat="1" applyFill="1" applyBorder="1" applyAlignment="1">
      <alignment horizontal="right"/>
    </xf>
    <xf numFmtId="2" fontId="2" fillId="6" borderId="1" xfId="0" applyNumberFormat="1" applyFont="1" applyFill="1" applyBorder="1" applyAlignment="1">
      <alignment horizontal="center"/>
    </xf>
    <xf numFmtId="0" fontId="2" fillId="6" borderId="1" xfId="0" applyFont="1" applyFill="1" applyBorder="1" applyAlignment="1">
      <alignment horizontal="center"/>
    </xf>
    <xf numFmtId="164" fontId="8" fillId="14" borderId="1" xfId="0" applyNumberFormat="1" applyFont="1" applyFill="1" applyBorder="1" applyAlignment="1">
      <alignment horizontal="center"/>
    </xf>
    <xf numFmtId="2" fontId="8" fillId="0" borderId="0" xfId="1" applyNumberFormat="1" applyFont="1" applyAlignment="1">
      <alignment horizontal="right"/>
    </xf>
    <xf numFmtId="2" fontId="8" fillId="0" borderId="0" xfId="0" applyNumberFormat="1" applyFont="1" applyAlignment="1">
      <alignment horizontal="right"/>
    </xf>
    <xf numFmtId="2" fontId="8" fillId="0" borderId="0" xfId="0" applyNumberFormat="1" applyFont="1"/>
    <xf numFmtId="2" fontId="8" fillId="7" borderId="1" xfId="0" applyNumberFormat="1" applyFont="1" applyFill="1" applyBorder="1"/>
    <xf numFmtId="2" fontId="8" fillId="0" borderId="1" xfId="0" applyNumberFormat="1" applyFont="1" applyFill="1" applyBorder="1"/>
    <xf numFmtId="2" fontId="8" fillId="0" borderId="0" xfId="1" applyNumberFormat="1" applyFont="1"/>
    <xf numFmtId="0" fontId="2" fillId="0" borderId="1" xfId="0" applyFont="1" applyFill="1" applyBorder="1" applyAlignment="1">
      <alignment horizontal="right"/>
    </xf>
    <xf numFmtId="2" fontId="0" fillId="7" borderId="18" xfId="0" applyNumberFormat="1" applyFill="1" applyBorder="1"/>
    <xf numFmtId="44" fontId="8" fillId="0" borderId="0" xfId="0" applyNumberFormat="1" applyFont="1"/>
    <xf numFmtId="0" fontId="15" fillId="0" borderId="1" xfId="0" applyFont="1" applyBorder="1" applyAlignment="1">
      <alignment horizontal="center" wrapText="1"/>
    </xf>
    <xf numFmtId="0" fontId="15" fillId="0" borderId="1" xfId="0" applyFont="1" applyBorder="1" applyAlignment="1">
      <alignment horizontal="center"/>
    </xf>
    <xf numFmtId="0" fontId="15" fillId="0" borderId="0" xfId="0" applyFont="1" applyBorder="1" applyAlignment="1">
      <alignment horizontal="center"/>
    </xf>
    <xf numFmtId="165" fontId="15" fillId="0" borderId="0" xfId="0" applyNumberFormat="1" applyFont="1" applyBorder="1" applyAlignment="1">
      <alignment horizontal="center"/>
    </xf>
    <xf numFmtId="164" fontId="15" fillId="0" borderId="0" xfId="0" applyNumberFormat="1" applyFont="1" applyBorder="1" applyAlignment="1">
      <alignment horizontal="center"/>
    </xf>
    <xf numFmtId="0" fontId="15" fillId="0" borderId="1" xfId="0" applyFont="1" applyBorder="1" applyAlignment="1">
      <alignment wrapText="1"/>
    </xf>
    <xf numFmtId="9" fontId="0" fillId="0" borderId="1" xfId="0" applyNumberFormat="1" applyBorder="1"/>
    <xf numFmtId="0" fontId="2" fillId="15" borderId="1" xfId="0" applyFont="1" applyFill="1" applyBorder="1"/>
    <xf numFmtId="164" fontId="15" fillId="0" borderId="0" xfId="0" applyNumberFormat="1" applyFont="1"/>
    <xf numFmtId="0" fontId="15" fillId="15" borderId="1" xfId="0" applyFont="1" applyFill="1" applyBorder="1" applyAlignment="1">
      <alignment horizontal="center"/>
    </xf>
    <xf numFmtId="0" fontId="15" fillId="15" borderId="1" xfId="0" applyFont="1" applyFill="1" applyBorder="1" applyAlignment="1">
      <alignment horizontal="center" wrapText="1"/>
    </xf>
    <xf numFmtId="0" fontId="2" fillId="0" borderId="1" xfId="0" applyFont="1" applyFill="1" applyBorder="1" applyAlignment="1">
      <alignment horizontal="center" wrapText="1"/>
    </xf>
    <xf numFmtId="0" fontId="0" fillId="0" borderId="0" xfId="0" applyBorder="1" applyAlignment="1"/>
    <xf numFmtId="0" fontId="15" fillId="0" borderId="2" xfId="0" applyFont="1" applyBorder="1" applyAlignment="1">
      <alignment horizontal="center"/>
    </xf>
    <xf numFmtId="0" fontId="14" fillId="0" borderId="1" xfId="0" applyFont="1" applyBorder="1" applyAlignment="1">
      <alignment horizontal="center" vertical="center" wrapText="1"/>
    </xf>
    <xf numFmtId="0" fontId="14" fillId="0" borderId="1" xfId="0" applyFont="1" applyBorder="1" applyAlignment="1">
      <alignment vertical="center"/>
    </xf>
    <xf numFmtId="0" fontId="14" fillId="0" borderId="1" xfId="0" applyFont="1" applyBorder="1" applyAlignment="1">
      <alignment vertical="center" wrapText="1"/>
    </xf>
    <xf numFmtId="165" fontId="0" fillId="0" borderId="2" xfId="0" applyNumberFormat="1" applyBorder="1" applyAlignment="1">
      <alignment horizontal="center"/>
    </xf>
    <xf numFmtId="165" fontId="0" fillId="0" borderId="5" xfId="0" applyNumberFormat="1" applyBorder="1" applyAlignment="1">
      <alignment horizontal="center"/>
    </xf>
    <xf numFmtId="165" fontId="0" fillId="0" borderId="6" xfId="0" applyNumberFormat="1" applyBorder="1" applyAlignment="1">
      <alignment horizontal="center"/>
    </xf>
    <xf numFmtId="0" fontId="17" fillId="0" borderId="1" xfId="0" applyFont="1" applyBorder="1" applyAlignment="1">
      <alignment horizontal="center" wrapText="1"/>
    </xf>
    <xf numFmtId="0" fontId="17" fillId="0" borderId="2" xfId="0" applyFont="1" applyBorder="1" applyAlignment="1">
      <alignment horizontal="center" wrapText="1"/>
    </xf>
    <xf numFmtId="2" fontId="17" fillId="0" borderId="2" xfId="0" applyNumberFormat="1" applyFont="1" applyBorder="1" applyAlignment="1">
      <alignment horizontal="center"/>
    </xf>
    <xf numFmtId="2" fontId="17" fillId="0" borderId="5" xfId="0" applyNumberFormat="1" applyFont="1" applyBorder="1" applyAlignment="1">
      <alignment horizontal="center"/>
    </xf>
    <xf numFmtId="2" fontId="17" fillId="0" borderId="6" xfId="0" applyNumberFormat="1" applyFont="1" applyBorder="1" applyAlignment="1">
      <alignment horizontal="center"/>
    </xf>
    <xf numFmtId="44" fontId="8" fillId="12" borderId="0" xfId="1" applyFont="1" applyFill="1"/>
    <xf numFmtId="0" fontId="3" fillId="0" borderId="1" xfId="0" applyFont="1" applyFill="1" applyBorder="1" applyAlignment="1">
      <alignment horizontal="center" wrapText="1"/>
    </xf>
    <xf numFmtId="2" fontId="8" fillId="11" borderId="1" xfId="0" applyNumberFormat="1" applyFont="1" applyFill="1" applyBorder="1" applyAlignment="1">
      <alignment horizontal="center" vertical="center"/>
    </xf>
    <xf numFmtId="0" fontId="2" fillId="0" borderId="2" xfId="0" applyFont="1" applyBorder="1" applyAlignment="1">
      <alignment horizontal="center"/>
    </xf>
    <xf numFmtId="0" fontId="8" fillId="0" borderId="23" xfId="0" applyFont="1" applyBorder="1"/>
    <xf numFmtId="2" fontId="0" fillId="0" borderId="25" xfId="1" applyNumberFormat="1" applyFont="1" applyBorder="1"/>
    <xf numFmtId="2" fontId="3" fillId="11" borderId="1" xfId="0" applyNumberFormat="1" applyFont="1" applyFill="1" applyBorder="1" applyAlignment="1">
      <alignment horizontal="center"/>
    </xf>
    <xf numFmtId="2" fontId="3" fillId="12" borderId="1" xfId="0" applyNumberFormat="1" applyFont="1" applyFill="1" applyBorder="1" applyAlignment="1">
      <alignment horizontal="center"/>
    </xf>
    <xf numFmtId="1" fontId="0" fillId="0" borderId="1" xfId="0" applyNumberFormat="1" applyBorder="1"/>
    <xf numFmtId="2" fontId="0" fillId="10" borderId="0" xfId="0" applyNumberFormat="1" applyFill="1"/>
    <xf numFmtId="0" fontId="0" fillId="10" borderId="0" xfId="0" applyFill="1" applyAlignment="1">
      <alignment horizontal="center"/>
    </xf>
    <xf numFmtId="0" fontId="0" fillId="10" borderId="0" xfId="0" applyFill="1" applyAlignment="1">
      <alignment horizontal="right"/>
    </xf>
    <xf numFmtId="0" fontId="0" fillId="0" borderId="0" xfId="0" applyAlignment="1">
      <alignment horizontal="right"/>
    </xf>
    <xf numFmtId="2" fontId="0" fillId="10" borderId="1" xfId="0" applyNumberFormat="1" applyFill="1" applyBorder="1"/>
    <xf numFmtId="1" fontId="3" fillId="12" borderId="1" xfId="0" applyNumberFormat="1" applyFont="1" applyFill="1" applyBorder="1" applyAlignment="1">
      <alignment horizontal="center"/>
    </xf>
    <xf numFmtId="1" fontId="0" fillId="10" borderId="1" xfId="0" applyNumberFormat="1" applyFill="1" applyBorder="1" applyAlignment="1">
      <alignment horizontal="right"/>
    </xf>
    <xf numFmtId="2" fontId="0" fillId="15" borderId="1" xfId="0" applyNumberFormat="1" applyFill="1" applyBorder="1"/>
    <xf numFmtId="1" fontId="0" fillId="15" borderId="1" xfId="0" applyNumberFormat="1" applyFill="1" applyBorder="1"/>
    <xf numFmtId="1" fontId="0" fillId="0" borderId="1" xfId="1" applyNumberFormat="1" applyFont="1" applyBorder="1"/>
    <xf numFmtId="0" fontId="0" fillId="0" borderId="1" xfId="0" applyBorder="1" applyAlignment="1">
      <alignment horizontal="center" vertical="center" textRotation="90"/>
    </xf>
    <xf numFmtId="2" fontId="8" fillId="0" borderId="7" xfId="0" applyNumberFormat="1" applyFont="1" applyBorder="1"/>
    <xf numFmtId="2" fontId="8" fillId="0" borderId="8" xfId="0" applyNumberFormat="1" applyFont="1" applyBorder="1"/>
    <xf numFmtId="2" fontId="8" fillId="0" borderId="9" xfId="0" applyNumberFormat="1" applyFont="1" applyBorder="1"/>
    <xf numFmtId="2" fontId="8" fillId="0" borderId="10" xfId="0" applyNumberFormat="1" applyFont="1" applyBorder="1"/>
    <xf numFmtId="2" fontId="8" fillId="0" borderId="0" xfId="0" applyNumberFormat="1" applyFont="1" applyBorder="1"/>
    <xf numFmtId="2" fontId="8" fillId="0" borderId="11" xfId="0" applyNumberFormat="1" applyFont="1" applyBorder="1"/>
    <xf numFmtId="2" fontId="8" fillId="0" borderId="12" xfId="0" applyNumberFormat="1" applyFont="1" applyBorder="1"/>
    <xf numFmtId="2" fontId="8" fillId="0" borderId="13" xfId="0" applyNumberFormat="1" applyFont="1" applyBorder="1"/>
    <xf numFmtId="2" fontId="8" fillId="0" borderId="14" xfId="0" applyNumberFormat="1" applyFont="1" applyBorder="1"/>
    <xf numFmtId="1" fontId="0" fillId="10" borderId="7" xfId="0" applyNumberFormat="1" applyFill="1" applyBorder="1"/>
    <xf numFmtId="1" fontId="0" fillId="10" borderId="8" xfId="0" applyNumberFormat="1" applyFill="1" applyBorder="1"/>
    <xf numFmtId="1" fontId="0" fillId="10" borderId="9" xfId="0" applyNumberFormat="1" applyFill="1" applyBorder="1"/>
    <xf numFmtId="1" fontId="0" fillId="10" borderId="10" xfId="0" applyNumberFormat="1" applyFill="1" applyBorder="1"/>
    <xf numFmtId="1" fontId="0" fillId="10" borderId="0" xfId="0" applyNumberFormat="1" applyFill="1" applyBorder="1"/>
    <xf numFmtId="1" fontId="0" fillId="10" borderId="11" xfId="0" applyNumberFormat="1" applyFill="1" applyBorder="1"/>
    <xf numFmtId="1" fontId="0" fillId="10" borderId="12" xfId="0" applyNumberFormat="1" applyFill="1" applyBorder="1"/>
    <xf numFmtId="1" fontId="0" fillId="10" borderId="13" xfId="0" applyNumberFormat="1" applyFill="1" applyBorder="1"/>
    <xf numFmtId="1" fontId="0" fillId="10" borderId="14" xfId="0" applyNumberFormat="1" applyFill="1" applyBorder="1"/>
    <xf numFmtId="0" fontId="0" fillId="16" borderId="4" xfId="0" applyFill="1" applyBorder="1" applyAlignment="1">
      <alignment horizontal="center"/>
    </xf>
    <xf numFmtId="0" fontId="0" fillId="16" borderId="15" xfId="0" applyFill="1" applyBorder="1" applyAlignment="1">
      <alignment horizontal="center"/>
    </xf>
    <xf numFmtId="0" fontId="0" fillId="16" borderId="16" xfId="0" applyFill="1" applyBorder="1" applyAlignment="1">
      <alignment horizontal="center"/>
    </xf>
    <xf numFmtId="0" fontId="0" fillId="16" borderId="1" xfId="0" applyFill="1" applyBorder="1" applyAlignment="1">
      <alignment horizontal="center" vertical="center" textRotation="90"/>
    </xf>
    <xf numFmtId="1" fontId="0" fillId="0" borderId="6" xfId="0" applyNumberFormat="1" applyBorder="1"/>
    <xf numFmtId="1" fontId="8" fillId="12" borderId="24" xfId="0" applyNumberFormat="1" applyFont="1" applyFill="1" applyBorder="1"/>
    <xf numFmtId="1" fontId="8" fillId="0" borderId="26" xfId="1" applyNumberFormat="1" applyFont="1" applyBorder="1"/>
    <xf numFmtId="1" fontId="8" fillId="0" borderId="27" xfId="1" applyNumberFormat="1" applyFont="1" applyBorder="1"/>
    <xf numFmtId="1" fontId="8" fillId="0" borderId="28" xfId="1" applyNumberFormat="1" applyFont="1" applyBorder="1"/>
    <xf numFmtId="9" fontId="8" fillId="13" borderId="0" xfId="0" applyNumberFormat="1" applyFont="1" applyFill="1" applyAlignment="1">
      <alignment horizontal="center"/>
    </xf>
    <xf numFmtId="9" fontId="8" fillId="13" borderId="1" xfId="0" applyNumberFormat="1" applyFont="1" applyFill="1" applyBorder="1" applyAlignment="1">
      <alignment horizontal="center"/>
    </xf>
    <xf numFmtId="2" fontId="8" fillId="13" borderId="1" xfId="0" applyNumberFormat="1" applyFont="1" applyFill="1" applyBorder="1" applyAlignment="1">
      <alignment horizontal="center"/>
    </xf>
    <xf numFmtId="1" fontId="8" fillId="13" borderId="1" xfId="0" applyNumberFormat="1" applyFont="1" applyFill="1" applyBorder="1" applyAlignment="1">
      <alignment horizontal="center"/>
    </xf>
    <xf numFmtId="2" fontId="8" fillId="0" borderId="1" xfId="1" applyNumberFormat="1" applyFont="1" applyFill="1" applyBorder="1"/>
    <xf numFmtId="2" fontId="8" fillId="6" borderId="1" xfId="1" applyNumberFormat="1" applyFont="1" applyFill="1" applyBorder="1"/>
    <xf numFmtId="2" fontId="8" fillId="0" borderId="1" xfId="0" applyNumberFormat="1" applyFont="1" applyBorder="1" applyAlignment="1">
      <alignment horizontal="center"/>
    </xf>
    <xf numFmtId="2" fontId="8" fillId="0" borderId="1" xfId="1" applyNumberFormat="1" applyFont="1" applyBorder="1"/>
    <xf numFmtId="2" fontId="8" fillId="12" borderId="1" xfId="1" applyNumberFormat="1" applyFont="1" applyFill="1" applyBorder="1"/>
    <xf numFmtId="0" fontId="8" fillId="0" borderId="1" xfId="0" applyFont="1" applyBorder="1" applyAlignment="1">
      <alignment wrapText="1"/>
    </xf>
    <xf numFmtId="0" fontId="0" fillId="15" borderId="23" xfId="0" applyFill="1" applyBorder="1"/>
    <xf numFmtId="0" fontId="0" fillId="15" borderId="29" xfId="0" applyFill="1" applyBorder="1"/>
    <xf numFmtId="0" fontId="0" fillId="15" borderId="24" xfId="0" applyFill="1" applyBorder="1"/>
    <xf numFmtId="0" fontId="0" fillId="15" borderId="30" xfId="0" applyFill="1" applyBorder="1"/>
    <xf numFmtId="0" fontId="0" fillId="15" borderId="0" xfId="0" applyFill="1" applyBorder="1"/>
    <xf numFmtId="0" fontId="0" fillId="15" borderId="27" xfId="0" applyFill="1" applyBorder="1"/>
    <xf numFmtId="0" fontId="0" fillId="15" borderId="31" xfId="0" applyFill="1" applyBorder="1"/>
    <xf numFmtId="0" fontId="0" fillId="15" borderId="32" xfId="0" applyFill="1" applyBorder="1"/>
    <xf numFmtId="0" fontId="0" fillId="15" borderId="28" xfId="0" applyFill="1" applyBorder="1"/>
    <xf numFmtId="2" fontId="0" fillId="14" borderId="1" xfId="0" applyNumberFormat="1" applyFill="1" applyBorder="1" applyAlignment="1">
      <alignment horizontal="center" vertical="center"/>
    </xf>
    <xf numFmtId="0" fontId="14" fillId="0" borderId="16" xfId="0" applyFont="1" applyBorder="1" applyAlignment="1">
      <alignment horizontal="left" vertical="center" wrapText="1"/>
    </xf>
    <xf numFmtId="0" fontId="14" fillId="0" borderId="4" xfId="0" applyFont="1" applyBorder="1" applyAlignment="1">
      <alignment horizontal="left" vertical="center" wrapText="1"/>
    </xf>
    <xf numFmtId="0" fontId="14" fillId="0" borderId="15" xfId="0" applyFont="1" applyBorder="1" applyAlignment="1">
      <alignment horizontal="left" vertical="center" wrapText="1"/>
    </xf>
    <xf numFmtId="0" fontId="14" fillId="0" borderId="1" xfId="0" applyFont="1" applyBorder="1" applyAlignment="1">
      <alignment horizontal="left" vertical="center"/>
    </xf>
    <xf numFmtId="0" fontId="14" fillId="0" borderId="0" xfId="0" applyFont="1" applyAlignment="1">
      <alignment horizontal="left" vertical="center"/>
    </xf>
    <xf numFmtId="0" fontId="14" fillId="0" borderId="14" xfId="0" applyFont="1" applyBorder="1" applyAlignment="1">
      <alignment horizontal="left" vertical="center"/>
    </xf>
    <xf numFmtId="2" fontId="14" fillId="0" borderId="1" xfId="0" applyNumberFormat="1" applyFont="1" applyFill="1" applyBorder="1"/>
    <xf numFmtId="2" fontId="8" fillId="12" borderId="1" xfId="0" applyNumberFormat="1" applyFont="1" applyFill="1" applyBorder="1" applyAlignment="1">
      <alignment horizontal="center" vertical="center"/>
    </xf>
    <xf numFmtId="0" fontId="2" fillId="10" borderId="0" xfId="0" applyFont="1" applyFill="1" applyAlignment="1">
      <alignment horizontal="right"/>
    </xf>
    <xf numFmtId="2" fontId="8" fillId="3" borderId="1" xfId="0" applyNumberFormat="1" applyFont="1" applyFill="1" applyBorder="1" applyAlignment="1">
      <alignment horizontal="center"/>
    </xf>
    <xf numFmtId="2" fontId="8" fillId="0" borderId="0" xfId="0" applyNumberFormat="1" applyFont="1" applyFill="1" applyBorder="1" applyAlignment="1">
      <alignment horizontal="center"/>
    </xf>
    <xf numFmtId="8" fontId="8" fillId="0" borderId="0" xfId="0" applyNumberFormat="1" applyFont="1"/>
    <xf numFmtId="2" fontId="0" fillId="0" borderId="34" xfId="0" applyNumberFormat="1" applyBorder="1"/>
    <xf numFmtId="2" fontId="0" fillId="0" borderId="35" xfId="0" applyNumberFormat="1" applyBorder="1"/>
    <xf numFmtId="2" fontId="0" fillId="0" borderId="36" xfId="0" applyNumberFormat="1" applyBorder="1"/>
    <xf numFmtId="2" fontId="0" fillId="0" borderId="37" xfId="0" applyNumberFormat="1" applyBorder="1"/>
    <xf numFmtId="2" fontId="8" fillId="13" borderId="0" xfId="0" applyNumberFormat="1" applyFont="1" applyFill="1"/>
    <xf numFmtId="1" fontId="0" fillId="0" borderId="33" xfId="0" applyNumberFormat="1" applyBorder="1"/>
    <xf numFmtId="1" fontId="0" fillId="0" borderId="0" xfId="0" applyNumberFormat="1" applyBorder="1"/>
    <xf numFmtId="1" fontId="0" fillId="0" borderId="27" xfId="0" applyNumberFormat="1" applyBorder="1"/>
    <xf numFmtId="1" fontId="0" fillId="0" borderId="32" xfId="0" applyNumberFormat="1" applyBorder="1"/>
    <xf numFmtId="1" fontId="0" fillId="0" borderId="28" xfId="0" applyNumberFormat="1" applyBorder="1"/>
    <xf numFmtId="170" fontId="0" fillId="0" borderId="0" xfId="0" applyNumberFormat="1" applyBorder="1"/>
    <xf numFmtId="0" fontId="14" fillId="0" borderId="6" xfId="0" applyFont="1" applyBorder="1"/>
    <xf numFmtId="170" fontId="0" fillId="0" borderId="27" xfId="0" applyNumberFormat="1" applyBorder="1"/>
    <xf numFmtId="170" fontId="0" fillId="0" borderId="32" xfId="0" applyNumberFormat="1" applyBorder="1"/>
    <xf numFmtId="170" fontId="0" fillId="0" borderId="28" xfId="0" applyNumberFormat="1" applyBorder="1"/>
    <xf numFmtId="2" fontId="0" fillId="0" borderId="38" xfId="0" applyNumberFormat="1" applyBorder="1"/>
    <xf numFmtId="2" fontId="0" fillId="0" borderId="39" xfId="0" applyNumberFormat="1" applyBorder="1"/>
    <xf numFmtId="2" fontId="0" fillId="14" borderId="3" xfId="0" applyNumberFormat="1" applyFill="1" applyBorder="1" applyAlignment="1">
      <alignment horizontal="center"/>
    </xf>
    <xf numFmtId="2" fontId="0" fillId="14" borderId="36" xfId="0" applyNumberFormat="1" applyFill="1" applyBorder="1"/>
    <xf numFmtId="170" fontId="0" fillId="14" borderId="0" xfId="0" applyNumberFormat="1" applyFill="1" applyBorder="1"/>
    <xf numFmtId="170" fontId="0" fillId="14" borderId="27" xfId="0" applyNumberFormat="1" applyFill="1" applyBorder="1"/>
    <xf numFmtId="2" fontId="0" fillId="14" borderId="34" xfId="0" applyNumberFormat="1" applyFill="1" applyBorder="1"/>
    <xf numFmtId="170" fontId="0" fillId="14" borderId="32" xfId="0" applyNumberFormat="1" applyFill="1" applyBorder="1"/>
    <xf numFmtId="170" fontId="0" fillId="17" borderId="0" xfId="0" applyNumberFormat="1" applyFill="1" applyBorder="1"/>
  </cellXfs>
  <cellStyles count="4">
    <cellStyle name="Comma" xfId="2" builtinId="3"/>
    <cellStyle name="Currency" xfId="1" builtinId="4"/>
    <cellStyle name="Hyperlink" xfId="3"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settings!$C$2:$F$2</c:f>
          <c:strCache>
            <c:ptCount val="4"/>
            <c:pt idx="0">
              <c:v>Weekly profit versus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settings!$C$2:$F$2</c:f>
              <c:strCache>
                <c:ptCount val="1"/>
                <c:pt idx="0">
                  <c:v>Weekly profit versus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sensitivity!$B$6:$B$14</c:f>
              <c:numCache>
                <c:formatCode>0.00</c:formatCode>
                <c:ptCount val="9"/>
                <c:pt idx="0">
                  <c:v>5</c:v>
                </c:pt>
                <c:pt idx="1">
                  <c:v>5.875</c:v>
                </c:pt>
                <c:pt idx="2">
                  <c:v>6.75</c:v>
                </c:pt>
                <c:pt idx="3">
                  <c:v>7.625</c:v>
                </c:pt>
                <c:pt idx="4">
                  <c:v>8.5</c:v>
                </c:pt>
                <c:pt idx="5">
                  <c:v>9.375</c:v>
                </c:pt>
                <c:pt idx="6">
                  <c:v>10.25</c:v>
                </c:pt>
                <c:pt idx="7">
                  <c:v>11.125</c:v>
                </c:pt>
                <c:pt idx="8">
                  <c:v>12</c:v>
                </c:pt>
              </c:numCache>
            </c:numRef>
          </c:xVal>
          <c:yVal>
            <c:numRef>
              <c:f>sensitivity!$C$6:$C$14</c:f>
              <c:numCache>
                <c:formatCode>0.00</c:formatCode>
                <c:ptCount val="9"/>
                <c:pt idx="0">
                  <c:v>-37358.025596503197</c:v>
                </c:pt>
                <c:pt idx="1">
                  <c:v>-13847.150521084695</c:v>
                </c:pt>
                <c:pt idx="2">
                  <c:v>1496.3279378360457</c:v>
                </c:pt>
                <c:pt idx="3">
                  <c:v>8672.4097802590259</c:v>
                </c:pt>
                <c:pt idx="4">
                  <c:v>7681.0950061842304</c:v>
                </c:pt>
                <c:pt idx="5">
                  <c:v>-1477.6163843883187</c:v>
                </c:pt>
                <c:pt idx="6">
                  <c:v>-18803.724391458636</c:v>
                </c:pt>
                <c:pt idx="7">
                  <c:v>-44297.229015026722</c:v>
                </c:pt>
                <c:pt idx="8">
                  <c:v>-77958.130255092576</c:v>
                </c:pt>
              </c:numCache>
            </c:numRef>
          </c:yVal>
          <c:smooth val="1"/>
          <c:extLst>
            <c:ext xmlns:c16="http://schemas.microsoft.com/office/drawing/2014/chart" uri="{C3380CC4-5D6E-409C-BE32-E72D297353CC}">
              <c16:uniqueId val="{00000000-1601-464B-A94B-3C9E1A94B1D4}"/>
            </c:ext>
          </c:extLst>
        </c:ser>
        <c:ser>
          <c:idx val="1"/>
          <c:order val="1"/>
          <c:tx>
            <c:strRef>
              <c:f>settings!$B$7</c:f>
              <c:strCache>
                <c:ptCount val="1"/>
                <c:pt idx="0">
                  <c:v>max profit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settings!$C$8:$C$9</c:f>
              <c:numCache>
                <c:formatCode>0.00</c:formatCode>
                <c:ptCount val="2"/>
                <c:pt idx="0">
                  <c:v>7.625</c:v>
                </c:pt>
                <c:pt idx="1">
                  <c:v>7.625</c:v>
                </c:pt>
              </c:numCache>
            </c:numRef>
          </c:xVal>
          <c:yVal>
            <c:numRef>
              <c:f>settings!$D$8:$D$9</c:f>
              <c:numCache>
                <c:formatCode>0.00</c:formatCode>
                <c:ptCount val="2"/>
                <c:pt idx="0" formatCode="General">
                  <c:v>0</c:v>
                </c:pt>
                <c:pt idx="1">
                  <c:v>8672.4097802590259</c:v>
                </c:pt>
              </c:numCache>
            </c:numRef>
          </c:yVal>
          <c:smooth val="1"/>
          <c:extLst>
            <c:ext xmlns:c16="http://schemas.microsoft.com/office/drawing/2014/chart" uri="{C3380CC4-5D6E-409C-BE32-E72D297353CC}">
              <c16:uniqueId val="{00000002-1601-464B-A94B-3C9E1A94B1D4}"/>
            </c:ext>
          </c:extLst>
        </c:ser>
        <c:dLbls>
          <c:showLegendKey val="0"/>
          <c:showVal val="0"/>
          <c:showCatName val="0"/>
          <c:showSerName val="0"/>
          <c:showPercent val="0"/>
          <c:showBubbleSize val="0"/>
        </c:dLbls>
        <c:axId val="1042906704"/>
        <c:axId val="727474736"/>
      </c:scatterChart>
      <c:valAx>
        <c:axId val="1042906704"/>
        <c:scaling>
          <c:orientation val="minMax"/>
          <c:max val="12"/>
          <c:min val="5"/>
        </c:scaling>
        <c:delete val="0"/>
        <c:axPos val="b"/>
        <c:majorGridlines>
          <c:spPr>
            <a:ln w="9525" cap="flat" cmpd="sng" algn="ctr">
              <a:solidFill>
                <a:schemeClr val="tx1">
                  <a:lumMod val="15000"/>
                  <a:lumOff val="85000"/>
                </a:schemeClr>
              </a:solidFill>
              <a:round/>
            </a:ln>
            <a:effectLst/>
          </c:spPr>
        </c:majorGridlines>
        <c:title>
          <c:tx>
            <c:strRef>
              <c:f>sensitivity!$B$4</c:f>
              <c:strCache>
                <c:ptCount val="1"/>
                <c:pt idx="0">
                  <c:v>price</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474736"/>
        <c:crosses val="autoZero"/>
        <c:crossBetween val="midCat"/>
      </c:valAx>
      <c:valAx>
        <c:axId val="727474736"/>
        <c:scaling>
          <c:orientation val="minMax"/>
        </c:scaling>
        <c:delete val="0"/>
        <c:axPos val="l"/>
        <c:majorGridlines>
          <c:spPr>
            <a:ln w="9525" cap="flat" cmpd="sng" algn="ctr">
              <a:solidFill>
                <a:schemeClr val="tx1">
                  <a:lumMod val="15000"/>
                  <a:lumOff val="85000"/>
                </a:schemeClr>
              </a:solidFill>
              <a:round/>
            </a:ln>
            <a:effectLst/>
          </c:spPr>
        </c:majorGridlines>
        <c:title>
          <c:tx>
            <c:strRef>
              <c:f>settings!$C$3:$F$3</c:f>
              <c:strCache>
                <c:ptCount val="4"/>
                <c:pt idx="0">
                  <c:v>profit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06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settings!$C$11</c:f>
          <c:strCache>
            <c:ptCount val="1"/>
            <c:pt idx="0">
              <c:v>3-year npv profit versus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settings!$C$11</c:f>
              <c:strCache>
                <c:ptCount val="1"/>
                <c:pt idx="0">
                  <c:v>3-year npv profit versus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sensitivity!$K$6:$K$14</c:f>
              <c:numCache>
                <c:formatCode>0.00</c:formatCode>
                <c:ptCount val="9"/>
                <c:pt idx="0">
                  <c:v>7.5</c:v>
                </c:pt>
                <c:pt idx="1">
                  <c:v>7.625</c:v>
                </c:pt>
                <c:pt idx="2">
                  <c:v>7.75</c:v>
                </c:pt>
                <c:pt idx="3">
                  <c:v>7.875</c:v>
                </c:pt>
                <c:pt idx="4">
                  <c:v>8</c:v>
                </c:pt>
                <c:pt idx="5">
                  <c:v>8.125</c:v>
                </c:pt>
                <c:pt idx="6">
                  <c:v>8.25</c:v>
                </c:pt>
                <c:pt idx="7">
                  <c:v>8.375</c:v>
                </c:pt>
                <c:pt idx="8">
                  <c:v>8.5</c:v>
                </c:pt>
              </c:numCache>
            </c:numRef>
          </c:xVal>
          <c:yVal>
            <c:numRef>
              <c:f>sensitivity!$L$6:$L$14</c:f>
              <c:numCache>
                <c:formatCode>0</c:formatCode>
                <c:ptCount val="9"/>
                <c:pt idx="0">
                  <c:v>-2147621.130348234</c:v>
                </c:pt>
                <c:pt idx="1">
                  <c:v>-2064868.0482181201</c:v>
                </c:pt>
                <c:pt idx="2">
                  <c:v>-2004495.7983400754</c:v>
                </c:pt>
                <c:pt idx="3">
                  <c:v>-1966504.3807141026</c:v>
                </c:pt>
                <c:pt idx="4">
                  <c:v>-1950893.7953402</c:v>
                </c:pt>
                <c:pt idx="5">
                  <c:v>-1957664.0422183687</c:v>
                </c:pt>
                <c:pt idx="6">
                  <c:v>-1986815.121348609</c:v>
                </c:pt>
                <c:pt idx="7">
                  <c:v>-2038347.0327309172</c:v>
                </c:pt>
                <c:pt idx="8">
                  <c:v>-2112259.7763652997</c:v>
                </c:pt>
              </c:numCache>
            </c:numRef>
          </c:yVal>
          <c:smooth val="1"/>
          <c:extLst>
            <c:ext xmlns:c16="http://schemas.microsoft.com/office/drawing/2014/chart" uri="{C3380CC4-5D6E-409C-BE32-E72D297353CC}">
              <c16:uniqueId val="{00000000-DDE3-48CF-89AE-43EF1BFCA82B}"/>
            </c:ext>
          </c:extLst>
        </c:ser>
        <c:dLbls>
          <c:showLegendKey val="0"/>
          <c:showVal val="0"/>
          <c:showCatName val="0"/>
          <c:showSerName val="0"/>
          <c:showPercent val="0"/>
          <c:showBubbleSize val="0"/>
        </c:dLbls>
        <c:axId val="967549824"/>
        <c:axId val="973035872"/>
      </c:scatterChart>
      <c:valAx>
        <c:axId val="967549824"/>
        <c:scaling>
          <c:orientation val="minMax"/>
        </c:scaling>
        <c:delete val="0"/>
        <c:axPos val="b"/>
        <c:majorGridlines>
          <c:spPr>
            <a:ln w="9525" cap="flat" cmpd="sng" algn="ctr">
              <a:solidFill>
                <a:schemeClr val="tx1">
                  <a:lumMod val="15000"/>
                  <a:lumOff val="85000"/>
                </a:schemeClr>
              </a:solidFill>
              <a:round/>
            </a:ln>
            <a:effectLst/>
          </c:spPr>
        </c:majorGridlines>
        <c:title>
          <c:tx>
            <c:strRef>
              <c:f>settings!$C$13</c:f>
              <c:strCache>
                <c:ptCount val="1"/>
                <c:pt idx="0">
                  <c:v>price</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035872"/>
        <c:crosses val="autoZero"/>
        <c:crossBetween val="midCat"/>
      </c:valAx>
      <c:valAx>
        <c:axId val="973035872"/>
        <c:scaling>
          <c:orientation val="minMax"/>
        </c:scaling>
        <c:delete val="0"/>
        <c:axPos val="l"/>
        <c:majorGridlines>
          <c:spPr>
            <a:ln w="9525" cap="flat" cmpd="sng" algn="ctr">
              <a:solidFill>
                <a:schemeClr val="tx1">
                  <a:lumMod val="15000"/>
                  <a:lumOff val="85000"/>
                </a:schemeClr>
              </a:solidFill>
              <a:round/>
            </a:ln>
            <a:effectLst/>
          </c:spPr>
        </c:majorGridlines>
        <c:title>
          <c:tx>
            <c:strRef>
              <c:f>settings!$C$12</c:f>
              <c:strCache>
                <c:ptCount val="1"/>
                <c:pt idx="0">
                  <c:v>net present value</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75498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cost!$A$1</c:f>
          <c:strCache>
            <c:ptCount val="1"/>
            <c:pt idx="0">
              <c:v>Make-A-Pie Weekly Profit: cost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cost!$A$1</c:f>
              <c:strCache>
                <c:ptCount val="1"/>
                <c:pt idx="0">
                  <c:v>Make-A-Pie Weekly Profit: cost</c:v>
                </c:pt>
              </c:strCache>
            </c:strRef>
          </c:tx>
          <c:spPr>
            <a:ln w="12700" cap="rnd">
              <a:noFill/>
              <a:round/>
            </a:ln>
            <a:effectLst/>
          </c:spPr>
          <c:marker>
            <c:symbol val="circle"/>
            <c:size val="5"/>
            <c:spPr>
              <a:solidFill>
                <a:schemeClr val="accent1"/>
              </a:solidFill>
              <a:ln w="1270">
                <a:solidFill>
                  <a:schemeClr val="accent1"/>
                </a:solidFill>
              </a:ln>
              <a:effectLst/>
            </c:spPr>
          </c:marker>
          <c:xVal>
            <c:numRef>
              <c:f>cost!$B$5:$B$13</c:f>
              <c:numCache>
                <c:formatCode>General</c:formatCode>
                <c:ptCount val="9"/>
                <c:pt idx="0">
                  <c:v>8</c:v>
                </c:pt>
                <c:pt idx="1">
                  <c:v>10</c:v>
                </c:pt>
                <c:pt idx="2">
                  <c:v>12</c:v>
                </c:pt>
                <c:pt idx="3">
                  <c:v>14</c:v>
                </c:pt>
                <c:pt idx="4">
                  <c:v>16</c:v>
                </c:pt>
                <c:pt idx="5">
                  <c:v>18</c:v>
                </c:pt>
                <c:pt idx="6">
                  <c:v>20</c:v>
                </c:pt>
                <c:pt idx="7">
                  <c:v>22</c:v>
                </c:pt>
                <c:pt idx="8">
                  <c:v>24</c:v>
                </c:pt>
              </c:numCache>
            </c:numRef>
          </c:xVal>
          <c:yVal>
            <c:numRef>
              <c:f>cost!$D$5:$D$13</c:f>
              <c:numCache>
                <c:formatCode>#,##0.0</c:formatCode>
                <c:ptCount val="9"/>
                <c:pt idx="0">
                  <c:v>13.783871238750486</c:v>
                </c:pt>
                <c:pt idx="1">
                  <c:v>15.981301279564761</c:v>
                </c:pt>
                <c:pt idx="2">
                  <c:v>23.607253351416638</c:v>
                </c:pt>
                <c:pt idx="3">
                  <c:v>28.948796734542061</c:v>
                </c:pt>
                <c:pt idx="4">
                  <c:v>29.834957735329549</c:v>
                </c:pt>
                <c:pt idx="5">
                  <c:v>44.332429992759401</c:v>
                </c:pt>
                <c:pt idx="6">
                  <c:v>41.126706394477431</c:v>
                </c:pt>
                <c:pt idx="7">
                  <c:v>50.262286377285086</c:v>
                </c:pt>
                <c:pt idx="8">
                  <c:v>57.476034846871038</c:v>
                </c:pt>
              </c:numCache>
            </c:numRef>
          </c:yVal>
          <c:smooth val="0"/>
          <c:extLst>
            <c:ext xmlns:c16="http://schemas.microsoft.com/office/drawing/2014/chart" uri="{C3380CC4-5D6E-409C-BE32-E72D297353CC}">
              <c16:uniqueId val="{00000004-01F7-4CD4-86C5-F0B0E8BA136D}"/>
            </c:ext>
          </c:extLst>
        </c:ser>
        <c:ser>
          <c:idx val="1"/>
          <c:order val="1"/>
          <c:tx>
            <c:strRef>
              <c:f>cost!$F$3</c:f>
              <c:strCache>
                <c:ptCount val="1"/>
                <c:pt idx="0">
                  <c:v>lower bound</c:v>
                </c:pt>
              </c:strCache>
            </c:strRef>
          </c:tx>
          <c:spPr>
            <a:ln w="12700" cap="rnd">
              <a:solidFill>
                <a:schemeClr val="accent2"/>
              </a:solidFill>
              <a:prstDash val="dash"/>
              <a:round/>
            </a:ln>
            <a:effectLst/>
          </c:spPr>
          <c:marker>
            <c:symbol val="none"/>
          </c:marker>
          <c:xVal>
            <c:numRef>
              <c:f>cost!$B$5:$B$13</c:f>
              <c:numCache>
                <c:formatCode>General</c:formatCode>
                <c:ptCount val="9"/>
                <c:pt idx="0">
                  <c:v>8</c:v>
                </c:pt>
                <c:pt idx="1">
                  <c:v>10</c:v>
                </c:pt>
                <c:pt idx="2">
                  <c:v>12</c:v>
                </c:pt>
                <c:pt idx="3">
                  <c:v>14</c:v>
                </c:pt>
                <c:pt idx="4">
                  <c:v>16</c:v>
                </c:pt>
                <c:pt idx="5">
                  <c:v>18</c:v>
                </c:pt>
                <c:pt idx="6">
                  <c:v>20</c:v>
                </c:pt>
                <c:pt idx="7">
                  <c:v>22</c:v>
                </c:pt>
                <c:pt idx="8">
                  <c:v>24</c:v>
                </c:pt>
              </c:numCache>
            </c:numRef>
          </c:xVal>
          <c:yVal>
            <c:numRef>
              <c:f>cost!$F$5:$F$13</c:f>
              <c:numCache>
                <c:formatCode>"$"#,##0.00</c:formatCode>
                <c:ptCount val="9"/>
                <c:pt idx="0">
                  <c:v>7.9732186678080996</c:v>
                </c:pt>
                <c:pt idx="1">
                  <c:v>10.170648708622375</c:v>
                </c:pt>
                <c:pt idx="2">
                  <c:v>17.79660078047425</c:v>
                </c:pt>
                <c:pt idx="3">
                  <c:v>23.138144163599677</c:v>
                </c:pt>
                <c:pt idx="4">
                  <c:v>24.024305164387165</c:v>
                </c:pt>
                <c:pt idx="5">
                  <c:v>38.521777421817013</c:v>
                </c:pt>
                <c:pt idx="6">
                  <c:v>35.316053823535043</c:v>
                </c:pt>
                <c:pt idx="7">
                  <c:v>44.451633806342699</c:v>
                </c:pt>
                <c:pt idx="8">
                  <c:v>51.66538227592865</c:v>
                </c:pt>
              </c:numCache>
            </c:numRef>
          </c:yVal>
          <c:smooth val="0"/>
          <c:extLst>
            <c:ext xmlns:c16="http://schemas.microsoft.com/office/drawing/2014/chart" uri="{C3380CC4-5D6E-409C-BE32-E72D297353CC}">
              <c16:uniqueId val="{00000006-01F7-4CD4-86C5-F0B0E8BA136D}"/>
            </c:ext>
          </c:extLst>
        </c:ser>
        <c:ser>
          <c:idx val="2"/>
          <c:order val="2"/>
          <c:tx>
            <c:strRef>
              <c:f>cost!$G$3</c:f>
              <c:strCache>
                <c:ptCount val="1"/>
                <c:pt idx="0">
                  <c:v>upper bound</c:v>
                </c:pt>
              </c:strCache>
            </c:strRef>
          </c:tx>
          <c:spPr>
            <a:ln w="12700" cap="rnd">
              <a:solidFill>
                <a:srgbClr val="000000"/>
              </a:solidFill>
              <a:prstDash val="dash"/>
              <a:round/>
            </a:ln>
            <a:effectLst/>
          </c:spPr>
          <c:marker>
            <c:symbol val="none"/>
          </c:marker>
          <c:xVal>
            <c:numRef>
              <c:f>cost!$B$5:$B$13</c:f>
              <c:numCache>
                <c:formatCode>General</c:formatCode>
                <c:ptCount val="9"/>
                <c:pt idx="0">
                  <c:v>8</c:v>
                </c:pt>
                <c:pt idx="1">
                  <c:v>10</c:v>
                </c:pt>
                <c:pt idx="2">
                  <c:v>12</c:v>
                </c:pt>
                <c:pt idx="3">
                  <c:v>14</c:v>
                </c:pt>
                <c:pt idx="4">
                  <c:v>16</c:v>
                </c:pt>
                <c:pt idx="5">
                  <c:v>18</c:v>
                </c:pt>
                <c:pt idx="6">
                  <c:v>20</c:v>
                </c:pt>
                <c:pt idx="7">
                  <c:v>22</c:v>
                </c:pt>
                <c:pt idx="8">
                  <c:v>24</c:v>
                </c:pt>
              </c:numCache>
            </c:numRef>
          </c:xVal>
          <c:yVal>
            <c:numRef>
              <c:f>cost!$G$5:$G$13</c:f>
              <c:numCache>
                <c:formatCode>"$"#,##0.00</c:formatCode>
                <c:ptCount val="9"/>
                <c:pt idx="0">
                  <c:v>19.594523809692873</c:v>
                </c:pt>
                <c:pt idx="1">
                  <c:v>21.791953850507149</c:v>
                </c:pt>
                <c:pt idx="2">
                  <c:v>29.417905922359026</c:v>
                </c:pt>
                <c:pt idx="3">
                  <c:v>34.759449305484445</c:v>
                </c:pt>
                <c:pt idx="4">
                  <c:v>35.645610306271934</c:v>
                </c:pt>
                <c:pt idx="5">
                  <c:v>50.143082563701789</c:v>
                </c:pt>
                <c:pt idx="6">
                  <c:v>46.937358965419818</c:v>
                </c:pt>
                <c:pt idx="7">
                  <c:v>56.072938948227474</c:v>
                </c:pt>
                <c:pt idx="8">
                  <c:v>63.286687417813425</c:v>
                </c:pt>
              </c:numCache>
            </c:numRef>
          </c:yVal>
          <c:smooth val="0"/>
          <c:extLst>
            <c:ext xmlns:c16="http://schemas.microsoft.com/office/drawing/2014/chart" uri="{C3380CC4-5D6E-409C-BE32-E72D297353CC}">
              <c16:uniqueId val="{00000007-01F7-4CD4-86C5-F0B0E8BA136D}"/>
            </c:ext>
          </c:extLst>
        </c:ser>
        <c:dLbls>
          <c:showLegendKey val="0"/>
          <c:showVal val="0"/>
          <c:showCatName val="0"/>
          <c:showSerName val="0"/>
          <c:showPercent val="0"/>
          <c:showBubbleSize val="0"/>
        </c:dLbls>
        <c:axId val="644337824"/>
        <c:axId val="644338808"/>
      </c:scatterChart>
      <c:valAx>
        <c:axId val="644337824"/>
        <c:scaling>
          <c:orientation val="minMax"/>
        </c:scaling>
        <c:delete val="0"/>
        <c:axPos val="b"/>
        <c:majorGridlines>
          <c:spPr>
            <a:ln w="9525" cap="flat" cmpd="sng" algn="ctr">
              <a:solidFill>
                <a:schemeClr val="tx1">
                  <a:lumMod val="15000"/>
                  <a:lumOff val="85000"/>
                </a:schemeClr>
              </a:solidFill>
              <a:round/>
            </a:ln>
            <a:effectLst/>
          </c:spPr>
        </c:majorGridlines>
        <c:title>
          <c:tx>
            <c:strRef>
              <c:f>cost!$B$3</c:f>
              <c:strCache>
                <c:ptCount val="1"/>
                <c:pt idx="0">
                  <c:v>Number of Pies (x1000)</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338808"/>
        <c:crosses val="autoZero"/>
        <c:crossBetween val="midCat"/>
      </c:valAx>
      <c:valAx>
        <c:axId val="644338808"/>
        <c:scaling>
          <c:orientation val="minMax"/>
        </c:scaling>
        <c:delete val="0"/>
        <c:axPos val="l"/>
        <c:majorGridlines>
          <c:spPr>
            <a:ln w="9525" cap="flat" cmpd="sng" algn="ctr">
              <a:solidFill>
                <a:schemeClr val="tx1">
                  <a:lumMod val="15000"/>
                  <a:lumOff val="85000"/>
                </a:schemeClr>
              </a:solidFill>
              <a:round/>
            </a:ln>
            <a:effectLst/>
          </c:spPr>
        </c:majorGridlines>
        <c:title>
          <c:tx>
            <c:strRef>
              <c:f>cost!$D$3</c:f>
              <c:strCache>
                <c:ptCount val="1"/>
                <c:pt idx="0">
                  <c:v>Actual Cost ($/1000 pies)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337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demand!$H$3</c:f>
              <c:strCache>
                <c:ptCount val="1"/>
                <c:pt idx="0">
                  <c:v>Demand</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0039370078740159E-4"/>
                  <c:y val="-0.258780985710119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demand!$I$4:$I$18</c:f>
              <c:numCache>
                <c:formatCode>General</c:formatCode>
                <c:ptCount val="1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numCache>
            </c:numRef>
          </c:xVal>
          <c:yVal>
            <c:numRef>
              <c:f>demand!$H$4:$H$18</c:f>
              <c:numCache>
                <c:formatCode>General</c:formatCode>
                <c:ptCount val="15"/>
                <c:pt idx="0">
                  <c:v>45000</c:v>
                </c:pt>
                <c:pt idx="1">
                  <c:v>40500</c:v>
                </c:pt>
                <c:pt idx="2">
                  <c:v>36000</c:v>
                </c:pt>
                <c:pt idx="3">
                  <c:v>31500</c:v>
                </c:pt>
                <c:pt idx="4">
                  <c:v>27000</c:v>
                </c:pt>
                <c:pt idx="5">
                  <c:v>22500</c:v>
                </c:pt>
                <c:pt idx="6">
                  <c:v>18000</c:v>
                </c:pt>
                <c:pt idx="7">
                  <c:v>13500</c:v>
                </c:pt>
                <c:pt idx="8">
                  <c:v>9000</c:v>
                </c:pt>
                <c:pt idx="9">
                  <c:v>4500</c:v>
                </c:pt>
                <c:pt idx="10">
                  <c:v>0</c:v>
                </c:pt>
                <c:pt idx="11">
                  <c:v>-4500</c:v>
                </c:pt>
                <c:pt idx="12">
                  <c:v>-9000</c:v>
                </c:pt>
                <c:pt idx="13">
                  <c:v>-13500</c:v>
                </c:pt>
                <c:pt idx="14">
                  <c:v>-18000</c:v>
                </c:pt>
              </c:numCache>
            </c:numRef>
          </c:yVal>
          <c:smooth val="0"/>
          <c:extLst>
            <c:ext xmlns:c16="http://schemas.microsoft.com/office/drawing/2014/chart" uri="{C3380CC4-5D6E-409C-BE32-E72D297353CC}">
              <c16:uniqueId val="{00000010-412C-45D4-B376-02483F1D4EDA}"/>
            </c:ext>
          </c:extLst>
        </c:ser>
        <c:dLbls>
          <c:showLegendKey val="0"/>
          <c:showVal val="0"/>
          <c:showCatName val="0"/>
          <c:showSerName val="0"/>
          <c:showPercent val="0"/>
          <c:showBubbleSize val="0"/>
        </c:dLbls>
        <c:axId val="538695656"/>
        <c:axId val="538689424"/>
      </c:scatterChart>
      <c:valAx>
        <c:axId val="538695656"/>
        <c:scaling>
          <c:orientation val="minMax"/>
        </c:scaling>
        <c:delete val="0"/>
        <c:axPos val="b"/>
        <c:majorGridlines>
          <c:spPr>
            <a:ln w="9525" cap="flat" cmpd="sng" algn="ctr">
              <a:solidFill>
                <a:schemeClr val="tx1">
                  <a:lumMod val="15000"/>
                  <a:lumOff val="85000"/>
                </a:schemeClr>
              </a:solidFill>
              <a:round/>
            </a:ln>
            <a:effectLst/>
          </c:spPr>
        </c:majorGridlines>
        <c:title>
          <c:tx>
            <c:strRef>
              <c:f>demand!$I$3</c:f>
              <c:strCache>
                <c:ptCount val="1"/>
                <c:pt idx="0">
                  <c:v>Price</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89424"/>
        <c:crosses val="autoZero"/>
        <c:crossBetween val="midCat"/>
      </c:valAx>
      <c:valAx>
        <c:axId val="538689424"/>
        <c:scaling>
          <c:orientation val="minMax"/>
        </c:scaling>
        <c:delete val="0"/>
        <c:axPos val="l"/>
        <c:majorGridlines>
          <c:spPr>
            <a:ln w="9525" cap="flat" cmpd="sng" algn="ctr">
              <a:solidFill>
                <a:schemeClr val="tx1">
                  <a:lumMod val="15000"/>
                  <a:lumOff val="85000"/>
                </a:schemeClr>
              </a:solidFill>
              <a:round/>
            </a:ln>
            <a:effectLst/>
          </c:spPr>
        </c:majorGridlines>
        <c:title>
          <c:tx>
            <c:strRef>
              <c:f>demand!$H$3</c:f>
              <c:strCache>
                <c:ptCount val="1"/>
                <c:pt idx="0">
                  <c:v>Demand</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6956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6" fmlaLink="settings!$I$3" horiz="1" max="100" noThreeD="1" page="10" val="0"/>
</file>

<file path=xl/ctrlProps/ctrlProp2.xml><?xml version="1.0" encoding="utf-8"?>
<formControlPr xmlns="http://schemas.microsoft.com/office/spreadsheetml/2009/9/main" objectType="Scroll" dx="26" fmlaLink="settings!$I$4" horiz="1" max="100" min="1" noThreeD="1" page="10"/>
</file>

<file path=xl/ctrlProps/ctrlProp3.xml><?xml version="1.0" encoding="utf-8"?>
<formControlPr xmlns="http://schemas.microsoft.com/office/spreadsheetml/2009/9/main" objectType="Scroll" dx="26" fmlaLink="settings!$I$5" horiz="1" max="100" min="1" noThreeD="1" page="1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137160</xdr:colOff>
      <xdr:row>1</xdr:row>
      <xdr:rowOff>156210</xdr:rowOff>
    </xdr:from>
    <xdr:to>
      <xdr:col>6</xdr:col>
      <xdr:colOff>323021</xdr:colOff>
      <xdr:row>17</xdr:row>
      <xdr:rowOff>30480</xdr:rowOff>
    </xdr:to>
    <xdr:graphicFrame macro="">
      <xdr:nvGraphicFramePr>
        <xdr:cNvPr id="2" name="Chart 1">
          <a:extLst>
            <a:ext uri="{FF2B5EF4-FFF2-40B4-BE49-F238E27FC236}">
              <a16:creationId xmlns:a16="http://schemas.microsoft.com/office/drawing/2014/main" id="{850EFF9F-CD4B-44A3-93B5-6759B0AC34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73881</xdr:colOff>
          <xdr:row>1</xdr:row>
          <xdr:rowOff>153393</xdr:rowOff>
        </xdr:from>
        <xdr:to>
          <xdr:col>10</xdr:col>
          <xdr:colOff>585084</xdr:colOff>
          <xdr:row>2</xdr:row>
          <xdr:rowOff>145774</xdr:rowOff>
        </xdr:to>
        <xdr:sp macro="" textlink="">
          <xdr:nvSpPr>
            <xdr:cNvPr id="11265" name="Scroll Bar 1"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oneCellAnchor>
        <xdr:from>
          <xdr:col>9</xdr:col>
          <xdr:colOff>73881</xdr:colOff>
          <xdr:row>3</xdr:row>
          <xdr:rowOff>993</xdr:rowOff>
        </xdr:from>
        <xdr:ext cx="1188720" cy="160020"/>
        <xdr:sp macro="" textlink="">
          <xdr:nvSpPr>
            <xdr:cNvPr id="11266" name="Scroll Bar 2" hidden="1">
              <a:extLst>
                <a:ext uri="{63B3BB69-23CF-44E3-9099-C40C66FF867C}">
                  <a14:compatExt spid="_x0000_s11266"/>
                </a:ext>
                <a:ext uri="{FF2B5EF4-FFF2-40B4-BE49-F238E27FC236}">
                  <a16:creationId xmlns:a16="http://schemas.microsoft.com/office/drawing/2014/main" id="{533D1A7D-2470-4E75-9278-4E67813558B1}"/>
                </a:ext>
              </a:extLst>
            </xdr:cNvPr>
            <xdr:cNvSpPr/>
          </xdr:nvSpPr>
          <xdr:spPr bwMode="auto">
            <a:xfrm>
              <a:off x="0" y="0"/>
              <a:ext cx="0" cy="0"/>
            </a:xfrm>
            <a:prstGeom prst="rect">
              <a:avLst/>
            </a:prstGeom>
            <a:noFill/>
            <a:ln w="9525">
              <a:miter lim="800000"/>
              <a:headEnd/>
              <a:tailEnd/>
            </a:ln>
          </xdr:spPr>
        </xdr:sp>
        <xdr:clientData/>
      </xdr:oneCellAnchor>
    </mc:Choice>
    <mc:Fallback/>
  </mc:AlternateContent>
  <mc:AlternateContent xmlns:mc="http://schemas.openxmlformats.org/markup-compatibility/2006">
    <mc:Choice xmlns:a14="http://schemas.microsoft.com/office/drawing/2010/main" Requires="a14">
      <xdr:twoCellAnchor editAs="oneCell">
        <xdr:from>
          <xdr:col>9</xdr:col>
          <xdr:colOff>73881</xdr:colOff>
          <xdr:row>4</xdr:row>
          <xdr:rowOff>0</xdr:rowOff>
        </xdr:from>
        <xdr:to>
          <xdr:col>10</xdr:col>
          <xdr:colOff>585084</xdr:colOff>
          <xdr:row>4</xdr:row>
          <xdr:rowOff>160020</xdr:rowOff>
        </xdr:to>
        <xdr:sp macro="" textlink="">
          <xdr:nvSpPr>
            <xdr:cNvPr id="11267" name="Scroll Bar 3" hidden="1">
              <a:extLst>
                <a:ext uri="{63B3BB69-23CF-44E3-9099-C40C66FF867C}">
                  <a14:compatExt spid="_x0000_s11267"/>
                </a:ext>
                <a:ext uri="{FF2B5EF4-FFF2-40B4-BE49-F238E27FC236}">
                  <a16:creationId xmlns:a16="http://schemas.microsoft.com/office/drawing/2014/main" id="{2B13568B-D8C8-497A-828E-211C9AEEBC1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310599</xdr:colOff>
      <xdr:row>1</xdr:row>
      <xdr:rowOff>127551</xdr:rowOff>
    </xdr:from>
    <xdr:to>
      <xdr:col>18</xdr:col>
      <xdr:colOff>115957</xdr:colOff>
      <xdr:row>17</xdr:row>
      <xdr:rowOff>57979</xdr:rowOff>
    </xdr:to>
    <xdr:graphicFrame macro="">
      <xdr:nvGraphicFramePr>
        <xdr:cNvPr id="3" name="Chart 2">
          <a:extLst>
            <a:ext uri="{FF2B5EF4-FFF2-40B4-BE49-F238E27FC236}">
              <a16:creationId xmlns:a16="http://schemas.microsoft.com/office/drawing/2014/main" id="{3A32E317-C78C-453C-8DEE-02DAD96D50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144463</xdr:rowOff>
    </xdr:from>
    <xdr:to>
      <xdr:col>6</xdr:col>
      <xdr:colOff>304800</xdr:colOff>
      <xdr:row>22</xdr:row>
      <xdr:rowOff>75752</xdr:rowOff>
    </xdr:to>
    <xdr:sp macro="" textlink="">
      <xdr:nvSpPr>
        <xdr:cNvPr id="2" name="Text Box 2">
          <a:extLst>
            <a:ext uri="{FF2B5EF4-FFF2-40B4-BE49-F238E27FC236}">
              <a16:creationId xmlns:a16="http://schemas.microsoft.com/office/drawing/2014/main" id="{E9A2BB88-4DD8-4C0A-86CD-F941090CF862}"/>
            </a:ext>
          </a:extLst>
        </xdr:cNvPr>
        <xdr:cNvSpPr txBox="1">
          <a:spLocks noChangeArrowheads="1"/>
        </xdr:cNvSpPr>
      </xdr:nvSpPr>
      <xdr:spPr bwMode="auto">
        <a:xfrm>
          <a:off x="609600" y="2103892"/>
          <a:ext cx="3352800" cy="1564146"/>
        </a:xfrm>
        <a:prstGeom prst="rect">
          <a:avLst/>
        </a:prstGeom>
        <a:noFill/>
        <a:ln w="12700">
          <a:noFill/>
          <a:miter lim="800000"/>
          <a:headEnd/>
          <a:tailEnd/>
        </a:ln>
        <a:effectLst/>
      </xdr:spPr>
      <xdr:txBody>
        <a:bodyPr wrap="square">
          <a:spAutoFit/>
        </a:bodyPr>
        <a:lstStyle>
          <a:defPPr>
            <a:defRPr lang="en-US"/>
          </a:defPPr>
          <a:lvl1pPr algn="l" rtl="0" eaLnBrk="0" fontAlgn="base" hangingPunct="0">
            <a:spcBef>
              <a:spcPct val="0"/>
            </a:spcBef>
            <a:spcAft>
              <a:spcPct val="0"/>
            </a:spcAft>
            <a:defRPr sz="2400" kern="1200">
              <a:solidFill>
                <a:schemeClr val="tx1"/>
              </a:solidFill>
              <a:latin typeface="Times New Roman" pitchFamily="18" charset="0"/>
              <a:ea typeface="+mn-ea"/>
              <a:cs typeface="+mn-cs"/>
            </a:defRPr>
          </a:lvl1pPr>
          <a:lvl2pPr marL="457200" algn="l" rtl="0" eaLnBrk="0" fontAlgn="base" hangingPunct="0">
            <a:spcBef>
              <a:spcPct val="0"/>
            </a:spcBef>
            <a:spcAft>
              <a:spcPct val="0"/>
            </a:spcAft>
            <a:defRPr sz="2400" kern="1200">
              <a:solidFill>
                <a:schemeClr val="tx1"/>
              </a:solidFill>
              <a:latin typeface="Times New Roman" pitchFamily="18" charset="0"/>
              <a:ea typeface="+mn-ea"/>
              <a:cs typeface="+mn-cs"/>
            </a:defRPr>
          </a:lvl2pPr>
          <a:lvl3pPr marL="914400" algn="l" rtl="0" eaLnBrk="0" fontAlgn="base" hangingPunct="0">
            <a:spcBef>
              <a:spcPct val="0"/>
            </a:spcBef>
            <a:spcAft>
              <a:spcPct val="0"/>
            </a:spcAft>
            <a:defRPr sz="2400" kern="1200">
              <a:solidFill>
                <a:schemeClr val="tx1"/>
              </a:solidFill>
              <a:latin typeface="Times New Roman" pitchFamily="18" charset="0"/>
              <a:ea typeface="+mn-ea"/>
              <a:cs typeface="+mn-cs"/>
            </a:defRPr>
          </a:lvl3pPr>
          <a:lvl4pPr marL="1371600" algn="l" rtl="0" eaLnBrk="0" fontAlgn="base" hangingPunct="0">
            <a:spcBef>
              <a:spcPct val="0"/>
            </a:spcBef>
            <a:spcAft>
              <a:spcPct val="0"/>
            </a:spcAft>
            <a:defRPr sz="2400" kern="1200">
              <a:solidFill>
                <a:schemeClr val="tx1"/>
              </a:solidFill>
              <a:latin typeface="Times New Roman" pitchFamily="18" charset="0"/>
              <a:ea typeface="+mn-ea"/>
              <a:cs typeface="+mn-cs"/>
            </a:defRPr>
          </a:lvl4pPr>
          <a:lvl5pPr marL="1828800" algn="l" rtl="0" eaLnBrk="0" fontAlgn="base" hangingPunct="0">
            <a:spcBef>
              <a:spcPct val="0"/>
            </a:spcBef>
            <a:spcAft>
              <a:spcPct val="0"/>
            </a:spcAft>
            <a:defRPr sz="2400" kern="1200">
              <a:solidFill>
                <a:schemeClr val="tx1"/>
              </a:solidFill>
              <a:latin typeface="Times New Roman" pitchFamily="18" charset="0"/>
              <a:ea typeface="+mn-ea"/>
              <a:cs typeface="+mn-cs"/>
            </a:defRPr>
          </a:lvl5pPr>
          <a:lvl6pPr marL="2286000" algn="l" defTabSz="914400" rtl="0" eaLnBrk="1" latinLnBrk="0" hangingPunct="1">
            <a:defRPr sz="2400" kern="1200">
              <a:solidFill>
                <a:schemeClr val="tx1"/>
              </a:solidFill>
              <a:latin typeface="Times New Roman" pitchFamily="18" charset="0"/>
              <a:ea typeface="+mn-ea"/>
              <a:cs typeface="+mn-cs"/>
            </a:defRPr>
          </a:lvl6pPr>
          <a:lvl7pPr marL="2743200" algn="l" defTabSz="914400" rtl="0" eaLnBrk="1" latinLnBrk="0" hangingPunct="1">
            <a:defRPr sz="2400" kern="1200">
              <a:solidFill>
                <a:schemeClr val="tx1"/>
              </a:solidFill>
              <a:latin typeface="Times New Roman" pitchFamily="18" charset="0"/>
              <a:ea typeface="+mn-ea"/>
              <a:cs typeface="+mn-cs"/>
            </a:defRPr>
          </a:lvl7pPr>
          <a:lvl8pPr marL="3200400" algn="l" defTabSz="914400" rtl="0" eaLnBrk="1" latinLnBrk="0" hangingPunct="1">
            <a:defRPr sz="2400" kern="1200">
              <a:solidFill>
                <a:schemeClr val="tx1"/>
              </a:solidFill>
              <a:latin typeface="Times New Roman" pitchFamily="18" charset="0"/>
              <a:ea typeface="+mn-ea"/>
              <a:cs typeface="+mn-cs"/>
            </a:defRPr>
          </a:lvl8pPr>
          <a:lvl9pPr marL="3657600" algn="l" defTabSz="914400" rtl="0" eaLnBrk="1" latinLnBrk="0" hangingPunct="1">
            <a:defRPr sz="2400" kern="1200">
              <a:solidFill>
                <a:schemeClr val="tx1"/>
              </a:solidFill>
              <a:latin typeface="Times New Roman" pitchFamily="18" charset="0"/>
              <a:ea typeface="+mn-ea"/>
              <a:cs typeface="+mn-cs"/>
            </a:defRPr>
          </a:lvl9pPr>
        </a:lstStyle>
        <a:p>
          <a:pPr algn="just">
            <a:spcBef>
              <a:spcPct val="50000"/>
            </a:spcBef>
          </a:pPr>
          <a:r>
            <a:rPr lang="en-US" sz="2000" b="1">
              <a:latin typeface="Arial Narrow" pitchFamily="34" charset="0"/>
              <a:cs typeface="Times New Roman" pitchFamily="18" charset="0"/>
            </a:rPr>
            <a:t>1.</a:t>
          </a:r>
          <a:r>
            <a:rPr lang="en-US" sz="2000">
              <a:latin typeface="Arial Narrow" pitchFamily="34" charset="0"/>
              <a:cs typeface="Times New Roman" pitchFamily="18" charset="0"/>
            </a:rPr>
            <a:t>  Make-A-Pie continues to track weekly processing costs. New data appears</a:t>
          </a:r>
          <a:r>
            <a:rPr lang="en-US" sz="2000" baseline="0">
              <a:latin typeface="Arial Narrow" pitchFamily="34" charset="0"/>
              <a:cs typeface="Times New Roman" pitchFamily="18" charset="0"/>
            </a:rPr>
            <a:t> below</a:t>
          </a:r>
          <a:r>
            <a:rPr lang="en-US" sz="2000">
              <a:latin typeface="Arial Narrow" pitchFamily="34" charset="0"/>
              <a:cs typeface="Times New Roman" pitchFamily="18" charset="0"/>
            </a:rPr>
            <a:t>.  </a:t>
          </a:r>
          <a:r>
            <a:rPr lang="en-US" sz="2000" b="1">
              <a:latin typeface="Arial Narrow" pitchFamily="34" charset="0"/>
              <a:cs typeface="Times New Roman" pitchFamily="18" charset="0"/>
            </a:rPr>
            <a:t>What is the relationship between output volume and processing</a:t>
          </a:r>
          <a:r>
            <a:rPr lang="en-US" sz="2000" b="1" baseline="0">
              <a:latin typeface="Arial Narrow" pitchFamily="34" charset="0"/>
              <a:cs typeface="Times New Roman" pitchFamily="18" charset="0"/>
            </a:rPr>
            <a:t> cost</a:t>
          </a:r>
          <a:r>
            <a:rPr lang="en-US" sz="2000" b="1">
              <a:latin typeface="Arial Narrow" pitchFamily="34" charset="0"/>
              <a:cs typeface="Times New Roman" pitchFamily="18" charset="0"/>
            </a:rPr>
            <a:t>?</a:t>
          </a:r>
          <a:r>
            <a:rPr lang="en-US" sz="2000">
              <a:latin typeface="Arial Narrow" pitchFamily="34" charset="0"/>
              <a:cs typeface="Times New Roman" pitchFamily="18" charset="0"/>
            </a:rPr>
            <a:t> </a:t>
          </a:r>
        </a:p>
      </xdr:txBody>
    </xdr:sp>
    <xdr:clientData/>
  </xdr:twoCellAnchor>
  <xdr:twoCellAnchor>
    <xdr:from>
      <xdr:col>1</xdr:col>
      <xdr:colOff>19050</xdr:colOff>
      <xdr:row>1</xdr:row>
      <xdr:rowOff>9525</xdr:rowOff>
    </xdr:from>
    <xdr:to>
      <xdr:col>14</xdr:col>
      <xdr:colOff>247650</xdr:colOff>
      <xdr:row>12</xdr:row>
      <xdr:rowOff>59337</xdr:rowOff>
    </xdr:to>
    <xdr:sp macro="" textlink="">
      <xdr:nvSpPr>
        <xdr:cNvPr id="3" name="Text Box 4">
          <a:extLst>
            <a:ext uri="{FF2B5EF4-FFF2-40B4-BE49-F238E27FC236}">
              <a16:creationId xmlns:a16="http://schemas.microsoft.com/office/drawing/2014/main" id="{18357293-3D34-447A-A1F0-6EB96DA1FC23}"/>
            </a:ext>
          </a:extLst>
        </xdr:cNvPr>
        <xdr:cNvSpPr txBox="1">
          <a:spLocks noChangeArrowheads="1"/>
        </xdr:cNvSpPr>
      </xdr:nvSpPr>
      <xdr:spPr bwMode="auto">
        <a:xfrm>
          <a:off x="628650" y="172811"/>
          <a:ext cx="8153400" cy="1845955"/>
        </a:xfrm>
        <a:prstGeom prst="rect">
          <a:avLst/>
        </a:prstGeom>
        <a:noFill/>
        <a:ln w="12700">
          <a:noFill/>
          <a:miter lim="800000"/>
          <a:headEnd/>
          <a:tailEnd/>
        </a:ln>
        <a:effectLst/>
      </xdr:spPr>
      <xdr:txBody>
        <a:bodyPr wrap="square">
          <a:spAutoFit/>
        </a:bodyPr>
        <a:lstStyle>
          <a:defPPr>
            <a:defRPr lang="en-US"/>
          </a:defPPr>
          <a:lvl1pPr algn="l" rtl="0" eaLnBrk="0" fontAlgn="base" hangingPunct="0">
            <a:spcBef>
              <a:spcPct val="0"/>
            </a:spcBef>
            <a:spcAft>
              <a:spcPct val="0"/>
            </a:spcAft>
            <a:defRPr sz="2400" kern="1200">
              <a:solidFill>
                <a:schemeClr val="tx1"/>
              </a:solidFill>
              <a:latin typeface="Times New Roman" pitchFamily="18" charset="0"/>
              <a:ea typeface="+mn-ea"/>
              <a:cs typeface="+mn-cs"/>
            </a:defRPr>
          </a:lvl1pPr>
          <a:lvl2pPr marL="457200" algn="l" rtl="0" eaLnBrk="0" fontAlgn="base" hangingPunct="0">
            <a:spcBef>
              <a:spcPct val="0"/>
            </a:spcBef>
            <a:spcAft>
              <a:spcPct val="0"/>
            </a:spcAft>
            <a:defRPr sz="2400" kern="1200">
              <a:solidFill>
                <a:schemeClr val="tx1"/>
              </a:solidFill>
              <a:latin typeface="Times New Roman" pitchFamily="18" charset="0"/>
              <a:ea typeface="+mn-ea"/>
              <a:cs typeface="+mn-cs"/>
            </a:defRPr>
          </a:lvl2pPr>
          <a:lvl3pPr marL="914400" algn="l" rtl="0" eaLnBrk="0" fontAlgn="base" hangingPunct="0">
            <a:spcBef>
              <a:spcPct val="0"/>
            </a:spcBef>
            <a:spcAft>
              <a:spcPct val="0"/>
            </a:spcAft>
            <a:defRPr sz="2400" kern="1200">
              <a:solidFill>
                <a:schemeClr val="tx1"/>
              </a:solidFill>
              <a:latin typeface="Times New Roman" pitchFamily="18" charset="0"/>
              <a:ea typeface="+mn-ea"/>
              <a:cs typeface="+mn-cs"/>
            </a:defRPr>
          </a:lvl3pPr>
          <a:lvl4pPr marL="1371600" algn="l" rtl="0" eaLnBrk="0" fontAlgn="base" hangingPunct="0">
            <a:spcBef>
              <a:spcPct val="0"/>
            </a:spcBef>
            <a:spcAft>
              <a:spcPct val="0"/>
            </a:spcAft>
            <a:defRPr sz="2400" kern="1200">
              <a:solidFill>
                <a:schemeClr val="tx1"/>
              </a:solidFill>
              <a:latin typeface="Times New Roman" pitchFamily="18" charset="0"/>
              <a:ea typeface="+mn-ea"/>
              <a:cs typeface="+mn-cs"/>
            </a:defRPr>
          </a:lvl4pPr>
          <a:lvl5pPr marL="1828800" algn="l" rtl="0" eaLnBrk="0" fontAlgn="base" hangingPunct="0">
            <a:spcBef>
              <a:spcPct val="0"/>
            </a:spcBef>
            <a:spcAft>
              <a:spcPct val="0"/>
            </a:spcAft>
            <a:defRPr sz="2400" kern="1200">
              <a:solidFill>
                <a:schemeClr val="tx1"/>
              </a:solidFill>
              <a:latin typeface="Times New Roman" pitchFamily="18" charset="0"/>
              <a:ea typeface="+mn-ea"/>
              <a:cs typeface="+mn-cs"/>
            </a:defRPr>
          </a:lvl5pPr>
          <a:lvl6pPr marL="2286000" algn="l" defTabSz="914400" rtl="0" eaLnBrk="1" latinLnBrk="0" hangingPunct="1">
            <a:defRPr sz="2400" kern="1200">
              <a:solidFill>
                <a:schemeClr val="tx1"/>
              </a:solidFill>
              <a:latin typeface="Times New Roman" pitchFamily="18" charset="0"/>
              <a:ea typeface="+mn-ea"/>
              <a:cs typeface="+mn-cs"/>
            </a:defRPr>
          </a:lvl6pPr>
          <a:lvl7pPr marL="2743200" algn="l" defTabSz="914400" rtl="0" eaLnBrk="1" latinLnBrk="0" hangingPunct="1">
            <a:defRPr sz="2400" kern="1200">
              <a:solidFill>
                <a:schemeClr val="tx1"/>
              </a:solidFill>
              <a:latin typeface="Times New Roman" pitchFamily="18" charset="0"/>
              <a:ea typeface="+mn-ea"/>
              <a:cs typeface="+mn-cs"/>
            </a:defRPr>
          </a:lvl7pPr>
          <a:lvl8pPr marL="3200400" algn="l" defTabSz="914400" rtl="0" eaLnBrk="1" latinLnBrk="0" hangingPunct="1">
            <a:defRPr sz="2400" kern="1200">
              <a:solidFill>
                <a:schemeClr val="tx1"/>
              </a:solidFill>
              <a:latin typeface="Times New Roman" pitchFamily="18" charset="0"/>
              <a:ea typeface="+mn-ea"/>
              <a:cs typeface="+mn-cs"/>
            </a:defRPr>
          </a:lvl8pPr>
          <a:lvl9pPr marL="3657600" algn="l" defTabSz="914400" rtl="0" eaLnBrk="1" latinLnBrk="0" hangingPunct="1">
            <a:defRPr sz="2400" kern="1200">
              <a:solidFill>
                <a:schemeClr val="tx1"/>
              </a:solidFill>
              <a:latin typeface="Times New Roman" pitchFamily="18" charset="0"/>
              <a:ea typeface="+mn-ea"/>
              <a:cs typeface="+mn-cs"/>
            </a:defRPr>
          </a:lvl9pPr>
        </a:lstStyle>
        <a:p>
          <a:pPr algn="ctr">
            <a:spcBef>
              <a:spcPct val="50000"/>
            </a:spcBef>
          </a:pPr>
          <a:r>
            <a:rPr lang="en-US">
              <a:solidFill>
                <a:schemeClr val="accent1"/>
              </a:solidFill>
              <a:latin typeface="Comic Sans MS" pitchFamily="66" charset="0"/>
              <a:cs typeface="Times New Roman" pitchFamily="18" charset="0"/>
            </a:rPr>
            <a:t>Make-A-Pie Co. (again)</a:t>
          </a:r>
        </a:p>
        <a:p>
          <a:pPr algn="just">
            <a:spcBef>
              <a:spcPct val="50000"/>
            </a:spcBef>
          </a:pPr>
          <a:r>
            <a:rPr lang="en-US" sz="2000">
              <a:latin typeface="Arial Narrow" pitchFamily="34" charset="0"/>
              <a:cs typeface="Times New Roman" pitchFamily="18" charset="0"/>
            </a:rPr>
            <a:t>Make-A-Pie Co. continurs to generate profit by combining two purchased ingredients (vegan</a:t>
          </a:r>
          <a:r>
            <a:rPr lang="en-US" sz="2000" baseline="0">
              <a:latin typeface="Arial Narrow" pitchFamily="34" charset="0"/>
              <a:cs typeface="Times New Roman" pitchFamily="18" charset="0"/>
            </a:rPr>
            <a:t> filling </a:t>
          </a:r>
          <a:r>
            <a:rPr lang="en-US" sz="2000">
              <a:latin typeface="Arial Narrow" pitchFamily="34" charset="0"/>
              <a:cs typeface="Times New Roman" pitchFamily="18" charset="0"/>
            </a:rPr>
            <a:t>and  sprouted flour</a:t>
          </a:r>
          <a:r>
            <a:rPr lang="en-US" sz="2000" baseline="0">
              <a:latin typeface="Arial Narrow" pitchFamily="34" charset="0"/>
              <a:cs typeface="Times New Roman" pitchFamily="18" charset="0"/>
            </a:rPr>
            <a:t> </a:t>
          </a:r>
          <a:r>
            <a:rPr lang="en-US" sz="2000">
              <a:latin typeface="Arial Narrow" pitchFamily="34" charset="0"/>
              <a:cs typeface="Times New Roman" pitchFamily="18" charset="0"/>
            </a:rPr>
            <a:t>dough) into pies, processing the pies (cooking, packaging, &amp; delivering), and selling them to local grocery stores. Tortiere</a:t>
          </a:r>
          <a:r>
            <a:rPr lang="en-US" sz="2000" baseline="0">
              <a:latin typeface="Arial Narrow" pitchFamily="34" charset="0"/>
              <a:cs typeface="Times New Roman" pitchFamily="18" charset="0"/>
            </a:rPr>
            <a:t> continues to struggle with pricing in a more volatile environment.</a:t>
          </a:r>
          <a:endParaRPr lang="en-US" sz="2000">
            <a:latin typeface="Arial Narrow" pitchFamily="34" charset="0"/>
          </a:endParaRPr>
        </a:p>
      </xdr:txBody>
    </xdr:sp>
    <xdr:clientData/>
  </xdr:twoCellAnchor>
  <xdr:twoCellAnchor>
    <xdr:from>
      <xdr:col>7</xdr:col>
      <xdr:colOff>304799</xdr:colOff>
      <xdr:row>12</xdr:row>
      <xdr:rowOff>152400</xdr:rowOff>
    </xdr:from>
    <xdr:to>
      <xdr:col>14</xdr:col>
      <xdr:colOff>244928</xdr:colOff>
      <xdr:row>26</xdr:row>
      <xdr:rowOff>96356</xdr:rowOff>
    </xdr:to>
    <xdr:sp macro="" textlink="">
      <xdr:nvSpPr>
        <xdr:cNvPr id="4" name="Text Box 5">
          <a:extLst>
            <a:ext uri="{FF2B5EF4-FFF2-40B4-BE49-F238E27FC236}">
              <a16:creationId xmlns:a16="http://schemas.microsoft.com/office/drawing/2014/main" id="{129CFB26-9905-4BD8-A389-D1B70902D5ED}"/>
            </a:ext>
          </a:extLst>
        </xdr:cNvPr>
        <xdr:cNvSpPr txBox="1">
          <a:spLocks noChangeArrowheads="1"/>
        </xdr:cNvSpPr>
      </xdr:nvSpPr>
      <xdr:spPr bwMode="auto">
        <a:xfrm>
          <a:off x="4571999" y="2111829"/>
          <a:ext cx="4207329" cy="2741584"/>
        </a:xfrm>
        <a:prstGeom prst="rect">
          <a:avLst/>
        </a:prstGeom>
        <a:noFill/>
        <a:ln w="12700">
          <a:noFill/>
          <a:miter lim="800000"/>
          <a:headEnd/>
          <a:tailEnd/>
        </a:ln>
        <a:effectLst/>
      </xdr:spPr>
      <xdr:txBody>
        <a:bodyPr wrap="square">
          <a:spAutoFit/>
        </a:bodyPr>
        <a:lstStyle>
          <a:defPPr>
            <a:defRPr lang="en-US"/>
          </a:defPPr>
          <a:lvl1pPr algn="l" rtl="0" eaLnBrk="0" fontAlgn="base" hangingPunct="0">
            <a:spcBef>
              <a:spcPct val="0"/>
            </a:spcBef>
            <a:spcAft>
              <a:spcPct val="0"/>
            </a:spcAft>
            <a:defRPr sz="2400" kern="1200">
              <a:solidFill>
                <a:schemeClr val="tx1"/>
              </a:solidFill>
              <a:latin typeface="Times New Roman" pitchFamily="18" charset="0"/>
              <a:ea typeface="+mn-ea"/>
              <a:cs typeface="+mn-cs"/>
            </a:defRPr>
          </a:lvl1pPr>
          <a:lvl2pPr marL="457200" algn="l" rtl="0" eaLnBrk="0" fontAlgn="base" hangingPunct="0">
            <a:spcBef>
              <a:spcPct val="0"/>
            </a:spcBef>
            <a:spcAft>
              <a:spcPct val="0"/>
            </a:spcAft>
            <a:defRPr sz="2400" kern="1200">
              <a:solidFill>
                <a:schemeClr val="tx1"/>
              </a:solidFill>
              <a:latin typeface="Times New Roman" pitchFamily="18" charset="0"/>
              <a:ea typeface="+mn-ea"/>
              <a:cs typeface="+mn-cs"/>
            </a:defRPr>
          </a:lvl2pPr>
          <a:lvl3pPr marL="914400" algn="l" rtl="0" eaLnBrk="0" fontAlgn="base" hangingPunct="0">
            <a:spcBef>
              <a:spcPct val="0"/>
            </a:spcBef>
            <a:spcAft>
              <a:spcPct val="0"/>
            </a:spcAft>
            <a:defRPr sz="2400" kern="1200">
              <a:solidFill>
                <a:schemeClr val="tx1"/>
              </a:solidFill>
              <a:latin typeface="Times New Roman" pitchFamily="18" charset="0"/>
              <a:ea typeface="+mn-ea"/>
              <a:cs typeface="+mn-cs"/>
            </a:defRPr>
          </a:lvl3pPr>
          <a:lvl4pPr marL="1371600" algn="l" rtl="0" eaLnBrk="0" fontAlgn="base" hangingPunct="0">
            <a:spcBef>
              <a:spcPct val="0"/>
            </a:spcBef>
            <a:spcAft>
              <a:spcPct val="0"/>
            </a:spcAft>
            <a:defRPr sz="2400" kern="1200">
              <a:solidFill>
                <a:schemeClr val="tx1"/>
              </a:solidFill>
              <a:latin typeface="Times New Roman" pitchFamily="18" charset="0"/>
              <a:ea typeface="+mn-ea"/>
              <a:cs typeface="+mn-cs"/>
            </a:defRPr>
          </a:lvl4pPr>
          <a:lvl5pPr marL="1828800" algn="l" rtl="0" eaLnBrk="0" fontAlgn="base" hangingPunct="0">
            <a:spcBef>
              <a:spcPct val="0"/>
            </a:spcBef>
            <a:spcAft>
              <a:spcPct val="0"/>
            </a:spcAft>
            <a:defRPr sz="2400" kern="1200">
              <a:solidFill>
                <a:schemeClr val="tx1"/>
              </a:solidFill>
              <a:latin typeface="Times New Roman" pitchFamily="18" charset="0"/>
              <a:ea typeface="+mn-ea"/>
              <a:cs typeface="+mn-cs"/>
            </a:defRPr>
          </a:lvl5pPr>
          <a:lvl6pPr marL="2286000" algn="l" defTabSz="914400" rtl="0" eaLnBrk="1" latinLnBrk="0" hangingPunct="1">
            <a:defRPr sz="2400" kern="1200">
              <a:solidFill>
                <a:schemeClr val="tx1"/>
              </a:solidFill>
              <a:latin typeface="Times New Roman" pitchFamily="18" charset="0"/>
              <a:ea typeface="+mn-ea"/>
              <a:cs typeface="+mn-cs"/>
            </a:defRPr>
          </a:lvl6pPr>
          <a:lvl7pPr marL="2743200" algn="l" defTabSz="914400" rtl="0" eaLnBrk="1" latinLnBrk="0" hangingPunct="1">
            <a:defRPr sz="2400" kern="1200">
              <a:solidFill>
                <a:schemeClr val="tx1"/>
              </a:solidFill>
              <a:latin typeface="Times New Roman" pitchFamily="18" charset="0"/>
              <a:ea typeface="+mn-ea"/>
              <a:cs typeface="+mn-cs"/>
            </a:defRPr>
          </a:lvl7pPr>
          <a:lvl8pPr marL="3200400" algn="l" defTabSz="914400" rtl="0" eaLnBrk="1" latinLnBrk="0" hangingPunct="1">
            <a:defRPr sz="2400" kern="1200">
              <a:solidFill>
                <a:schemeClr val="tx1"/>
              </a:solidFill>
              <a:latin typeface="Times New Roman" pitchFamily="18" charset="0"/>
              <a:ea typeface="+mn-ea"/>
              <a:cs typeface="+mn-cs"/>
            </a:defRPr>
          </a:lvl8pPr>
          <a:lvl9pPr marL="3657600" algn="l" defTabSz="914400" rtl="0" eaLnBrk="1" latinLnBrk="0" hangingPunct="1">
            <a:defRPr sz="2400" kern="1200">
              <a:solidFill>
                <a:schemeClr val="tx1"/>
              </a:solidFill>
              <a:latin typeface="Times New Roman" pitchFamily="18" charset="0"/>
              <a:ea typeface="+mn-ea"/>
              <a:cs typeface="+mn-cs"/>
            </a:defRPr>
          </a:lvl9pPr>
        </a:lstStyle>
        <a:p>
          <a:pPr algn="just">
            <a:spcBef>
              <a:spcPct val="50000"/>
            </a:spcBef>
          </a:pPr>
          <a:r>
            <a:rPr lang="en-US" sz="2000" b="1">
              <a:latin typeface="Arial Narrow" pitchFamily="34" charset="0"/>
              <a:cs typeface="Times New Roman" pitchFamily="18" charset="0"/>
            </a:rPr>
            <a:t>2</a:t>
          </a:r>
          <a:r>
            <a:rPr lang="en-US" sz="2000">
              <a:latin typeface="Arial Narrow" pitchFamily="34" charset="0"/>
              <a:cs typeface="Times New Roman" pitchFamily="18" charset="0"/>
            </a:rPr>
            <a:t>. Recent</a:t>
          </a:r>
          <a:r>
            <a:rPr lang="en-US" sz="2000" baseline="0">
              <a:latin typeface="Arial Narrow" pitchFamily="34" charset="0"/>
              <a:cs typeface="Times New Roman" pitchFamily="18" charset="0"/>
            </a:rPr>
            <a:t> store surveys reveal </a:t>
          </a:r>
          <a:r>
            <a:rPr lang="en-US" sz="2000">
              <a:latin typeface="Arial Narrow" pitchFamily="34" charset="0"/>
              <a:cs typeface="Times New Roman" pitchFamily="18" charset="0"/>
            </a:rPr>
            <a:t>that there will be no demand for prices above $10, but demand increases by about 4,500 pies per week for each dollar price decrease below $10.  For example, at a price of $8 Make-A-Pie could expect demand of 9,000 pies.  </a:t>
          </a:r>
          <a:r>
            <a:rPr lang="en-US" sz="2000" b="1">
              <a:latin typeface="Arial Narrow" pitchFamily="34" charset="0"/>
              <a:cs typeface="Times New Roman" pitchFamily="18" charset="0"/>
            </a:rPr>
            <a:t>Propose an algebraic model that shows the relationship between price and revenue.</a:t>
          </a:r>
          <a:endParaRPr lang="en-US" sz="2000" b="1">
            <a:latin typeface="Arial Narrow" pitchFamily="34" charset="0"/>
          </a:endParaRPr>
        </a:p>
      </xdr:txBody>
    </xdr:sp>
    <xdr:clientData/>
  </xdr:twoCellAnchor>
  <xdr:twoCellAnchor>
    <xdr:from>
      <xdr:col>5</xdr:col>
      <xdr:colOff>204107</xdr:colOff>
      <xdr:row>26</xdr:row>
      <xdr:rowOff>10885</xdr:rowOff>
    </xdr:from>
    <xdr:to>
      <xdr:col>14</xdr:col>
      <xdr:colOff>217714</xdr:colOff>
      <xdr:row>36</xdr:row>
      <xdr:rowOff>21995</xdr:rowOff>
    </xdr:to>
    <xdr:sp macro="" textlink="">
      <xdr:nvSpPr>
        <xdr:cNvPr id="5" name="Text Box 6">
          <a:extLst>
            <a:ext uri="{FF2B5EF4-FFF2-40B4-BE49-F238E27FC236}">
              <a16:creationId xmlns:a16="http://schemas.microsoft.com/office/drawing/2014/main" id="{F560BF5B-3A0F-43D0-84E0-03699209D743}"/>
            </a:ext>
          </a:extLst>
        </xdr:cNvPr>
        <xdr:cNvSpPr txBox="1">
          <a:spLocks noChangeArrowheads="1"/>
        </xdr:cNvSpPr>
      </xdr:nvSpPr>
      <xdr:spPr bwMode="auto">
        <a:xfrm>
          <a:off x="3252107" y="4767942"/>
          <a:ext cx="5500007" cy="1643967"/>
        </a:xfrm>
        <a:prstGeom prst="rect">
          <a:avLst/>
        </a:prstGeom>
        <a:noFill/>
        <a:ln w="12700">
          <a:noFill/>
          <a:miter lim="800000"/>
          <a:headEnd/>
          <a:tailEnd/>
        </a:ln>
        <a:effectLst/>
      </xdr:spPr>
      <xdr:txBody>
        <a:bodyPr wrap="square">
          <a:noAutofit/>
        </a:bodyPr>
        <a:lstStyle>
          <a:defPPr>
            <a:defRPr lang="en-US"/>
          </a:defPPr>
          <a:lvl1pPr algn="l" rtl="0" eaLnBrk="0" fontAlgn="base" hangingPunct="0">
            <a:spcBef>
              <a:spcPct val="0"/>
            </a:spcBef>
            <a:spcAft>
              <a:spcPct val="0"/>
            </a:spcAft>
            <a:defRPr sz="2400" kern="1200">
              <a:solidFill>
                <a:schemeClr val="tx1"/>
              </a:solidFill>
              <a:latin typeface="Times New Roman" pitchFamily="18" charset="0"/>
              <a:ea typeface="+mn-ea"/>
              <a:cs typeface="+mn-cs"/>
            </a:defRPr>
          </a:lvl1pPr>
          <a:lvl2pPr marL="457200" algn="l" rtl="0" eaLnBrk="0" fontAlgn="base" hangingPunct="0">
            <a:spcBef>
              <a:spcPct val="0"/>
            </a:spcBef>
            <a:spcAft>
              <a:spcPct val="0"/>
            </a:spcAft>
            <a:defRPr sz="2400" kern="1200">
              <a:solidFill>
                <a:schemeClr val="tx1"/>
              </a:solidFill>
              <a:latin typeface="Times New Roman" pitchFamily="18" charset="0"/>
              <a:ea typeface="+mn-ea"/>
              <a:cs typeface="+mn-cs"/>
            </a:defRPr>
          </a:lvl2pPr>
          <a:lvl3pPr marL="914400" algn="l" rtl="0" eaLnBrk="0" fontAlgn="base" hangingPunct="0">
            <a:spcBef>
              <a:spcPct val="0"/>
            </a:spcBef>
            <a:spcAft>
              <a:spcPct val="0"/>
            </a:spcAft>
            <a:defRPr sz="2400" kern="1200">
              <a:solidFill>
                <a:schemeClr val="tx1"/>
              </a:solidFill>
              <a:latin typeface="Times New Roman" pitchFamily="18" charset="0"/>
              <a:ea typeface="+mn-ea"/>
              <a:cs typeface="+mn-cs"/>
            </a:defRPr>
          </a:lvl3pPr>
          <a:lvl4pPr marL="1371600" algn="l" rtl="0" eaLnBrk="0" fontAlgn="base" hangingPunct="0">
            <a:spcBef>
              <a:spcPct val="0"/>
            </a:spcBef>
            <a:spcAft>
              <a:spcPct val="0"/>
            </a:spcAft>
            <a:defRPr sz="2400" kern="1200">
              <a:solidFill>
                <a:schemeClr val="tx1"/>
              </a:solidFill>
              <a:latin typeface="Times New Roman" pitchFamily="18" charset="0"/>
              <a:ea typeface="+mn-ea"/>
              <a:cs typeface="+mn-cs"/>
            </a:defRPr>
          </a:lvl4pPr>
          <a:lvl5pPr marL="1828800" algn="l" rtl="0" eaLnBrk="0" fontAlgn="base" hangingPunct="0">
            <a:spcBef>
              <a:spcPct val="0"/>
            </a:spcBef>
            <a:spcAft>
              <a:spcPct val="0"/>
            </a:spcAft>
            <a:defRPr sz="2400" kern="1200">
              <a:solidFill>
                <a:schemeClr val="tx1"/>
              </a:solidFill>
              <a:latin typeface="Times New Roman" pitchFamily="18" charset="0"/>
              <a:ea typeface="+mn-ea"/>
              <a:cs typeface="+mn-cs"/>
            </a:defRPr>
          </a:lvl5pPr>
          <a:lvl6pPr marL="2286000" algn="l" defTabSz="914400" rtl="0" eaLnBrk="1" latinLnBrk="0" hangingPunct="1">
            <a:defRPr sz="2400" kern="1200">
              <a:solidFill>
                <a:schemeClr val="tx1"/>
              </a:solidFill>
              <a:latin typeface="Times New Roman" pitchFamily="18" charset="0"/>
              <a:ea typeface="+mn-ea"/>
              <a:cs typeface="+mn-cs"/>
            </a:defRPr>
          </a:lvl6pPr>
          <a:lvl7pPr marL="2743200" algn="l" defTabSz="914400" rtl="0" eaLnBrk="1" latinLnBrk="0" hangingPunct="1">
            <a:defRPr sz="2400" kern="1200">
              <a:solidFill>
                <a:schemeClr val="tx1"/>
              </a:solidFill>
              <a:latin typeface="Times New Roman" pitchFamily="18" charset="0"/>
              <a:ea typeface="+mn-ea"/>
              <a:cs typeface="+mn-cs"/>
            </a:defRPr>
          </a:lvl7pPr>
          <a:lvl8pPr marL="3200400" algn="l" defTabSz="914400" rtl="0" eaLnBrk="1" latinLnBrk="0" hangingPunct="1">
            <a:defRPr sz="2400" kern="1200">
              <a:solidFill>
                <a:schemeClr val="tx1"/>
              </a:solidFill>
              <a:latin typeface="Times New Roman" pitchFamily="18" charset="0"/>
              <a:ea typeface="+mn-ea"/>
              <a:cs typeface="+mn-cs"/>
            </a:defRPr>
          </a:lvl8pPr>
          <a:lvl9pPr marL="3657600" algn="l" defTabSz="914400" rtl="0" eaLnBrk="1" latinLnBrk="0" hangingPunct="1">
            <a:defRPr sz="2400" kern="1200">
              <a:solidFill>
                <a:schemeClr val="tx1"/>
              </a:solidFill>
              <a:latin typeface="Times New Roman" pitchFamily="18" charset="0"/>
              <a:ea typeface="+mn-ea"/>
              <a:cs typeface="+mn-cs"/>
            </a:defRPr>
          </a:lvl9pPr>
        </a:lstStyle>
        <a:p>
          <a:pPr algn="just">
            <a:spcBef>
              <a:spcPct val="50000"/>
            </a:spcBef>
          </a:pPr>
          <a:r>
            <a:rPr lang="en-US" sz="2000" b="1">
              <a:latin typeface="Arial Narrow" pitchFamily="34" charset="0"/>
              <a:cs typeface="Times New Roman" pitchFamily="18" charset="0"/>
            </a:rPr>
            <a:t>3.</a:t>
          </a:r>
          <a:r>
            <a:rPr lang="en-US" sz="2000">
              <a:latin typeface="Arial Narrow" pitchFamily="34" charset="0"/>
              <a:cs typeface="Times New Roman" pitchFamily="18" charset="0"/>
            </a:rPr>
            <a:t>  Supply shortages abound,</a:t>
          </a:r>
          <a:r>
            <a:rPr lang="en-US" sz="2000" baseline="0">
              <a:latin typeface="Arial Narrow" pitchFamily="34" charset="0"/>
              <a:cs typeface="Times New Roman" pitchFamily="18" charset="0"/>
            </a:rPr>
            <a:t> increasing costs across all activities. </a:t>
          </a:r>
          <a:r>
            <a:rPr lang="en-US" sz="2000">
              <a:latin typeface="Arial Narrow" pitchFamily="34" charset="0"/>
              <a:cs typeface="Times New Roman" pitchFamily="18" charset="0"/>
            </a:rPr>
            <a:t>Vegan filling costs $4.12/pie, and sprouted</a:t>
          </a:r>
          <a:r>
            <a:rPr lang="en-US" sz="2000" baseline="0">
              <a:latin typeface="Arial Narrow" pitchFamily="34" charset="0"/>
              <a:cs typeface="Times New Roman" pitchFamily="18" charset="0"/>
            </a:rPr>
            <a:t> flour</a:t>
          </a:r>
          <a:r>
            <a:rPr lang="en-US" sz="2000">
              <a:latin typeface="Arial Narrow" pitchFamily="34" charset="0"/>
              <a:cs typeface="Times New Roman" pitchFamily="18" charset="0"/>
            </a:rPr>
            <a:t> dough costs $0.40/pie.  Overhead expenses are $15,000 per week. </a:t>
          </a:r>
          <a:r>
            <a:rPr lang="en-US" sz="2000" b="1">
              <a:latin typeface="Arial Narrow" pitchFamily="34" charset="0"/>
              <a:cs typeface="Times New Roman" pitchFamily="18" charset="0"/>
            </a:rPr>
            <a:t>At what pie price will Make-A-Pie maximize profit? At what price will Make-A-Pie break even?</a:t>
          </a:r>
          <a:endParaRPr lang="en-US" sz="2000" b="1">
            <a:latin typeface="Arial Narrow" pitchFamily="34" charset="0"/>
          </a:endParaRPr>
        </a:p>
      </xdr:txBody>
    </xdr:sp>
    <xdr:clientData/>
  </xdr:twoCellAnchor>
  <xdr:twoCellAnchor>
    <xdr:from>
      <xdr:col>0</xdr:col>
      <xdr:colOff>601435</xdr:colOff>
      <xdr:row>34</xdr:row>
      <xdr:rowOff>161926</xdr:rowOff>
    </xdr:from>
    <xdr:to>
      <xdr:col>14</xdr:col>
      <xdr:colOff>190500</xdr:colOff>
      <xdr:row>42</xdr:row>
      <xdr:rowOff>125411</xdr:rowOff>
    </xdr:to>
    <xdr:sp macro="" textlink="">
      <xdr:nvSpPr>
        <xdr:cNvPr id="7" name="Text Box 6">
          <a:extLst>
            <a:ext uri="{FF2B5EF4-FFF2-40B4-BE49-F238E27FC236}">
              <a16:creationId xmlns:a16="http://schemas.microsoft.com/office/drawing/2014/main" id="{5AB47C16-96FE-44C7-B87F-DA2B1A361471}"/>
            </a:ext>
          </a:extLst>
        </xdr:cNvPr>
        <xdr:cNvSpPr txBox="1">
          <a:spLocks noChangeArrowheads="1"/>
        </xdr:cNvSpPr>
      </xdr:nvSpPr>
      <xdr:spPr bwMode="auto">
        <a:xfrm>
          <a:off x="601435" y="6638926"/>
          <a:ext cx="8123465" cy="1269771"/>
        </a:xfrm>
        <a:prstGeom prst="rect">
          <a:avLst/>
        </a:prstGeom>
        <a:noFill/>
        <a:ln w="12700">
          <a:noFill/>
          <a:miter lim="800000"/>
          <a:headEnd/>
          <a:tailEnd/>
        </a:ln>
        <a:effectLst/>
      </xdr:spPr>
      <xdr:txBody>
        <a:bodyPr wrap="square">
          <a:spAutoFit/>
        </a:bodyPr>
        <a:lstStyle>
          <a:defPPr>
            <a:defRPr lang="en-US"/>
          </a:defPPr>
          <a:lvl1pPr algn="l" rtl="0" eaLnBrk="0" fontAlgn="base" hangingPunct="0">
            <a:spcBef>
              <a:spcPct val="0"/>
            </a:spcBef>
            <a:spcAft>
              <a:spcPct val="0"/>
            </a:spcAft>
            <a:defRPr sz="2400" kern="1200">
              <a:solidFill>
                <a:schemeClr val="tx1"/>
              </a:solidFill>
              <a:latin typeface="Times New Roman" pitchFamily="18" charset="0"/>
              <a:ea typeface="+mn-ea"/>
              <a:cs typeface="+mn-cs"/>
            </a:defRPr>
          </a:lvl1pPr>
          <a:lvl2pPr marL="457200" algn="l" rtl="0" eaLnBrk="0" fontAlgn="base" hangingPunct="0">
            <a:spcBef>
              <a:spcPct val="0"/>
            </a:spcBef>
            <a:spcAft>
              <a:spcPct val="0"/>
            </a:spcAft>
            <a:defRPr sz="2400" kern="1200">
              <a:solidFill>
                <a:schemeClr val="tx1"/>
              </a:solidFill>
              <a:latin typeface="Times New Roman" pitchFamily="18" charset="0"/>
              <a:ea typeface="+mn-ea"/>
              <a:cs typeface="+mn-cs"/>
            </a:defRPr>
          </a:lvl2pPr>
          <a:lvl3pPr marL="914400" algn="l" rtl="0" eaLnBrk="0" fontAlgn="base" hangingPunct="0">
            <a:spcBef>
              <a:spcPct val="0"/>
            </a:spcBef>
            <a:spcAft>
              <a:spcPct val="0"/>
            </a:spcAft>
            <a:defRPr sz="2400" kern="1200">
              <a:solidFill>
                <a:schemeClr val="tx1"/>
              </a:solidFill>
              <a:latin typeface="Times New Roman" pitchFamily="18" charset="0"/>
              <a:ea typeface="+mn-ea"/>
              <a:cs typeface="+mn-cs"/>
            </a:defRPr>
          </a:lvl3pPr>
          <a:lvl4pPr marL="1371600" algn="l" rtl="0" eaLnBrk="0" fontAlgn="base" hangingPunct="0">
            <a:spcBef>
              <a:spcPct val="0"/>
            </a:spcBef>
            <a:spcAft>
              <a:spcPct val="0"/>
            </a:spcAft>
            <a:defRPr sz="2400" kern="1200">
              <a:solidFill>
                <a:schemeClr val="tx1"/>
              </a:solidFill>
              <a:latin typeface="Times New Roman" pitchFamily="18" charset="0"/>
              <a:ea typeface="+mn-ea"/>
              <a:cs typeface="+mn-cs"/>
            </a:defRPr>
          </a:lvl4pPr>
          <a:lvl5pPr marL="1828800" algn="l" rtl="0" eaLnBrk="0" fontAlgn="base" hangingPunct="0">
            <a:spcBef>
              <a:spcPct val="0"/>
            </a:spcBef>
            <a:spcAft>
              <a:spcPct val="0"/>
            </a:spcAft>
            <a:defRPr sz="2400" kern="1200">
              <a:solidFill>
                <a:schemeClr val="tx1"/>
              </a:solidFill>
              <a:latin typeface="Times New Roman" pitchFamily="18" charset="0"/>
              <a:ea typeface="+mn-ea"/>
              <a:cs typeface="+mn-cs"/>
            </a:defRPr>
          </a:lvl5pPr>
          <a:lvl6pPr marL="2286000" algn="l" defTabSz="914400" rtl="0" eaLnBrk="1" latinLnBrk="0" hangingPunct="1">
            <a:defRPr sz="2400" kern="1200">
              <a:solidFill>
                <a:schemeClr val="tx1"/>
              </a:solidFill>
              <a:latin typeface="Times New Roman" pitchFamily="18" charset="0"/>
              <a:ea typeface="+mn-ea"/>
              <a:cs typeface="+mn-cs"/>
            </a:defRPr>
          </a:lvl6pPr>
          <a:lvl7pPr marL="2743200" algn="l" defTabSz="914400" rtl="0" eaLnBrk="1" latinLnBrk="0" hangingPunct="1">
            <a:defRPr sz="2400" kern="1200">
              <a:solidFill>
                <a:schemeClr val="tx1"/>
              </a:solidFill>
              <a:latin typeface="Times New Roman" pitchFamily="18" charset="0"/>
              <a:ea typeface="+mn-ea"/>
              <a:cs typeface="+mn-cs"/>
            </a:defRPr>
          </a:lvl7pPr>
          <a:lvl8pPr marL="3200400" algn="l" defTabSz="914400" rtl="0" eaLnBrk="1" latinLnBrk="0" hangingPunct="1">
            <a:defRPr sz="2400" kern="1200">
              <a:solidFill>
                <a:schemeClr val="tx1"/>
              </a:solidFill>
              <a:latin typeface="Times New Roman" pitchFamily="18" charset="0"/>
              <a:ea typeface="+mn-ea"/>
              <a:cs typeface="+mn-cs"/>
            </a:defRPr>
          </a:lvl8pPr>
          <a:lvl9pPr marL="3657600" algn="l" defTabSz="914400" rtl="0" eaLnBrk="1" latinLnBrk="0" hangingPunct="1">
            <a:defRPr sz="2400" kern="1200">
              <a:solidFill>
                <a:schemeClr val="tx1"/>
              </a:solidFill>
              <a:latin typeface="Times New Roman" pitchFamily="18" charset="0"/>
              <a:ea typeface="+mn-ea"/>
              <a:cs typeface="+mn-cs"/>
            </a:defRPr>
          </a:lvl9pPr>
        </a:lstStyle>
        <a:p>
          <a:pPr algn="just">
            <a:spcBef>
              <a:spcPct val="50000"/>
            </a:spcBef>
          </a:pPr>
          <a:r>
            <a:rPr lang="en-US" sz="2000" b="1">
              <a:latin typeface="Arial Narrow" pitchFamily="34" charset="0"/>
              <a:cs typeface="Times New Roman" pitchFamily="18" charset="0"/>
            </a:rPr>
            <a:t>4.</a:t>
          </a:r>
          <a:r>
            <a:rPr lang="en-US" sz="2000">
              <a:latin typeface="Arial Narrow" pitchFamily="34" charset="0"/>
              <a:cs typeface="Times New Roman" pitchFamily="18" charset="0"/>
            </a:rPr>
            <a:t>  Suppose that vegan filling cost</a:t>
          </a:r>
          <a:r>
            <a:rPr lang="en-US" sz="2000" baseline="0">
              <a:latin typeface="Arial Narrow" pitchFamily="34" charset="0"/>
              <a:cs typeface="Times New Roman" pitchFamily="18" charset="0"/>
            </a:rPr>
            <a:t> rises by 7% per year, </a:t>
          </a:r>
          <a:r>
            <a:rPr lang="en-US" sz="2000">
              <a:latin typeface="Arial Narrow" pitchFamily="34" charset="0"/>
              <a:cs typeface="Times New Roman" pitchFamily="18" charset="0"/>
            </a:rPr>
            <a:t>and sprouted dough rises</a:t>
          </a:r>
          <a:r>
            <a:rPr lang="en-US" sz="2000" baseline="0">
              <a:latin typeface="Arial Narrow" pitchFamily="34" charset="0"/>
              <a:cs typeface="Times New Roman" pitchFamily="18" charset="0"/>
            </a:rPr>
            <a:t> (pun included) by 5%</a:t>
          </a:r>
          <a:r>
            <a:rPr lang="en-US" sz="2000">
              <a:latin typeface="Arial Narrow" pitchFamily="34" charset="0"/>
              <a:cs typeface="Times New Roman" pitchFamily="18" charset="0"/>
            </a:rPr>
            <a:t>.  Overhead expenses rise</a:t>
          </a:r>
          <a:r>
            <a:rPr lang="en-US" sz="2000" baseline="0">
              <a:latin typeface="Arial Narrow" pitchFamily="34" charset="0"/>
              <a:cs typeface="Times New Roman" pitchFamily="18" charset="0"/>
            </a:rPr>
            <a:t> by 2% per year</a:t>
          </a:r>
          <a:r>
            <a:rPr lang="en-US" sz="2000">
              <a:latin typeface="Arial Narrow" pitchFamily="34" charset="0"/>
              <a:cs typeface="Times New Roman" pitchFamily="18" charset="0"/>
            </a:rPr>
            <a:t>. Prices will also rise by 2% per year.  </a:t>
          </a:r>
          <a:r>
            <a:rPr lang="en-US" sz="2000" b="1">
              <a:latin typeface="Arial Narrow" pitchFamily="34" charset="0"/>
              <a:cs typeface="Times New Roman" pitchFamily="18" charset="0"/>
            </a:rPr>
            <a:t>At what year 1</a:t>
          </a:r>
          <a:r>
            <a:rPr lang="en-US" sz="2000" b="1" baseline="0">
              <a:latin typeface="Arial Narrow" pitchFamily="34" charset="0"/>
              <a:cs typeface="Times New Roman" pitchFamily="18" charset="0"/>
            </a:rPr>
            <a:t> </a:t>
          </a:r>
          <a:r>
            <a:rPr lang="en-US" sz="2000" b="1">
              <a:latin typeface="Arial Narrow" pitchFamily="34" charset="0"/>
              <a:cs typeface="Times New Roman" pitchFamily="18" charset="0"/>
            </a:rPr>
            <a:t>pie price will Make-A-Pie maximize profit across a 3</a:t>
          </a:r>
          <a:r>
            <a:rPr lang="en-US" sz="2000" b="1" baseline="0">
              <a:latin typeface="Arial Narrow" pitchFamily="34" charset="0"/>
              <a:cs typeface="Times New Roman" pitchFamily="18" charset="0"/>
            </a:rPr>
            <a:t> year horizon if the business is worth $2,500,000 today</a:t>
          </a:r>
          <a:r>
            <a:rPr lang="en-US" sz="2000" b="1">
              <a:latin typeface="Arial Narrow" pitchFamily="34" charset="0"/>
              <a:cs typeface="Times New Roman" pitchFamily="18" charset="0"/>
            </a:rPr>
            <a:t>?</a:t>
          </a:r>
          <a:endParaRPr lang="en-US" sz="2000" b="1">
            <a:latin typeface="Arial Narrow"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161925</xdr:colOff>
      <xdr:row>13</xdr:row>
      <xdr:rowOff>104775</xdr:rowOff>
    </xdr:from>
    <xdr:to>
      <xdr:col>1</xdr:col>
      <xdr:colOff>38100</xdr:colOff>
      <xdr:row>15</xdr:row>
      <xdr:rowOff>152400</xdr:rowOff>
    </xdr:to>
    <xdr:sp macro="" textlink="">
      <xdr:nvSpPr>
        <xdr:cNvPr id="2049" name="Text Box 1">
          <a:extLst>
            <a:ext uri="{FF2B5EF4-FFF2-40B4-BE49-F238E27FC236}">
              <a16:creationId xmlns:a16="http://schemas.microsoft.com/office/drawing/2014/main" id="{00000000-0008-0000-0000-000001080000}"/>
            </a:ext>
          </a:extLst>
        </xdr:cNvPr>
        <xdr:cNvSpPr txBox="1">
          <a:spLocks noChangeArrowheads="1"/>
        </xdr:cNvSpPr>
      </xdr:nvSpPr>
      <xdr:spPr bwMode="auto">
        <a:xfrm>
          <a:off x="161925" y="2209800"/>
          <a:ext cx="485775" cy="371475"/>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Pie Price</a:t>
          </a: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1</xdr:col>
      <xdr:colOff>304800</xdr:colOff>
      <xdr:row>10</xdr:row>
      <xdr:rowOff>9525</xdr:rowOff>
    </xdr:from>
    <xdr:to>
      <xdr:col>2</xdr:col>
      <xdr:colOff>323850</xdr:colOff>
      <xdr:row>11</xdr:row>
      <xdr:rowOff>38100</xdr:rowOff>
    </xdr:to>
    <xdr:sp macro="" textlink="">
      <xdr:nvSpPr>
        <xdr:cNvPr id="2050" name="Rectangle 2">
          <a:extLst>
            <a:ext uri="{FF2B5EF4-FFF2-40B4-BE49-F238E27FC236}">
              <a16:creationId xmlns:a16="http://schemas.microsoft.com/office/drawing/2014/main" id="{00000000-0008-0000-0000-000002080000}"/>
            </a:ext>
          </a:extLst>
        </xdr:cNvPr>
        <xdr:cNvSpPr>
          <a:spLocks noChangeArrowheads="1"/>
        </xdr:cNvSpPr>
      </xdr:nvSpPr>
      <xdr:spPr bwMode="auto">
        <a:xfrm>
          <a:off x="914400" y="1628775"/>
          <a:ext cx="628650" cy="1905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Demand</a:t>
          </a:r>
        </a:p>
      </xdr:txBody>
    </xdr:sp>
    <xdr:clientData/>
  </xdr:twoCellAnchor>
  <xdr:twoCellAnchor>
    <xdr:from>
      <xdr:col>2</xdr:col>
      <xdr:colOff>352425</xdr:colOff>
      <xdr:row>12</xdr:row>
      <xdr:rowOff>85725</xdr:rowOff>
    </xdr:from>
    <xdr:to>
      <xdr:col>3</xdr:col>
      <xdr:colOff>428625</xdr:colOff>
      <xdr:row>15</xdr:row>
      <xdr:rowOff>114300</xdr:rowOff>
    </xdr:to>
    <xdr:sp macro="" textlink="">
      <xdr:nvSpPr>
        <xdr:cNvPr id="2051" name="Text Box 3">
          <a:extLst>
            <a:ext uri="{FF2B5EF4-FFF2-40B4-BE49-F238E27FC236}">
              <a16:creationId xmlns:a16="http://schemas.microsoft.com/office/drawing/2014/main" id="{00000000-0008-0000-0000-000003080000}"/>
            </a:ext>
          </a:extLst>
        </xdr:cNvPr>
        <xdr:cNvSpPr txBox="1">
          <a:spLocks noChangeArrowheads="1"/>
        </xdr:cNvSpPr>
      </xdr:nvSpPr>
      <xdr:spPr bwMode="auto">
        <a:xfrm>
          <a:off x="1571625" y="2028825"/>
          <a:ext cx="685800" cy="514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Unit Processing</a:t>
          </a:r>
        </a:p>
        <a:p>
          <a:pPr algn="l" rtl="0">
            <a:defRPr sz="1000"/>
          </a:pPr>
          <a:r>
            <a:rPr lang="en-US" sz="1000" b="0" i="0" u="none" strike="noStrike" baseline="0">
              <a:solidFill>
                <a:srgbClr val="000000"/>
              </a:solidFill>
              <a:latin typeface="Arial"/>
              <a:cs typeface="Arial"/>
            </a:rPr>
            <a:t>Cost</a:t>
          </a:r>
        </a:p>
      </xdr:txBody>
    </xdr:sp>
    <xdr:clientData/>
  </xdr:twoCellAnchor>
  <xdr:twoCellAnchor>
    <xdr:from>
      <xdr:col>4</xdr:col>
      <xdr:colOff>285750</xdr:colOff>
      <xdr:row>12</xdr:row>
      <xdr:rowOff>85725</xdr:rowOff>
    </xdr:from>
    <xdr:to>
      <xdr:col>5</xdr:col>
      <xdr:colOff>95250</xdr:colOff>
      <xdr:row>15</xdr:row>
      <xdr:rowOff>95250</xdr:rowOff>
    </xdr:to>
    <xdr:sp macro="" textlink="">
      <xdr:nvSpPr>
        <xdr:cNvPr id="2052" name="Text Box 4">
          <a:extLst>
            <a:ext uri="{FF2B5EF4-FFF2-40B4-BE49-F238E27FC236}">
              <a16:creationId xmlns:a16="http://schemas.microsoft.com/office/drawing/2014/main" id="{00000000-0008-0000-0000-000004080000}"/>
            </a:ext>
          </a:extLst>
        </xdr:cNvPr>
        <xdr:cNvSpPr txBox="1">
          <a:spLocks noChangeArrowheads="1"/>
        </xdr:cNvSpPr>
      </xdr:nvSpPr>
      <xdr:spPr bwMode="auto">
        <a:xfrm>
          <a:off x="2724150" y="2028825"/>
          <a:ext cx="419100" cy="4953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Unit Filling Cost</a:t>
          </a:r>
        </a:p>
      </xdr:txBody>
    </xdr:sp>
    <xdr:clientData/>
  </xdr:twoCellAnchor>
  <xdr:twoCellAnchor>
    <xdr:from>
      <xdr:col>5</xdr:col>
      <xdr:colOff>552450</xdr:colOff>
      <xdr:row>12</xdr:row>
      <xdr:rowOff>85725</xdr:rowOff>
    </xdr:from>
    <xdr:to>
      <xdr:col>6</xdr:col>
      <xdr:colOff>371475</xdr:colOff>
      <xdr:row>15</xdr:row>
      <xdr:rowOff>104775</xdr:rowOff>
    </xdr:to>
    <xdr:sp macro="" textlink="">
      <xdr:nvSpPr>
        <xdr:cNvPr id="2053" name="Text Box 5">
          <a:extLst>
            <a:ext uri="{FF2B5EF4-FFF2-40B4-BE49-F238E27FC236}">
              <a16:creationId xmlns:a16="http://schemas.microsoft.com/office/drawing/2014/main" id="{00000000-0008-0000-0000-000005080000}"/>
            </a:ext>
          </a:extLst>
        </xdr:cNvPr>
        <xdr:cNvSpPr txBox="1">
          <a:spLocks noChangeArrowheads="1"/>
        </xdr:cNvSpPr>
      </xdr:nvSpPr>
      <xdr:spPr bwMode="auto">
        <a:xfrm>
          <a:off x="3600450" y="2028825"/>
          <a:ext cx="428625" cy="5048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Unit Dough Cost</a:t>
          </a:r>
        </a:p>
      </xdr:txBody>
    </xdr:sp>
    <xdr:clientData/>
  </xdr:twoCellAnchor>
  <xdr:twoCellAnchor>
    <xdr:from>
      <xdr:col>7</xdr:col>
      <xdr:colOff>266700</xdr:colOff>
      <xdr:row>12</xdr:row>
      <xdr:rowOff>95250</xdr:rowOff>
    </xdr:from>
    <xdr:to>
      <xdr:col>8</xdr:col>
      <xdr:colOff>19050</xdr:colOff>
      <xdr:row>15</xdr:row>
      <xdr:rowOff>66675</xdr:rowOff>
    </xdr:to>
    <xdr:sp macro="" textlink="">
      <xdr:nvSpPr>
        <xdr:cNvPr id="2054" name="Text Box 6">
          <a:extLst>
            <a:ext uri="{FF2B5EF4-FFF2-40B4-BE49-F238E27FC236}">
              <a16:creationId xmlns:a16="http://schemas.microsoft.com/office/drawing/2014/main" id="{00000000-0008-0000-0000-000006080000}"/>
            </a:ext>
          </a:extLst>
        </xdr:cNvPr>
        <xdr:cNvSpPr txBox="1">
          <a:spLocks noChangeArrowheads="1"/>
        </xdr:cNvSpPr>
      </xdr:nvSpPr>
      <xdr:spPr bwMode="auto">
        <a:xfrm>
          <a:off x="4533900" y="2038350"/>
          <a:ext cx="361950" cy="4572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Fixed Cost</a:t>
          </a:r>
        </a:p>
      </xdr:txBody>
    </xdr:sp>
    <xdr:clientData/>
  </xdr:twoCellAnchor>
  <xdr:twoCellAnchor>
    <xdr:from>
      <xdr:col>5</xdr:col>
      <xdr:colOff>47625</xdr:colOff>
      <xdr:row>5</xdr:row>
      <xdr:rowOff>0</xdr:rowOff>
    </xdr:from>
    <xdr:to>
      <xdr:col>6</xdr:col>
      <xdr:colOff>9525</xdr:colOff>
      <xdr:row>8</xdr:row>
      <xdr:rowOff>9525</xdr:rowOff>
    </xdr:to>
    <xdr:sp macro="" textlink="">
      <xdr:nvSpPr>
        <xdr:cNvPr id="2055" name="Text Box 7">
          <a:extLst>
            <a:ext uri="{FF2B5EF4-FFF2-40B4-BE49-F238E27FC236}">
              <a16:creationId xmlns:a16="http://schemas.microsoft.com/office/drawing/2014/main" id="{00000000-0008-0000-0000-000007080000}"/>
            </a:ext>
          </a:extLst>
        </xdr:cNvPr>
        <xdr:cNvSpPr txBox="1">
          <a:spLocks noChangeArrowheads="1"/>
        </xdr:cNvSpPr>
      </xdr:nvSpPr>
      <xdr:spPr bwMode="auto">
        <a:xfrm>
          <a:off x="3095625" y="809625"/>
          <a:ext cx="571500" cy="4953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Total Material Cost</a:t>
          </a:r>
        </a:p>
      </xdr:txBody>
    </xdr:sp>
    <xdr:clientData/>
  </xdr:twoCellAnchor>
  <xdr:twoCellAnchor>
    <xdr:from>
      <xdr:col>3</xdr:col>
      <xdr:colOff>19050</xdr:colOff>
      <xdr:row>5</xdr:row>
      <xdr:rowOff>19050</xdr:rowOff>
    </xdr:from>
    <xdr:to>
      <xdr:col>4</xdr:col>
      <xdr:colOff>104775</xdr:colOff>
      <xdr:row>8</xdr:row>
      <xdr:rowOff>47625</xdr:rowOff>
    </xdr:to>
    <xdr:sp macro="" textlink="">
      <xdr:nvSpPr>
        <xdr:cNvPr id="2056" name="Text Box 8">
          <a:extLst>
            <a:ext uri="{FF2B5EF4-FFF2-40B4-BE49-F238E27FC236}">
              <a16:creationId xmlns:a16="http://schemas.microsoft.com/office/drawing/2014/main" id="{00000000-0008-0000-0000-000008080000}"/>
            </a:ext>
          </a:extLst>
        </xdr:cNvPr>
        <xdr:cNvSpPr txBox="1">
          <a:spLocks noChangeArrowheads="1"/>
        </xdr:cNvSpPr>
      </xdr:nvSpPr>
      <xdr:spPr bwMode="auto">
        <a:xfrm>
          <a:off x="1847850" y="828675"/>
          <a:ext cx="695325" cy="514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Total Processing Cost</a:t>
          </a:r>
        </a:p>
      </xdr:txBody>
    </xdr:sp>
    <xdr:clientData/>
  </xdr:twoCellAnchor>
  <xdr:twoCellAnchor>
    <xdr:from>
      <xdr:col>3</xdr:col>
      <xdr:colOff>95250</xdr:colOff>
      <xdr:row>8</xdr:row>
      <xdr:rowOff>47625</xdr:rowOff>
    </xdr:from>
    <xdr:to>
      <xdr:col>3</xdr:col>
      <xdr:colOff>285750</xdr:colOff>
      <xdr:row>12</xdr:row>
      <xdr:rowOff>66675</xdr:rowOff>
    </xdr:to>
    <xdr:sp macro="" textlink="">
      <xdr:nvSpPr>
        <xdr:cNvPr id="2057" name="Line 9">
          <a:extLst>
            <a:ext uri="{FF2B5EF4-FFF2-40B4-BE49-F238E27FC236}">
              <a16:creationId xmlns:a16="http://schemas.microsoft.com/office/drawing/2014/main" id="{00000000-0008-0000-0000-000009080000}"/>
            </a:ext>
          </a:extLst>
        </xdr:cNvPr>
        <xdr:cNvSpPr>
          <a:spLocks noChangeShapeType="1"/>
        </xdr:cNvSpPr>
      </xdr:nvSpPr>
      <xdr:spPr bwMode="auto">
        <a:xfrm flipV="1">
          <a:off x="1924050" y="1343025"/>
          <a:ext cx="190500" cy="6667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19050</xdr:colOff>
      <xdr:row>8</xdr:row>
      <xdr:rowOff>57150</xdr:rowOff>
    </xdr:from>
    <xdr:to>
      <xdr:col>3</xdr:col>
      <xdr:colOff>285750</xdr:colOff>
      <xdr:row>10</xdr:row>
      <xdr:rowOff>9525</xdr:rowOff>
    </xdr:to>
    <xdr:sp macro="" textlink="">
      <xdr:nvSpPr>
        <xdr:cNvPr id="2058" name="Line 10">
          <a:extLst>
            <a:ext uri="{FF2B5EF4-FFF2-40B4-BE49-F238E27FC236}">
              <a16:creationId xmlns:a16="http://schemas.microsoft.com/office/drawing/2014/main" id="{00000000-0008-0000-0000-00000A080000}"/>
            </a:ext>
          </a:extLst>
        </xdr:cNvPr>
        <xdr:cNvSpPr>
          <a:spLocks noChangeShapeType="1"/>
        </xdr:cNvSpPr>
      </xdr:nvSpPr>
      <xdr:spPr bwMode="auto">
        <a:xfrm flipV="1">
          <a:off x="1238250" y="1352550"/>
          <a:ext cx="876300" cy="2762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352425</xdr:colOff>
      <xdr:row>8</xdr:row>
      <xdr:rowOff>9525</xdr:rowOff>
    </xdr:from>
    <xdr:to>
      <xdr:col>5</xdr:col>
      <xdr:colOff>285750</xdr:colOff>
      <xdr:row>10</xdr:row>
      <xdr:rowOff>104775</xdr:rowOff>
    </xdr:to>
    <xdr:sp macro="" textlink="">
      <xdr:nvSpPr>
        <xdr:cNvPr id="2059" name="Line 11">
          <a:extLst>
            <a:ext uri="{FF2B5EF4-FFF2-40B4-BE49-F238E27FC236}">
              <a16:creationId xmlns:a16="http://schemas.microsoft.com/office/drawing/2014/main" id="{00000000-0008-0000-0000-00000B080000}"/>
            </a:ext>
          </a:extLst>
        </xdr:cNvPr>
        <xdr:cNvSpPr>
          <a:spLocks noChangeShapeType="1"/>
        </xdr:cNvSpPr>
      </xdr:nvSpPr>
      <xdr:spPr bwMode="auto">
        <a:xfrm flipV="1">
          <a:off x="1571625" y="1304925"/>
          <a:ext cx="1762125" cy="419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504825</xdr:colOff>
      <xdr:row>8</xdr:row>
      <xdr:rowOff>38100</xdr:rowOff>
    </xdr:from>
    <xdr:to>
      <xdr:col>5</xdr:col>
      <xdr:colOff>276225</xdr:colOff>
      <xdr:row>12</xdr:row>
      <xdr:rowOff>85725</xdr:rowOff>
    </xdr:to>
    <xdr:sp macro="" textlink="">
      <xdr:nvSpPr>
        <xdr:cNvPr id="2060" name="Line 12">
          <a:extLst>
            <a:ext uri="{FF2B5EF4-FFF2-40B4-BE49-F238E27FC236}">
              <a16:creationId xmlns:a16="http://schemas.microsoft.com/office/drawing/2014/main" id="{00000000-0008-0000-0000-00000C080000}"/>
            </a:ext>
          </a:extLst>
        </xdr:cNvPr>
        <xdr:cNvSpPr>
          <a:spLocks noChangeShapeType="1"/>
        </xdr:cNvSpPr>
      </xdr:nvSpPr>
      <xdr:spPr bwMode="auto">
        <a:xfrm flipV="1">
          <a:off x="2943225" y="1333500"/>
          <a:ext cx="381000" cy="695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304800</xdr:colOff>
      <xdr:row>8</xdr:row>
      <xdr:rowOff>38100</xdr:rowOff>
    </xdr:from>
    <xdr:to>
      <xdr:col>6</xdr:col>
      <xdr:colOff>133350</xdr:colOff>
      <xdr:row>12</xdr:row>
      <xdr:rowOff>85725</xdr:rowOff>
    </xdr:to>
    <xdr:sp macro="" textlink="">
      <xdr:nvSpPr>
        <xdr:cNvPr id="2061" name="Line 13">
          <a:extLst>
            <a:ext uri="{FF2B5EF4-FFF2-40B4-BE49-F238E27FC236}">
              <a16:creationId xmlns:a16="http://schemas.microsoft.com/office/drawing/2014/main" id="{00000000-0008-0000-0000-00000D080000}"/>
            </a:ext>
          </a:extLst>
        </xdr:cNvPr>
        <xdr:cNvSpPr>
          <a:spLocks noChangeShapeType="1"/>
        </xdr:cNvSpPr>
      </xdr:nvSpPr>
      <xdr:spPr bwMode="auto">
        <a:xfrm flipH="1" flipV="1">
          <a:off x="3352800" y="1333500"/>
          <a:ext cx="438150" cy="695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590550</xdr:colOff>
      <xdr:row>1</xdr:row>
      <xdr:rowOff>28575</xdr:rowOff>
    </xdr:from>
    <xdr:to>
      <xdr:col>7</xdr:col>
      <xdr:colOff>0</xdr:colOff>
      <xdr:row>3</xdr:row>
      <xdr:rowOff>38100</xdr:rowOff>
    </xdr:to>
    <xdr:sp macro="" textlink="">
      <xdr:nvSpPr>
        <xdr:cNvPr id="2062" name="Text Box 14">
          <a:extLst>
            <a:ext uri="{FF2B5EF4-FFF2-40B4-BE49-F238E27FC236}">
              <a16:creationId xmlns:a16="http://schemas.microsoft.com/office/drawing/2014/main" id="{00000000-0008-0000-0000-00000E080000}"/>
            </a:ext>
          </a:extLst>
        </xdr:cNvPr>
        <xdr:cNvSpPr txBox="1">
          <a:spLocks noChangeArrowheads="1"/>
        </xdr:cNvSpPr>
      </xdr:nvSpPr>
      <xdr:spPr bwMode="auto">
        <a:xfrm>
          <a:off x="3638550" y="190500"/>
          <a:ext cx="628650" cy="3333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Total Cost</a:t>
          </a:r>
        </a:p>
      </xdr:txBody>
    </xdr:sp>
    <xdr:clientData/>
  </xdr:twoCellAnchor>
  <xdr:oneCellAnchor>
    <xdr:from>
      <xdr:col>2</xdr:col>
      <xdr:colOff>552450</xdr:colOff>
      <xdr:row>1</xdr:row>
      <xdr:rowOff>152400</xdr:rowOff>
    </xdr:from>
    <xdr:ext cx="76200" cy="200025"/>
    <xdr:sp macro="" textlink="">
      <xdr:nvSpPr>
        <xdr:cNvPr id="2063" name="Text Box 15">
          <a:extLst>
            <a:ext uri="{FF2B5EF4-FFF2-40B4-BE49-F238E27FC236}">
              <a16:creationId xmlns:a16="http://schemas.microsoft.com/office/drawing/2014/main" id="{00000000-0008-0000-0000-00000F080000}"/>
            </a:ext>
          </a:extLst>
        </xdr:cNvPr>
        <xdr:cNvSpPr txBox="1">
          <a:spLocks noChangeArrowheads="1"/>
        </xdr:cNvSpPr>
      </xdr:nvSpPr>
      <xdr:spPr bwMode="auto">
        <a:xfrm>
          <a:off x="1771650" y="314325"/>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xdr:from>
      <xdr:col>1</xdr:col>
      <xdr:colOff>9525</xdr:colOff>
      <xdr:row>1</xdr:row>
      <xdr:rowOff>47625</xdr:rowOff>
    </xdr:from>
    <xdr:to>
      <xdr:col>1</xdr:col>
      <xdr:colOff>600075</xdr:colOff>
      <xdr:row>3</xdr:row>
      <xdr:rowOff>47625</xdr:rowOff>
    </xdr:to>
    <xdr:sp macro="" textlink="">
      <xdr:nvSpPr>
        <xdr:cNvPr id="2064" name="Text Box 16">
          <a:extLst>
            <a:ext uri="{FF2B5EF4-FFF2-40B4-BE49-F238E27FC236}">
              <a16:creationId xmlns:a16="http://schemas.microsoft.com/office/drawing/2014/main" id="{00000000-0008-0000-0000-000010080000}"/>
            </a:ext>
          </a:extLst>
        </xdr:cNvPr>
        <xdr:cNvSpPr txBox="1">
          <a:spLocks noChangeArrowheads="1"/>
        </xdr:cNvSpPr>
      </xdr:nvSpPr>
      <xdr:spPr bwMode="auto">
        <a:xfrm>
          <a:off x="619125" y="209550"/>
          <a:ext cx="590550" cy="3238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Total Revenue</a:t>
          </a:r>
        </a:p>
      </xdr:txBody>
    </xdr:sp>
    <xdr:clientData/>
  </xdr:twoCellAnchor>
  <xdr:twoCellAnchor>
    <xdr:from>
      <xdr:col>0</xdr:col>
      <xdr:colOff>400050</xdr:colOff>
      <xdr:row>3</xdr:row>
      <xdr:rowOff>123825</xdr:rowOff>
    </xdr:from>
    <xdr:to>
      <xdr:col>1</xdr:col>
      <xdr:colOff>295275</xdr:colOff>
      <xdr:row>13</xdr:row>
      <xdr:rowOff>95250</xdr:rowOff>
    </xdr:to>
    <xdr:sp macro="" textlink="">
      <xdr:nvSpPr>
        <xdr:cNvPr id="2065" name="Line 17">
          <a:extLst>
            <a:ext uri="{FF2B5EF4-FFF2-40B4-BE49-F238E27FC236}">
              <a16:creationId xmlns:a16="http://schemas.microsoft.com/office/drawing/2014/main" id="{00000000-0008-0000-0000-000011080000}"/>
            </a:ext>
          </a:extLst>
        </xdr:cNvPr>
        <xdr:cNvSpPr>
          <a:spLocks noChangeShapeType="1"/>
        </xdr:cNvSpPr>
      </xdr:nvSpPr>
      <xdr:spPr bwMode="auto">
        <a:xfrm flipV="1">
          <a:off x="400050" y="609600"/>
          <a:ext cx="504825" cy="15906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304800</xdr:colOff>
      <xdr:row>3</xdr:row>
      <xdr:rowOff>104775</xdr:rowOff>
    </xdr:from>
    <xdr:to>
      <xdr:col>2</xdr:col>
      <xdr:colOff>9525</xdr:colOff>
      <xdr:row>10</xdr:row>
      <xdr:rowOff>9525</xdr:rowOff>
    </xdr:to>
    <xdr:sp macro="" textlink="">
      <xdr:nvSpPr>
        <xdr:cNvPr id="2066" name="Line 18">
          <a:extLst>
            <a:ext uri="{FF2B5EF4-FFF2-40B4-BE49-F238E27FC236}">
              <a16:creationId xmlns:a16="http://schemas.microsoft.com/office/drawing/2014/main" id="{00000000-0008-0000-0000-000012080000}"/>
            </a:ext>
          </a:extLst>
        </xdr:cNvPr>
        <xdr:cNvSpPr>
          <a:spLocks noChangeShapeType="1"/>
        </xdr:cNvSpPr>
      </xdr:nvSpPr>
      <xdr:spPr bwMode="auto">
        <a:xfrm flipH="1" flipV="1">
          <a:off x="914400" y="590550"/>
          <a:ext cx="314325" cy="10382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0</xdr:colOff>
      <xdr:row>1</xdr:row>
      <xdr:rowOff>47625</xdr:rowOff>
    </xdr:from>
    <xdr:to>
      <xdr:col>4</xdr:col>
      <xdr:colOff>76200</xdr:colOff>
      <xdr:row>3</xdr:row>
      <xdr:rowOff>66675</xdr:rowOff>
    </xdr:to>
    <xdr:sp macro="" textlink="">
      <xdr:nvSpPr>
        <xdr:cNvPr id="2067" name="Text Box 19">
          <a:extLst>
            <a:ext uri="{FF2B5EF4-FFF2-40B4-BE49-F238E27FC236}">
              <a16:creationId xmlns:a16="http://schemas.microsoft.com/office/drawing/2014/main" id="{00000000-0008-0000-0000-000013080000}"/>
            </a:ext>
          </a:extLst>
        </xdr:cNvPr>
        <xdr:cNvSpPr txBox="1">
          <a:spLocks noChangeArrowheads="1"/>
        </xdr:cNvSpPr>
      </xdr:nvSpPr>
      <xdr:spPr bwMode="auto">
        <a:xfrm>
          <a:off x="1828800" y="209550"/>
          <a:ext cx="685800" cy="342900"/>
        </a:xfrm>
        <a:prstGeom prst="rect">
          <a:avLst/>
        </a:prstGeom>
        <a:solidFill>
          <a:srgbClr val="00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Total Profit</a:t>
          </a:r>
        </a:p>
      </xdr:txBody>
    </xdr:sp>
    <xdr:clientData/>
  </xdr:twoCellAnchor>
  <xdr:twoCellAnchor>
    <xdr:from>
      <xdr:col>0</xdr:col>
      <xdr:colOff>400050</xdr:colOff>
      <xdr:row>11</xdr:row>
      <xdr:rowOff>47625</xdr:rowOff>
    </xdr:from>
    <xdr:to>
      <xdr:col>1</xdr:col>
      <xdr:colOff>561975</xdr:colOff>
      <xdr:row>13</xdr:row>
      <xdr:rowOff>95250</xdr:rowOff>
    </xdr:to>
    <xdr:sp macro="" textlink="">
      <xdr:nvSpPr>
        <xdr:cNvPr id="2068" name="Line 20">
          <a:extLst>
            <a:ext uri="{FF2B5EF4-FFF2-40B4-BE49-F238E27FC236}">
              <a16:creationId xmlns:a16="http://schemas.microsoft.com/office/drawing/2014/main" id="{00000000-0008-0000-0000-000014080000}"/>
            </a:ext>
          </a:extLst>
        </xdr:cNvPr>
        <xdr:cNvSpPr>
          <a:spLocks noChangeShapeType="1"/>
        </xdr:cNvSpPr>
      </xdr:nvSpPr>
      <xdr:spPr bwMode="auto">
        <a:xfrm flipV="1">
          <a:off x="400050" y="1828800"/>
          <a:ext cx="771525"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304800</xdr:colOff>
      <xdr:row>3</xdr:row>
      <xdr:rowOff>28575</xdr:rowOff>
    </xdr:from>
    <xdr:to>
      <xdr:col>7</xdr:col>
      <xdr:colOff>485775</xdr:colOff>
      <xdr:row>12</xdr:row>
      <xdr:rowOff>85725</xdr:rowOff>
    </xdr:to>
    <xdr:sp macro="" textlink="">
      <xdr:nvSpPr>
        <xdr:cNvPr id="2069" name="Line 21">
          <a:extLst>
            <a:ext uri="{FF2B5EF4-FFF2-40B4-BE49-F238E27FC236}">
              <a16:creationId xmlns:a16="http://schemas.microsoft.com/office/drawing/2014/main" id="{00000000-0008-0000-0000-000015080000}"/>
            </a:ext>
          </a:extLst>
        </xdr:cNvPr>
        <xdr:cNvSpPr>
          <a:spLocks noChangeShapeType="1"/>
        </xdr:cNvSpPr>
      </xdr:nvSpPr>
      <xdr:spPr bwMode="auto">
        <a:xfrm flipH="1" flipV="1">
          <a:off x="3962400" y="514350"/>
          <a:ext cx="790575" cy="1514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304800</xdr:colOff>
      <xdr:row>3</xdr:row>
      <xdr:rowOff>47625</xdr:rowOff>
    </xdr:from>
    <xdr:to>
      <xdr:col>6</xdr:col>
      <xdr:colOff>295275</xdr:colOff>
      <xdr:row>5</xdr:row>
      <xdr:rowOff>9525</xdr:rowOff>
    </xdr:to>
    <xdr:sp macro="" textlink="">
      <xdr:nvSpPr>
        <xdr:cNvPr id="2070" name="Line 22">
          <a:extLst>
            <a:ext uri="{FF2B5EF4-FFF2-40B4-BE49-F238E27FC236}">
              <a16:creationId xmlns:a16="http://schemas.microsoft.com/office/drawing/2014/main" id="{00000000-0008-0000-0000-000016080000}"/>
            </a:ext>
          </a:extLst>
        </xdr:cNvPr>
        <xdr:cNvSpPr>
          <a:spLocks noChangeShapeType="1"/>
        </xdr:cNvSpPr>
      </xdr:nvSpPr>
      <xdr:spPr bwMode="auto">
        <a:xfrm flipV="1">
          <a:off x="3352800" y="533400"/>
          <a:ext cx="600075" cy="2857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590550</xdr:colOff>
      <xdr:row>2</xdr:row>
      <xdr:rowOff>19050</xdr:rowOff>
    </xdr:from>
    <xdr:to>
      <xdr:col>2</xdr:col>
      <xdr:colOff>590550</xdr:colOff>
      <xdr:row>2</xdr:row>
      <xdr:rowOff>19050</xdr:rowOff>
    </xdr:to>
    <xdr:sp macro="" textlink="">
      <xdr:nvSpPr>
        <xdr:cNvPr id="2071" name="Line 23">
          <a:extLst>
            <a:ext uri="{FF2B5EF4-FFF2-40B4-BE49-F238E27FC236}">
              <a16:creationId xmlns:a16="http://schemas.microsoft.com/office/drawing/2014/main" id="{00000000-0008-0000-0000-000017080000}"/>
            </a:ext>
          </a:extLst>
        </xdr:cNvPr>
        <xdr:cNvSpPr>
          <a:spLocks noChangeShapeType="1"/>
        </xdr:cNvSpPr>
      </xdr:nvSpPr>
      <xdr:spPr bwMode="auto">
        <a:xfrm flipV="1">
          <a:off x="1200150" y="342900"/>
          <a:ext cx="6096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133350</xdr:colOff>
      <xdr:row>2</xdr:row>
      <xdr:rowOff>19050</xdr:rowOff>
    </xdr:from>
    <xdr:to>
      <xdr:col>5</xdr:col>
      <xdr:colOff>571500</xdr:colOff>
      <xdr:row>2</xdr:row>
      <xdr:rowOff>38100</xdr:rowOff>
    </xdr:to>
    <xdr:sp macro="" textlink="">
      <xdr:nvSpPr>
        <xdr:cNvPr id="2072" name="Line 24">
          <a:extLst>
            <a:ext uri="{FF2B5EF4-FFF2-40B4-BE49-F238E27FC236}">
              <a16:creationId xmlns:a16="http://schemas.microsoft.com/office/drawing/2014/main" id="{00000000-0008-0000-0000-000018080000}"/>
            </a:ext>
          </a:extLst>
        </xdr:cNvPr>
        <xdr:cNvSpPr>
          <a:spLocks noChangeShapeType="1"/>
        </xdr:cNvSpPr>
      </xdr:nvSpPr>
      <xdr:spPr bwMode="auto">
        <a:xfrm flipH="1">
          <a:off x="2571750" y="342900"/>
          <a:ext cx="1047750" cy="190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365980</xdr:colOff>
      <xdr:row>3</xdr:row>
      <xdr:rowOff>47625</xdr:rowOff>
    </xdr:from>
    <xdr:to>
      <xdr:col>6</xdr:col>
      <xdr:colOff>295275</xdr:colOff>
      <xdr:row>5</xdr:row>
      <xdr:rowOff>19050</xdr:rowOff>
    </xdr:to>
    <xdr:cxnSp macro="">
      <xdr:nvCxnSpPr>
        <xdr:cNvPr id="28" name="Straight Arrow Connector 27">
          <a:extLst>
            <a:ext uri="{FF2B5EF4-FFF2-40B4-BE49-F238E27FC236}">
              <a16:creationId xmlns:a16="http://schemas.microsoft.com/office/drawing/2014/main" id="{00000000-0008-0000-0000-00001C000000}"/>
            </a:ext>
          </a:extLst>
        </xdr:cNvPr>
        <xdr:cNvCxnSpPr>
          <a:stCxn id="2056" idx="0"/>
          <a:endCxn id="2070" idx="1"/>
        </xdr:cNvCxnSpPr>
      </xdr:nvCxnSpPr>
      <xdr:spPr bwMode="auto">
        <a:xfrm flipV="1">
          <a:off x="2190384" y="531202"/>
          <a:ext cx="1753699" cy="293810"/>
        </a:xfrm>
        <a:prstGeom prst="straightConnector1">
          <a:avLst/>
        </a:prstGeom>
        <a:solidFill>
          <a:srgbClr val="090000"/>
        </a:solidFill>
        <a:ln w="9525"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194467</xdr:colOff>
      <xdr:row>0</xdr:row>
      <xdr:rowOff>88901</xdr:rowOff>
    </xdr:from>
    <xdr:to>
      <xdr:col>26</xdr:col>
      <xdr:colOff>578642</xdr:colOff>
      <xdr:row>14</xdr:row>
      <xdr:rowOff>95251</xdr:rowOff>
    </xdr:to>
    <xdr:graphicFrame macro="">
      <xdr:nvGraphicFramePr>
        <xdr:cNvPr id="2" name="Chart 1">
          <a:extLst>
            <a:ext uri="{FF2B5EF4-FFF2-40B4-BE49-F238E27FC236}">
              <a16:creationId xmlns:a16="http://schemas.microsoft.com/office/drawing/2014/main" id="{879A9CD3-EEBE-4741-B8AB-7D502E109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9525</xdr:colOff>
      <xdr:row>2</xdr:row>
      <xdr:rowOff>4762</xdr:rowOff>
    </xdr:from>
    <xdr:to>
      <xdr:col>17</xdr:col>
      <xdr:colOff>314325</xdr:colOff>
      <xdr:row>18</xdr:row>
      <xdr:rowOff>157162</xdr:rowOff>
    </xdr:to>
    <xdr:graphicFrame macro="">
      <xdr:nvGraphicFramePr>
        <xdr:cNvPr id="2" name="Chart 1">
          <a:extLst>
            <a:ext uri="{FF2B5EF4-FFF2-40B4-BE49-F238E27FC236}">
              <a16:creationId xmlns:a16="http://schemas.microsoft.com/office/drawing/2014/main" id="{F5C04D70-5732-42D1-BC2E-65D18F18E5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89535</xdr:colOff>
      <xdr:row>33</xdr:row>
      <xdr:rowOff>120014</xdr:rowOff>
    </xdr:from>
    <xdr:to>
      <xdr:col>6</xdr:col>
      <xdr:colOff>577215</xdr:colOff>
      <xdr:row>66</xdr:row>
      <xdr:rowOff>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699135" y="6071234"/>
          <a:ext cx="5135880" cy="54121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baseline="0">
              <a:solidFill>
                <a:schemeClr val="dk1"/>
              </a:solidFill>
              <a:latin typeface="+mn-lt"/>
              <a:ea typeface="+mn-ea"/>
              <a:cs typeface="+mn-cs"/>
            </a:rPr>
            <a:t>The Data/Table procedure allows us to quickly assess the sensitivity of profits to price, or the way profit changes as we vary the price. </a:t>
          </a:r>
          <a:endParaRPr lang="en-US"/>
        </a:p>
        <a:p>
          <a:pPr rtl="0" fontAlgn="base"/>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To create a data table where the value of the input variable changes across a row: </a:t>
          </a:r>
          <a:endParaRPr lang="en-US"/>
        </a:p>
        <a:p>
          <a:pPr rtl="0" fontAlgn="base"/>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1. enter possible pie prices from, for example, $4 to $12 in Cells </a:t>
          </a:r>
          <a:r>
            <a:rPr lang="en-US" sz="1100" b="1" i="0" baseline="0">
              <a:solidFill>
                <a:schemeClr val="dk1"/>
              </a:solidFill>
              <a:latin typeface="+mn-lt"/>
              <a:ea typeface="+mn-ea"/>
              <a:cs typeface="+mn-cs"/>
            </a:rPr>
            <a:t>B24:B32</a:t>
          </a:r>
          <a:r>
            <a:rPr lang="en-US" sz="1100" b="0" i="0" baseline="0">
              <a:solidFill>
                <a:schemeClr val="dk1"/>
              </a:solidFill>
              <a:latin typeface="+mn-lt"/>
              <a:ea typeface="+mn-ea"/>
              <a:cs typeface="+mn-cs"/>
            </a:rPr>
            <a:t>.  (note: the prices should be constants rather than functions or equations) </a:t>
          </a:r>
          <a:endParaRPr lang="en-US"/>
        </a:p>
        <a:p>
          <a:pPr rtl="0" fontAlgn="base"/>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2.  In B23 just below the pie prices, and one column to the right of the price change column, enter a reference to cell for "profit": "=B20".</a:t>
          </a:r>
          <a:endParaRPr lang="en-US"/>
        </a:p>
        <a:p>
          <a:pPr rtl="0" fontAlgn="base"/>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3. Select the range of cells </a:t>
          </a:r>
          <a:r>
            <a:rPr lang="en-US" sz="1100" b="1" i="0" baseline="0">
              <a:solidFill>
                <a:schemeClr val="dk1"/>
              </a:solidFill>
              <a:latin typeface="+mn-lt"/>
              <a:ea typeface="+mn-ea"/>
              <a:cs typeface="+mn-cs"/>
            </a:rPr>
            <a:t>B23:C32</a:t>
          </a:r>
          <a:r>
            <a:rPr lang="en-US" sz="1100" b="0" i="0" baseline="0">
              <a:solidFill>
                <a:schemeClr val="dk1"/>
              </a:solidFill>
              <a:latin typeface="+mn-lt"/>
              <a:ea typeface="+mn-ea"/>
              <a:cs typeface="+mn-cs"/>
            </a:rPr>
            <a:t>.</a:t>
          </a:r>
          <a:endParaRPr lang="en-US"/>
        </a:p>
        <a:p>
          <a:pPr rtl="0" fontAlgn="base"/>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4. From the Data tab, choose What-if Analysis and select Data Table and enter the yellow "Pie Price" cell B3 as the column input cell. Press OK.</a:t>
          </a:r>
        </a:p>
        <a:p>
          <a:pPr rtl="0"/>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5. Deposit price and profit as X and Y coordinates in a scatterplot.</a:t>
          </a:r>
        </a:p>
        <a:p>
          <a:pPr rtl="0"/>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6. Place the cursor on any number in the horizontal axis (X-axis) of the plot. Right click and choose Format Axis. In the resulting dialogue change the minimum to 6 and the maximum to 10.</a:t>
          </a:r>
        </a:p>
        <a:p>
          <a:pPr rtl="0"/>
          <a:endParaRPr lang="en-US" sz="1100" b="0" i="0" baseline="0">
            <a:solidFill>
              <a:schemeClr val="dk1"/>
            </a:solidFill>
            <a:latin typeface="+mn-lt"/>
            <a:ea typeface="+mn-ea"/>
            <a:cs typeface="+mn-cs"/>
          </a:endParaRPr>
        </a:p>
        <a:p>
          <a:pPr rtl="0"/>
          <a:r>
            <a:rPr lang="en-US" sz="1100" b="0" i="0" baseline="0">
              <a:solidFill>
                <a:schemeClr val="dk1"/>
              </a:solidFill>
              <a:latin typeface="+mn-lt"/>
              <a:ea typeface="+mn-ea"/>
              <a:cs typeface="+mn-cs"/>
            </a:rPr>
            <a:t>7. Click on the chart body. Click on the + box at the upper right hand corner of the chart region. Check the Axis title box and uncheck the Legend box.</a:t>
          </a:r>
          <a:endParaRPr lang="en-US"/>
        </a:p>
        <a:p>
          <a:pPr rtl="0"/>
          <a:r>
            <a:rPr lang="en-US" sz="1100" b="0" i="0" baseline="0">
              <a:solidFill>
                <a:schemeClr val="dk1"/>
              </a:solidFill>
              <a:latin typeface="+mn-lt"/>
              <a:ea typeface="+mn-ea"/>
              <a:cs typeface="+mn-cs"/>
            </a:rPr>
            <a:t> </a:t>
          </a:r>
        </a:p>
        <a:p>
          <a:pPr rtl="0"/>
          <a:r>
            <a:rPr lang="en-US" sz="1100" b="0" i="0" baseline="0">
              <a:solidFill>
                <a:schemeClr val="dk1"/>
              </a:solidFill>
              <a:latin typeface="+mn-lt"/>
              <a:ea typeface="+mn-ea"/>
              <a:cs typeface="+mn-cs"/>
            </a:rPr>
            <a:t>8. Locate the title texts in cells B34:C36. Click on the chart title text box, then click on the now blank formula box above the column headers. When the cursor flashes in the formla box type and "=" character. This will allow you to move the cursor to cell B34. Press Enter. The chart title text will appear in the chart title text box on the chart. Perform the same steps for the Axis Titles.</a:t>
          </a: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148590</xdr:colOff>
      <xdr:row>10</xdr:row>
      <xdr:rowOff>81915</xdr:rowOff>
    </xdr:from>
    <xdr:to>
      <xdr:col>2</xdr:col>
      <xdr:colOff>272415</xdr:colOff>
      <xdr:row>18</xdr:row>
      <xdr:rowOff>15240</xdr:rowOff>
    </xdr:to>
    <xdr:sp macro="" textlink="">
      <xdr:nvSpPr>
        <xdr:cNvPr id="5121" name="Text Box 1">
          <a:extLst>
            <a:ext uri="{FF2B5EF4-FFF2-40B4-BE49-F238E27FC236}">
              <a16:creationId xmlns:a16="http://schemas.microsoft.com/office/drawing/2014/main" id="{00000000-0008-0000-0400-000001140000}"/>
            </a:ext>
          </a:extLst>
        </xdr:cNvPr>
        <xdr:cNvSpPr txBox="1">
          <a:spLocks noChangeArrowheads="1"/>
        </xdr:cNvSpPr>
      </xdr:nvSpPr>
      <xdr:spPr bwMode="auto">
        <a:xfrm>
          <a:off x="148590" y="3381375"/>
          <a:ext cx="1800225" cy="127444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Goal seek allows us to find the</a:t>
          </a:r>
        </a:p>
        <a:p>
          <a:pPr algn="l" rtl="0">
            <a:defRPr sz="1000"/>
          </a:pPr>
          <a:r>
            <a:rPr lang="en-US" sz="1000" b="0" i="0" u="none" strike="noStrike" baseline="0">
              <a:solidFill>
                <a:srgbClr val="000000"/>
              </a:solidFill>
              <a:latin typeface="Arial"/>
              <a:cs typeface="Arial"/>
            </a:rPr>
            <a:t>breakeven pie price.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Is there more than one breakeven price?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mit.edu/~mbarker/formula1/f1help/04-g-m60.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41062-D33C-49B1-887F-8E072E93199A}">
  <sheetPr codeName="Sheet1"/>
  <dimension ref="A1:S31"/>
  <sheetViews>
    <sheetView tabSelected="1" zoomScale="92" zoomScaleNormal="115" workbookViewId="0">
      <selection activeCell="A33" sqref="A33"/>
    </sheetView>
  </sheetViews>
  <sheetFormatPr defaultRowHeight="13.2" x14ac:dyDescent="0.25"/>
  <cols>
    <col min="5" max="5" width="4.109375" customWidth="1"/>
    <col min="6" max="6" width="4.77734375" customWidth="1"/>
    <col min="7" max="7" width="11.44140625" style="170" customWidth="1"/>
    <col min="8" max="8" width="8" customWidth="1"/>
    <col min="9" max="9" width="9.33203125" customWidth="1"/>
    <col min="10" max="10" width="9.88671875" bestFit="1" customWidth="1"/>
    <col min="11" max="11" width="8.5546875" customWidth="1"/>
    <col min="12" max="12" width="10.109375" customWidth="1"/>
    <col min="13" max="13" width="9.77734375" customWidth="1"/>
  </cols>
  <sheetData>
    <row r="1" spans="1:19" ht="15.6" x14ac:dyDescent="0.3">
      <c r="A1" s="109" t="str">
        <f>settings!N3</f>
        <v>Make-A-Pie Weekly Profit and Valuation</v>
      </c>
      <c r="B1" s="110"/>
      <c r="C1" s="110"/>
      <c r="D1" s="110"/>
      <c r="E1" s="110"/>
      <c r="F1" s="110"/>
      <c r="G1" s="169"/>
      <c r="H1" s="110"/>
      <c r="I1" s="110"/>
      <c r="J1" s="110"/>
      <c r="K1" s="110"/>
      <c r="L1" s="110"/>
      <c r="M1" s="110"/>
      <c r="N1" s="110"/>
      <c r="O1" s="110"/>
      <c r="P1" s="110"/>
      <c r="Q1" s="110"/>
      <c r="R1" s="110"/>
      <c r="S1" s="110"/>
    </row>
    <row r="2" spans="1:19" x14ac:dyDescent="0.25">
      <c r="A2" s="110"/>
      <c r="B2" s="110"/>
      <c r="C2" s="110"/>
      <c r="D2" s="110"/>
      <c r="E2" s="110"/>
      <c r="F2" s="110"/>
      <c r="G2" s="169"/>
      <c r="H2" s="110"/>
      <c r="I2" s="110"/>
      <c r="J2" s="110"/>
      <c r="K2" s="110"/>
      <c r="L2" s="110"/>
      <c r="M2" s="110"/>
      <c r="N2" s="110"/>
      <c r="O2" s="110"/>
      <c r="P2" s="110"/>
      <c r="Q2" s="110"/>
      <c r="R2" s="110"/>
      <c r="S2" s="110"/>
    </row>
    <row r="3" spans="1:19" x14ac:dyDescent="0.25">
      <c r="A3" s="110"/>
      <c r="B3" s="110"/>
      <c r="C3" s="110"/>
      <c r="D3" s="110"/>
      <c r="E3" s="110"/>
      <c r="F3" s="110"/>
      <c r="G3" s="169"/>
      <c r="H3" s="169" t="str">
        <f>settings!U4</f>
        <v>filling cost/pie</v>
      </c>
      <c r="I3" s="174">
        <f>settings!V4</f>
        <v>3.5</v>
      </c>
      <c r="J3" s="110"/>
      <c r="K3" s="110"/>
      <c r="L3" s="113"/>
      <c r="M3" s="113"/>
      <c r="N3" s="110"/>
      <c r="O3" s="110"/>
      <c r="P3" s="110"/>
      <c r="Q3" s="110"/>
      <c r="R3" s="110"/>
      <c r="S3" s="110"/>
    </row>
    <row r="4" spans="1:19" x14ac:dyDescent="0.25">
      <c r="A4" s="110"/>
      <c r="B4" s="110"/>
      <c r="C4" s="110"/>
      <c r="D4" s="110"/>
      <c r="E4" s="110"/>
      <c r="F4" s="110"/>
      <c r="G4" s="169"/>
      <c r="H4" s="169" t="str">
        <f>settings!U5</f>
        <v>dough cost/pie</v>
      </c>
      <c r="I4" s="174">
        <f>settings!V5</f>
        <v>0.26</v>
      </c>
      <c r="J4" s="110"/>
      <c r="K4" s="110"/>
      <c r="L4" s="113"/>
      <c r="M4" s="113"/>
      <c r="N4" s="110"/>
      <c r="O4" s="110"/>
      <c r="P4" s="110"/>
      <c r="Q4" s="110"/>
      <c r="R4" s="110"/>
      <c r="S4" s="110"/>
    </row>
    <row r="5" spans="1:19" x14ac:dyDescent="0.25">
      <c r="A5" s="110"/>
      <c r="B5" s="110"/>
      <c r="C5" s="110"/>
      <c r="D5" s="110"/>
      <c r="E5" s="110"/>
      <c r="F5" s="110"/>
      <c r="G5" s="169"/>
      <c r="H5" s="169" t="str">
        <f>settings!U6</f>
        <v>fixed cost</v>
      </c>
      <c r="I5" s="175">
        <f>settings!V6</f>
        <v>13020</v>
      </c>
      <c r="J5" s="110"/>
      <c r="K5" s="110"/>
      <c r="L5" s="113"/>
      <c r="M5" s="113"/>
      <c r="N5" s="110"/>
      <c r="O5" s="110"/>
      <c r="P5" s="110"/>
      <c r="Q5" s="110"/>
      <c r="R5" s="110"/>
      <c r="S5" s="110"/>
    </row>
    <row r="6" spans="1:19" x14ac:dyDescent="0.25">
      <c r="A6" s="110"/>
      <c r="B6" s="110"/>
      <c r="C6" s="110"/>
      <c r="D6" s="110"/>
      <c r="E6" s="110"/>
      <c r="F6" s="110"/>
      <c r="G6" s="169"/>
      <c r="H6" s="110"/>
      <c r="I6" s="110"/>
      <c r="J6" s="110"/>
      <c r="K6" s="113"/>
      <c r="L6" s="113"/>
      <c r="M6" s="113"/>
      <c r="N6" s="113"/>
      <c r="O6" s="113"/>
      <c r="P6" s="113"/>
      <c r="Q6" s="113"/>
      <c r="R6" s="113"/>
      <c r="S6" s="113"/>
    </row>
    <row r="7" spans="1:19" x14ac:dyDescent="0.25">
      <c r="A7" s="110"/>
      <c r="B7" s="110"/>
      <c r="C7" s="110"/>
      <c r="D7" s="110"/>
      <c r="E7" s="110"/>
      <c r="F7" s="110"/>
      <c r="G7" s="169"/>
      <c r="H7" s="110"/>
      <c r="I7" s="169"/>
      <c r="J7" s="168" t="str">
        <f>settings!V8</f>
        <v>weekly</v>
      </c>
      <c r="K7" s="168" t="str">
        <f>settings!W8</f>
        <v>3-year</v>
      </c>
      <c r="L7" s="113"/>
      <c r="M7" s="113"/>
      <c r="N7" s="113"/>
      <c r="O7" s="113"/>
      <c r="P7" s="113"/>
      <c r="Q7" s="113"/>
      <c r="R7" s="113"/>
      <c r="S7" s="113"/>
    </row>
    <row r="8" spans="1:19" x14ac:dyDescent="0.25">
      <c r="A8" s="110"/>
      <c r="B8" s="110"/>
      <c r="C8" s="110"/>
      <c r="D8" s="110"/>
      <c r="E8" s="110"/>
      <c r="F8" s="110"/>
      <c r="G8" s="169"/>
      <c r="H8" s="110"/>
      <c r="I8" s="169" t="str">
        <f>settings!U9</f>
        <v>pie price</v>
      </c>
      <c r="J8" s="164">
        <f>settings!V9</f>
        <v>7.625</v>
      </c>
      <c r="K8" s="164">
        <f>settings!W9</f>
        <v>8</v>
      </c>
      <c r="L8" s="113"/>
      <c r="M8" s="113"/>
      <c r="N8" s="113"/>
      <c r="O8" s="113"/>
      <c r="P8" s="113"/>
      <c r="Q8" s="113"/>
      <c r="R8" s="113"/>
      <c r="S8" s="113"/>
    </row>
    <row r="9" spans="1:19" x14ac:dyDescent="0.25">
      <c r="A9" s="110"/>
      <c r="B9" s="110"/>
      <c r="C9" s="110"/>
      <c r="D9" s="110"/>
      <c r="E9" s="110"/>
      <c r="F9" s="110"/>
      <c r="G9" s="169"/>
      <c r="H9" s="110"/>
      <c r="I9" s="169" t="str">
        <f>settings!U10</f>
        <v>profit-npv</v>
      </c>
      <c r="J9" s="165">
        <f>settings!V10</f>
        <v>8672.4097802590259</v>
      </c>
      <c r="K9" s="172">
        <f>settings!W10</f>
        <v>-1950893.7953402</v>
      </c>
      <c r="L9" s="113"/>
      <c r="M9" s="113"/>
      <c r="N9" s="113"/>
      <c r="O9" s="113"/>
      <c r="P9" s="113"/>
      <c r="Q9" s="113"/>
      <c r="R9" s="113"/>
      <c r="S9" s="113"/>
    </row>
    <row r="10" spans="1:19" x14ac:dyDescent="0.25">
      <c r="A10" s="110"/>
      <c r="B10" s="110"/>
      <c r="C10" s="110"/>
      <c r="D10" s="110"/>
      <c r="E10" s="110"/>
      <c r="F10" s="110"/>
      <c r="G10" s="169"/>
      <c r="H10" s="110"/>
      <c r="I10" s="233" t="s">
        <v>168</v>
      </c>
      <c r="J10" s="110"/>
      <c r="K10" s="113"/>
      <c r="L10" s="113"/>
      <c r="M10" s="113"/>
      <c r="N10" s="113"/>
      <c r="O10" s="113"/>
      <c r="P10" s="113"/>
      <c r="Q10" s="113"/>
      <c r="R10" s="113"/>
      <c r="S10" s="113"/>
    </row>
    <row r="11" spans="1:19" x14ac:dyDescent="0.25">
      <c r="A11" s="110"/>
      <c r="B11" s="110"/>
      <c r="C11" s="110"/>
      <c r="D11" s="110"/>
      <c r="E11" s="110"/>
      <c r="F11" s="110"/>
      <c r="G11" s="169"/>
      <c r="H11" s="110"/>
      <c r="I11" s="110"/>
      <c r="J11" s="110"/>
      <c r="K11" s="113"/>
      <c r="L11" s="111"/>
      <c r="M11" s="111"/>
      <c r="N11" s="110"/>
      <c r="O11" s="110"/>
      <c r="P11" s="110"/>
      <c r="Q11" s="110"/>
      <c r="R11" s="110"/>
      <c r="S11" s="110"/>
    </row>
    <row r="12" spans="1:19" x14ac:dyDescent="0.25">
      <c r="A12" s="110"/>
      <c r="B12" s="110"/>
      <c r="C12" s="110"/>
      <c r="D12" s="110"/>
      <c r="E12" s="110"/>
      <c r="F12" s="110"/>
      <c r="G12" s="169"/>
      <c r="H12" s="110"/>
      <c r="I12" s="110"/>
      <c r="J12" s="110"/>
      <c r="K12" s="113"/>
      <c r="L12" s="110"/>
      <c r="M12" s="110"/>
      <c r="N12" s="110"/>
      <c r="O12" s="110"/>
      <c r="P12" s="110"/>
      <c r="Q12" s="110"/>
      <c r="R12" s="110"/>
      <c r="S12" s="110"/>
    </row>
    <row r="13" spans="1:19" x14ac:dyDescent="0.25">
      <c r="A13" s="110"/>
      <c r="B13" s="110"/>
      <c r="C13" s="110"/>
      <c r="D13" s="110"/>
      <c r="E13" s="110"/>
      <c r="F13" s="110"/>
      <c r="G13" s="169"/>
      <c r="H13" s="169"/>
      <c r="I13" s="168" t="str">
        <f>settings!V12</f>
        <v>weekly</v>
      </c>
      <c r="J13" s="168" t="str">
        <f>settings!W12</f>
        <v>year 1</v>
      </c>
      <c r="K13" s="168" t="str">
        <f>settings!X12</f>
        <v>year 2</v>
      </c>
      <c r="L13" s="168" t="str">
        <f>settings!Y12</f>
        <v>year 3</v>
      </c>
      <c r="M13" s="110"/>
      <c r="N13" s="110"/>
      <c r="O13" s="110"/>
      <c r="P13" s="110"/>
      <c r="Q13" s="110"/>
      <c r="R13" s="110"/>
      <c r="S13" s="110"/>
    </row>
    <row r="14" spans="1:19" x14ac:dyDescent="0.25">
      <c r="A14" s="110"/>
      <c r="B14" s="110"/>
      <c r="C14" s="110"/>
      <c r="D14" s="110"/>
      <c r="E14" s="110"/>
      <c r="F14" s="110"/>
      <c r="G14" s="169"/>
      <c r="H14" s="173" t="str">
        <f>settings!U13</f>
        <v>pies</v>
      </c>
      <c r="I14" s="175">
        <f>settings!V13</f>
        <v>10687.5</v>
      </c>
      <c r="J14" s="175">
        <f>settings!W13</f>
        <v>468000</v>
      </c>
      <c r="K14" s="175">
        <f>settings!X13</f>
        <v>430560</v>
      </c>
      <c r="L14" s="175">
        <f>settings!Y13</f>
        <v>392371.19999999995</v>
      </c>
      <c r="M14" s="110"/>
      <c r="N14" s="110"/>
      <c r="O14" s="110"/>
      <c r="P14" s="110"/>
      <c r="Q14" s="110"/>
      <c r="R14" s="110"/>
      <c r="S14" s="110"/>
    </row>
    <row r="15" spans="1:19" x14ac:dyDescent="0.25">
      <c r="A15" s="110"/>
      <c r="B15" s="110"/>
      <c r="C15" s="110"/>
      <c r="D15" s="110"/>
      <c r="E15" s="110"/>
      <c r="F15" s="110"/>
      <c r="G15" s="169"/>
      <c r="H15" s="173" t="str">
        <f>settings!U14</f>
        <v>cost/pie</v>
      </c>
      <c r="I15" s="174">
        <f>settings!V14</f>
        <v>19.614777719740978</v>
      </c>
      <c r="J15" s="174">
        <f>settings!W14</f>
        <v>15.892350027018203</v>
      </c>
      <c r="K15" s="174">
        <f>settings!X14</f>
        <v>14.375488350475068</v>
      </c>
      <c r="L15" s="174">
        <f>settings!Y14</f>
        <v>12.87226978463551</v>
      </c>
      <c r="M15" s="110"/>
      <c r="N15" s="110"/>
      <c r="O15" s="110"/>
      <c r="P15" s="110"/>
      <c r="Q15" s="110"/>
      <c r="R15" s="110"/>
      <c r="S15" s="110"/>
    </row>
    <row r="16" spans="1:19" x14ac:dyDescent="0.25">
      <c r="A16" s="110"/>
      <c r="B16" s="110"/>
      <c r="C16" s="110"/>
      <c r="D16" s="110"/>
      <c r="E16" s="110"/>
      <c r="F16" s="110"/>
      <c r="G16" s="169"/>
      <c r="H16" s="110"/>
      <c r="I16" s="110"/>
      <c r="J16" s="110"/>
      <c r="K16" s="112"/>
      <c r="L16" s="110"/>
      <c r="M16" s="110"/>
      <c r="N16" s="110"/>
      <c r="O16" s="110"/>
      <c r="P16" s="110"/>
      <c r="Q16" s="110"/>
      <c r="R16" s="110"/>
      <c r="S16" s="110"/>
    </row>
    <row r="17" spans="1:19" x14ac:dyDescent="0.25">
      <c r="A17" s="110"/>
      <c r="B17" s="110"/>
      <c r="C17" s="110"/>
      <c r="D17" s="110"/>
      <c r="E17" s="110"/>
      <c r="F17" s="110"/>
      <c r="G17" s="169"/>
      <c r="H17" s="110"/>
      <c r="I17" s="110"/>
      <c r="J17" s="110"/>
      <c r="K17" s="114"/>
      <c r="L17" s="110"/>
      <c r="M17" s="110"/>
      <c r="N17" s="110"/>
      <c r="O17" s="110"/>
      <c r="P17" s="110"/>
      <c r="Q17" s="110"/>
      <c r="R17" s="110"/>
      <c r="S17" s="110"/>
    </row>
    <row r="18" spans="1:19" x14ac:dyDescent="0.25">
      <c r="A18" s="110"/>
      <c r="B18" s="110"/>
      <c r="C18" s="110"/>
      <c r="D18" s="110"/>
      <c r="E18" s="110"/>
      <c r="F18" s="110"/>
      <c r="G18" s="169"/>
      <c r="H18" s="110"/>
      <c r="I18" s="110"/>
      <c r="J18" s="110"/>
      <c r="K18" s="111"/>
      <c r="L18" s="110"/>
      <c r="M18" s="110"/>
      <c r="N18" s="110"/>
      <c r="O18" s="110"/>
      <c r="P18" s="110"/>
      <c r="Q18" s="110"/>
      <c r="R18" s="110"/>
      <c r="S18" s="110"/>
    </row>
    <row r="19" spans="1:19" x14ac:dyDescent="0.25">
      <c r="A19" s="110"/>
      <c r="B19" s="110"/>
      <c r="C19" s="110"/>
      <c r="D19" s="110"/>
      <c r="E19" s="110"/>
      <c r="F19" s="110"/>
      <c r="G19" s="110"/>
      <c r="H19" s="110"/>
      <c r="I19" s="110"/>
      <c r="J19" s="169"/>
      <c r="K19" s="110"/>
      <c r="L19" s="110"/>
      <c r="M19" s="110"/>
      <c r="N19" s="110"/>
      <c r="O19" s="110"/>
      <c r="P19" s="110"/>
      <c r="Q19" s="110"/>
      <c r="R19" s="110"/>
      <c r="S19" s="110"/>
    </row>
    <row r="20" spans="1:19" x14ac:dyDescent="0.25">
      <c r="A20" s="110"/>
      <c r="B20" s="110"/>
      <c r="C20" s="110"/>
      <c r="D20" s="110"/>
      <c r="E20" s="110"/>
      <c r="F20" s="110"/>
      <c r="G20" s="196" t="str">
        <f>sensitivity!U6</f>
        <v>filling cost grid</v>
      </c>
      <c r="H20" s="197"/>
      <c r="I20" s="197"/>
      <c r="J20" s="197"/>
      <c r="K20" s="197"/>
      <c r="L20" s="197"/>
      <c r="M20" s="198"/>
      <c r="N20" s="110"/>
      <c r="O20" s="110"/>
      <c r="P20" s="110"/>
      <c r="Q20" s="110"/>
      <c r="R20" s="110"/>
      <c r="S20" s="110"/>
    </row>
    <row r="21" spans="1:19" x14ac:dyDescent="0.25">
      <c r="A21" s="110"/>
      <c r="B21" s="110"/>
      <c r="C21" s="110"/>
      <c r="D21" s="110"/>
      <c r="E21" s="110"/>
      <c r="F21" s="167"/>
      <c r="G21" s="171">
        <f>sensitivity!U7</f>
        <v>3.5</v>
      </c>
      <c r="H21" s="171">
        <f>sensitivity!V7</f>
        <v>3.625</v>
      </c>
      <c r="I21" s="171">
        <f>sensitivity!W7</f>
        <v>3.75</v>
      </c>
      <c r="J21" s="171">
        <f>sensitivity!X7</f>
        <v>3.875</v>
      </c>
      <c r="K21" s="171">
        <f>sensitivity!Y7</f>
        <v>4</v>
      </c>
      <c r="L21" s="171">
        <f>sensitivity!Z7</f>
        <v>4.125</v>
      </c>
      <c r="M21" s="171">
        <f>sensitivity!AA7</f>
        <v>4.25</v>
      </c>
      <c r="N21" s="110"/>
      <c r="O21" s="110"/>
      <c r="P21" s="110"/>
      <c r="Q21" s="110"/>
      <c r="R21" s="110"/>
      <c r="S21" s="110"/>
    </row>
    <row r="22" spans="1:19" x14ac:dyDescent="0.25">
      <c r="A22" s="110"/>
      <c r="B22" s="110"/>
      <c r="C22" s="110"/>
      <c r="D22" s="110"/>
      <c r="E22" s="199" t="str">
        <f>sensitivity!S8</f>
        <v>price grid</v>
      </c>
      <c r="F22" s="171">
        <f>sensitivity!T8</f>
        <v>7.5</v>
      </c>
      <c r="G22" s="187">
        <f>sensitivity!U8</f>
        <v>-2147.6211303482341</v>
      </c>
      <c r="H22" s="188">
        <f>sensitivity!V8</f>
        <v>-2342.9376421076254</v>
      </c>
      <c r="I22" s="188">
        <f>sensitivity!W8</f>
        <v>-2538.2541538670171</v>
      </c>
      <c r="J22" s="188">
        <f>sensitivity!X8</f>
        <v>-2733.5706656264078</v>
      </c>
      <c r="K22" s="188">
        <f>sensitivity!Y8</f>
        <v>-2928.8871773857995</v>
      </c>
      <c r="L22" s="188">
        <f>sensitivity!Z8</f>
        <v>-3124.2036891451917</v>
      </c>
      <c r="M22" s="189">
        <f>sensitivity!AA8</f>
        <v>-3319.5202009045825</v>
      </c>
      <c r="N22" s="110"/>
      <c r="O22" s="110"/>
      <c r="P22" s="110"/>
      <c r="Q22" s="110"/>
      <c r="R22" s="110"/>
      <c r="S22" s="110"/>
    </row>
    <row r="23" spans="1:19" x14ac:dyDescent="0.25">
      <c r="A23" s="110"/>
      <c r="B23" s="110"/>
      <c r="C23" s="110"/>
      <c r="D23" s="110"/>
      <c r="E23" s="199"/>
      <c r="F23" s="171">
        <f>sensitivity!T9</f>
        <v>7.625</v>
      </c>
      <c r="G23" s="190">
        <f>sensitivity!U9</f>
        <v>-2064.8680482181198</v>
      </c>
      <c r="H23" s="191">
        <f>sensitivity!V9</f>
        <v>-2249.5981572058072</v>
      </c>
      <c r="I23" s="191">
        <f>sensitivity!W9</f>
        <v>-2434.3282661934945</v>
      </c>
      <c r="J23" s="191">
        <f>sensitivity!X9</f>
        <v>-2619.0583751811828</v>
      </c>
      <c r="K23" s="191">
        <f>sensitivity!Y9</f>
        <v>-2803.788484168871</v>
      </c>
      <c r="L23" s="191">
        <f>sensitivity!Z9</f>
        <v>-2988.5185931565584</v>
      </c>
      <c r="M23" s="192">
        <f>sensitivity!AA9</f>
        <v>-3173.2487021442466</v>
      </c>
      <c r="N23" s="110"/>
      <c r="O23" s="110"/>
      <c r="P23" s="110"/>
      <c r="Q23" s="110"/>
      <c r="R23" s="110"/>
      <c r="S23" s="110"/>
    </row>
    <row r="24" spans="1:19" x14ac:dyDescent="0.25">
      <c r="A24" s="110"/>
      <c r="B24" s="110"/>
      <c r="C24" s="110"/>
      <c r="D24" s="110"/>
      <c r="E24" s="199"/>
      <c r="F24" s="171">
        <f>sensitivity!T10</f>
        <v>7.75</v>
      </c>
      <c r="G24" s="190">
        <f>sensitivity!U10</f>
        <v>-2004.4957983400755</v>
      </c>
      <c r="H24" s="191">
        <f>sensitivity!V10</f>
        <v>-2178.6395045560598</v>
      </c>
      <c r="I24" s="191">
        <f>sensitivity!W10</f>
        <v>-2352.7832107720437</v>
      </c>
      <c r="J24" s="191">
        <f>sensitivity!X10</f>
        <v>-2526.9269169880281</v>
      </c>
      <c r="K24" s="191">
        <f>sensitivity!Y10</f>
        <v>-2701.0706232040125</v>
      </c>
      <c r="L24" s="191">
        <f>sensitivity!Z10</f>
        <v>-2875.2143294199964</v>
      </c>
      <c r="M24" s="192">
        <f>sensitivity!AA10</f>
        <v>-3049.3580356359807</v>
      </c>
      <c r="N24" s="110"/>
      <c r="O24" s="110"/>
      <c r="P24" s="110"/>
      <c r="Q24" s="110"/>
      <c r="R24" s="110"/>
      <c r="S24" s="110"/>
    </row>
    <row r="25" spans="1:19" x14ac:dyDescent="0.25">
      <c r="A25" s="110"/>
      <c r="B25" s="110"/>
      <c r="C25" s="110"/>
      <c r="D25" s="110"/>
      <c r="E25" s="199"/>
      <c r="F25" s="171">
        <f>sensitivity!T11</f>
        <v>7.875</v>
      </c>
      <c r="G25" s="190">
        <f>sensitivity!U11</f>
        <v>-1966.5043807141017</v>
      </c>
      <c r="H25" s="191">
        <f>sensitivity!V11</f>
        <v>-2130.0616841583824</v>
      </c>
      <c r="I25" s="191">
        <f>sensitivity!W11</f>
        <v>-2293.6189876026633</v>
      </c>
      <c r="J25" s="191">
        <f>sensitivity!X11</f>
        <v>-2457.1762910469438</v>
      </c>
      <c r="K25" s="191">
        <f>sensitivity!Y11</f>
        <v>-2620.7335944912247</v>
      </c>
      <c r="L25" s="191">
        <f>sensitivity!Z11</f>
        <v>-2784.2908979355052</v>
      </c>
      <c r="M25" s="192">
        <f>sensitivity!AA11</f>
        <v>-2947.8482013797857</v>
      </c>
      <c r="N25" s="110"/>
      <c r="O25" s="110"/>
      <c r="P25" s="110"/>
      <c r="Q25" s="110"/>
      <c r="R25" s="110"/>
      <c r="S25" s="110"/>
    </row>
    <row r="26" spans="1:19" x14ac:dyDescent="0.25">
      <c r="A26" s="110"/>
      <c r="B26" s="110"/>
      <c r="C26" s="110"/>
      <c r="D26" s="110"/>
      <c r="E26" s="199"/>
      <c r="F26" s="171">
        <f>sensitivity!T12</f>
        <v>8</v>
      </c>
      <c r="G26" s="190">
        <f>sensitivity!U12</f>
        <v>-1950.8937953401996</v>
      </c>
      <c r="H26" s="191">
        <f>sensitivity!V12</f>
        <v>-2103.8646960127771</v>
      </c>
      <c r="I26" s="191">
        <f>sensitivity!W12</f>
        <v>-2256.8355966853537</v>
      </c>
      <c r="J26" s="191">
        <f>sensitivity!X12</f>
        <v>-2409.8064973579308</v>
      </c>
      <c r="K26" s="191">
        <f>sensitivity!Y12</f>
        <v>-2562.7773980305078</v>
      </c>
      <c r="L26" s="191">
        <f>sensitivity!Z12</f>
        <v>-2715.7482987030849</v>
      </c>
      <c r="M26" s="192">
        <f>sensitivity!AA12</f>
        <v>-2868.7191993756619</v>
      </c>
      <c r="N26" s="110"/>
      <c r="O26" s="110"/>
      <c r="P26" s="110"/>
      <c r="Q26" s="110"/>
      <c r="R26" s="110"/>
      <c r="S26" s="110"/>
    </row>
    <row r="27" spans="1:19" x14ac:dyDescent="0.25">
      <c r="A27" s="110"/>
      <c r="B27" s="110"/>
      <c r="C27" s="110"/>
      <c r="D27" s="110"/>
      <c r="E27" s="199"/>
      <c r="F27" s="171">
        <f>sensitivity!T13</f>
        <v>8.125</v>
      </c>
      <c r="G27" s="190">
        <f>sensitivity!U13</f>
        <v>-1957.6640422183682</v>
      </c>
      <c r="H27" s="191">
        <f>sensitivity!V13</f>
        <v>-2100.0485401192418</v>
      </c>
      <c r="I27" s="191">
        <f>sensitivity!W13</f>
        <v>-2242.433038020115</v>
      </c>
      <c r="J27" s="191">
        <f>sensitivity!X13</f>
        <v>-2384.8175359209881</v>
      </c>
      <c r="K27" s="191">
        <f>sensitivity!Y13</f>
        <v>-2527.2020338218622</v>
      </c>
      <c r="L27" s="191">
        <f>sensitivity!Z13</f>
        <v>-2669.5865317227353</v>
      </c>
      <c r="M27" s="192">
        <f>sensitivity!AA13</f>
        <v>-2811.971029623609</v>
      </c>
      <c r="N27" s="110"/>
      <c r="O27" s="110"/>
      <c r="P27" s="110"/>
      <c r="Q27" s="110"/>
      <c r="R27" s="110"/>
      <c r="S27" s="110"/>
    </row>
    <row r="28" spans="1:19" x14ac:dyDescent="0.25">
      <c r="A28" s="110"/>
      <c r="B28" s="110"/>
      <c r="C28" s="110"/>
      <c r="D28" s="110"/>
      <c r="E28" s="199"/>
      <c r="F28" s="171">
        <f>sensitivity!T14</f>
        <v>8.25</v>
      </c>
      <c r="G28" s="190">
        <f>sensitivity!U14</f>
        <v>-1986.815121348609</v>
      </c>
      <c r="H28" s="191">
        <f>sensitivity!V14</f>
        <v>-2118.6132164777787</v>
      </c>
      <c r="I28" s="191">
        <f>sensitivity!W14</f>
        <v>-2250.4113116069484</v>
      </c>
      <c r="J28" s="191">
        <f>sensitivity!X14</f>
        <v>-2382.2094067361177</v>
      </c>
      <c r="K28" s="191">
        <f>sensitivity!Y14</f>
        <v>-2514.0075018652874</v>
      </c>
      <c r="L28" s="191">
        <f>sensitivity!Z14</f>
        <v>-2645.8055969944576</v>
      </c>
      <c r="M28" s="192">
        <f>sensitivity!AA14</f>
        <v>-2777.6036921236273</v>
      </c>
      <c r="N28" s="110"/>
      <c r="O28" s="110"/>
      <c r="P28" s="110"/>
      <c r="Q28" s="110"/>
      <c r="R28" s="110"/>
      <c r="S28" s="110"/>
    </row>
    <row r="29" spans="1:19" x14ac:dyDescent="0.25">
      <c r="A29" s="110"/>
      <c r="B29" s="110"/>
      <c r="C29" s="110"/>
      <c r="D29" s="110"/>
      <c r="E29" s="199"/>
      <c r="F29" s="171">
        <f>sensitivity!T15</f>
        <v>8.375</v>
      </c>
      <c r="G29" s="190">
        <f>sensitivity!U15</f>
        <v>-2038.3470327309176</v>
      </c>
      <c r="H29" s="191">
        <f>sensitivity!V15</f>
        <v>-2159.5587250883837</v>
      </c>
      <c r="I29" s="191">
        <f>sensitivity!W15</f>
        <v>-2280.7704174458495</v>
      </c>
      <c r="J29" s="191">
        <f>sensitivity!X15</f>
        <v>-2401.9821098033162</v>
      </c>
      <c r="K29" s="191">
        <f>sensitivity!Y15</f>
        <v>-2523.1938021607821</v>
      </c>
      <c r="L29" s="191">
        <f>sensitivity!Z15</f>
        <v>-2644.4054945182484</v>
      </c>
      <c r="M29" s="192">
        <f>sensitivity!AA15</f>
        <v>-2765.6171868757151</v>
      </c>
      <c r="N29" s="110"/>
      <c r="O29" s="110"/>
      <c r="P29" s="110"/>
      <c r="Q29" s="110"/>
      <c r="R29" s="110"/>
      <c r="S29" s="110"/>
    </row>
    <row r="30" spans="1:19" x14ac:dyDescent="0.25">
      <c r="A30" s="110"/>
      <c r="B30" s="110"/>
      <c r="C30" s="110"/>
      <c r="D30" s="110"/>
      <c r="E30" s="199"/>
      <c r="F30" s="171">
        <f>sensitivity!T16</f>
        <v>8.5</v>
      </c>
      <c r="G30" s="193">
        <f>sensitivity!U16</f>
        <v>-2112.2597763652989</v>
      </c>
      <c r="H30" s="194">
        <f>sensitivity!V16</f>
        <v>-2222.8850659510613</v>
      </c>
      <c r="I30" s="194">
        <f>sensitivity!W16</f>
        <v>-2333.5103555368241</v>
      </c>
      <c r="J30" s="194">
        <f>sensitivity!X16</f>
        <v>-2444.1356451225865</v>
      </c>
      <c r="K30" s="194">
        <f>sensitivity!Y16</f>
        <v>-2554.7609347083494</v>
      </c>
      <c r="L30" s="194">
        <f>sensitivity!Z16</f>
        <v>-2665.3862242941123</v>
      </c>
      <c r="M30" s="195">
        <f>sensitivity!AA16</f>
        <v>-2776.0115138798747</v>
      </c>
      <c r="N30" s="110"/>
      <c r="O30" s="110"/>
      <c r="P30" s="110"/>
      <c r="Q30" s="110"/>
      <c r="R30" s="110"/>
      <c r="S30" s="110"/>
    </row>
    <row r="31" spans="1:19" x14ac:dyDescent="0.25">
      <c r="A31" s="110"/>
      <c r="B31" s="110"/>
      <c r="C31" s="110"/>
      <c r="D31" s="110"/>
      <c r="E31" s="110"/>
      <c r="F31" s="110"/>
      <c r="G31" s="169"/>
      <c r="H31" s="110"/>
      <c r="I31" s="110"/>
      <c r="J31" s="110"/>
      <c r="K31" s="110"/>
      <c r="L31" s="110"/>
      <c r="M31" s="110"/>
      <c r="N31" s="110"/>
      <c r="O31" s="110"/>
      <c r="P31" s="110"/>
      <c r="Q31" s="110"/>
      <c r="R31" s="110"/>
      <c r="S31" s="110"/>
    </row>
  </sheetData>
  <mergeCells count="2">
    <mergeCell ref="E22:E30"/>
    <mergeCell ref="G20:M20"/>
  </mergeCells>
  <conditionalFormatting sqref="G22:M30">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Scroll Bar 1">
              <controlPr defaultSize="0" autoPict="0">
                <anchor moveWithCells="1">
                  <from>
                    <xdr:col>9</xdr:col>
                    <xdr:colOff>76200</xdr:colOff>
                    <xdr:row>1</xdr:row>
                    <xdr:rowOff>152400</xdr:rowOff>
                  </from>
                  <to>
                    <xdr:col>11</xdr:col>
                    <xdr:colOff>0</xdr:colOff>
                    <xdr:row>2</xdr:row>
                    <xdr:rowOff>137160</xdr:rowOff>
                  </to>
                </anchor>
              </controlPr>
            </control>
          </mc:Choice>
        </mc:AlternateContent>
        <mc:AlternateContent xmlns:mc="http://schemas.openxmlformats.org/markup-compatibility/2006">
          <mc:Choice Requires="x14">
            <control shapeId="11266" r:id="rId5" name="Scroll Bar 2">
              <controlPr defaultSize="0" autoPict="0">
                <anchor moveWithCells="1">
                  <from>
                    <xdr:col>9</xdr:col>
                    <xdr:colOff>76200</xdr:colOff>
                    <xdr:row>3</xdr:row>
                    <xdr:rowOff>0</xdr:rowOff>
                  </from>
                  <to>
                    <xdr:col>11</xdr:col>
                    <xdr:colOff>0</xdr:colOff>
                    <xdr:row>3</xdr:row>
                    <xdr:rowOff>160020</xdr:rowOff>
                  </to>
                </anchor>
              </controlPr>
            </control>
          </mc:Choice>
        </mc:AlternateContent>
        <mc:AlternateContent xmlns:mc="http://schemas.openxmlformats.org/markup-compatibility/2006">
          <mc:Choice Requires="x14">
            <control shapeId="11267" r:id="rId6" name="Scroll Bar 3">
              <controlPr defaultSize="0" autoPict="0">
                <anchor moveWithCells="1">
                  <from>
                    <xdr:col>9</xdr:col>
                    <xdr:colOff>76200</xdr:colOff>
                    <xdr:row>4</xdr:row>
                    <xdr:rowOff>0</xdr:rowOff>
                  </from>
                  <to>
                    <xdr:col>11</xdr:col>
                    <xdr:colOff>0</xdr:colOff>
                    <xdr:row>4</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CC87A-5BEE-461B-AC97-2F004BB2190B}">
  <sheetPr codeName="Sheet9"/>
  <dimension ref="B2:Y18"/>
  <sheetViews>
    <sheetView topLeftCell="A10" workbookViewId="0">
      <selection activeCell="A40" sqref="A40"/>
    </sheetView>
  </sheetViews>
  <sheetFormatPr defaultRowHeight="13.2" x14ac:dyDescent="0.25"/>
  <cols>
    <col min="3" max="3" width="11.21875" bestFit="1" customWidth="1"/>
    <col min="4" max="4" width="11.109375" customWidth="1"/>
    <col min="8" max="8" width="13.88671875" customWidth="1"/>
    <col min="9" max="9" width="8.88671875" style="75"/>
    <col min="11" max="11" width="15.88671875" customWidth="1"/>
    <col min="13" max="13" width="19.5546875" customWidth="1"/>
    <col min="14" max="14" width="35.77734375" customWidth="1"/>
    <col min="18" max="18" width="14.5546875" customWidth="1"/>
    <col min="21" max="21" width="13.44140625" customWidth="1"/>
    <col min="23" max="23" width="11.21875" bestFit="1" customWidth="1"/>
  </cols>
  <sheetData>
    <row r="2" spans="2:25" x14ac:dyDescent="0.25">
      <c r="B2" s="76" t="s">
        <v>66</v>
      </c>
      <c r="C2" s="86" t="s">
        <v>48</v>
      </c>
      <c r="D2" s="87"/>
      <c r="E2" s="87"/>
      <c r="F2" s="88"/>
      <c r="H2" s="8" t="s">
        <v>94</v>
      </c>
      <c r="I2" s="121" t="s">
        <v>92</v>
      </c>
      <c r="J2" s="122" t="s">
        <v>126</v>
      </c>
      <c r="K2" s="122" t="s">
        <v>93</v>
      </c>
      <c r="M2" s="56" t="s">
        <v>96</v>
      </c>
      <c r="N2" s="52" t="s">
        <v>97</v>
      </c>
      <c r="P2" s="140" t="s">
        <v>109</v>
      </c>
      <c r="S2" s="5" t="s">
        <v>136</v>
      </c>
      <c r="U2" s="7" t="s">
        <v>130</v>
      </c>
    </row>
    <row r="3" spans="2:25" x14ac:dyDescent="0.25">
      <c r="B3" s="76" t="s">
        <v>67</v>
      </c>
      <c r="C3" s="85" t="str">
        <f>sensitivity!C4</f>
        <v>profit</v>
      </c>
      <c r="D3" s="85"/>
      <c r="E3" s="85"/>
      <c r="F3" s="85"/>
      <c r="H3" s="22" t="str">
        <f>profit!B6</f>
        <v>Filling cost/pie</v>
      </c>
      <c r="I3" s="118">
        <v>0</v>
      </c>
      <c r="J3" s="116">
        <v>3.5</v>
      </c>
      <c r="K3" s="117">
        <f>settings!J3 + settings!I3/100</f>
        <v>3.5</v>
      </c>
      <c r="M3" s="56" t="s">
        <v>101</v>
      </c>
      <c r="N3" s="52" t="s">
        <v>131</v>
      </c>
      <c r="P3" s="139">
        <v>0.05</v>
      </c>
      <c r="R3" s="52" t="s">
        <v>61</v>
      </c>
      <c r="S3" s="139">
        <v>0.02</v>
      </c>
    </row>
    <row r="4" spans="2:25" x14ac:dyDescent="0.25">
      <c r="B4" s="76" t="s">
        <v>68</v>
      </c>
      <c r="C4" s="85" t="str">
        <f>sensitivity!B3</f>
        <v>table reference: Pie Price</v>
      </c>
      <c r="D4" s="85"/>
      <c r="E4" s="85"/>
      <c r="F4" s="85"/>
      <c r="H4" s="22" t="str">
        <f>profit!B7</f>
        <v>Dough costs/pie</v>
      </c>
      <c r="I4" s="119">
        <v>1</v>
      </c>
      <c r="J4" s="116">
        <v>0.25</v>
      </c>
      <c r="K4" s="117">
        <f>settings!J4 + settings!I4/100</f>
        <v>0.26</v>
      </c>
      <c r="M4" s="56" t="s">
        <v>98</v>
      </c>
      <c r="N4" s="7" t="str">
        <f>N2&amp;": "&amp;M4</f>
        <v>Make-A-Pie Weekly Profit: cost</v>
      </c>
      <c r="R4" s="7" t="s">
        <v>133</v>
      </c>
      <c r="S4" s="139">
        <v>7.0000000000000007E-2</v>
      </c>
      <c r="U4" s="7" t="s">
        <v>127</v>
      </c>
      <c r="V4" s="79">
        <f>K3</f>
        <v>3.5</v>
      </c>
    </row>
    <row r="5" spans="2:25" x14ac:dyDescent="0.25">
      <c r="B5" s="78" t="s">
        <v>62</v>
      </c>
      <c r="C5" s="81">
        <f>MAX(sensitivity!C6:C14)</f>
        <v>8672.4097802590259</v>
      </c>
      <c r="H5" s="22" t="str">
        <f>profit!B8</f>
        <v>Fixed Cost</v>
      </c>
      <c r="I5" s="120">
        <v>1</v>
      </c>
      <c r="J5" s="116">
        <v>13000</v>
      </c>
      <c r="K5" s="117">
        <f>settings!J5 + 20*  settings!I5</f>
        <v>13020</v>
      </c>
      <c r="M5" s="56" t="s">
        <v>100</v>
      </c>
      <c r="N5" s="7" t="str">
        <f>N2&amp;": "&amp;M5</f>
        <v>Make-A-Pie Weekly Profit: demand</v>
      </c>
      <c r="R5" s="7" t="s">
        <v>134</v>
      </c>
      <c r="S5" s="139">
        <v>0.05</v>
      </c>
      <c r="U5" s="7" t="s">
        <v>128</v>
      </c>
      <c r="V5" s="79">
        <f>K4</f>
        <v>0.26</v>
      </c>
    </row>
    <row r="6" spans="2:25" x14ac:dyDescent="0.25">
      <c r="B6" s="80" t="s">
        <v>61</v>
      </c>
      <c r="C6" s="77">
        <f>INDEX(sensitivity!B6:B14, MATCH(C5, sensitivity!C6:C14, 0 ))</f>
        <v>7.625</v>
      </c>
      <c r="M6" s="130" t="s">
        <v>99</v>
      </c>
      <c r="N6" s="7" t="str">
        <f>N2&amp;": price sensitivity"</f>
        <v>Make-A-Pie Weekly Profit: price sensitivity</v>
      </c>
      <c r="R6" s="7" t="s">
        <v>129</v>
      </c>
      <c r="S6" s="139">
        <v>0.02</v>
      </c>
      <c r="U6" s="7" t="s">
        <v>129</v>
      </c>
      <c r="V6" s="79">
        <f>K5</f>
        <v>13020</v>
      </c>
    </row>
    <row r="7" spans="2:25" x14ac:dyDescent="0.25">
      <c r="B7" s="78" t="str">
        <f>B5</f>
        <v>max profit</v>
      </c>
      <c r="C7" s="82" t="s">
        <v>63</v>
      </c>
      <c r="D7" s="21" t="s">
        <v>65</v>
      </c>
      <c r="R7" s="7" t="s">
        <v>135</v>
      </c>
      <c r="S7" s="139">
        <v>0.1</v>
      </c>
    </row>
    <row r="8" spans="2:25" x14ac:dyDescent="0.25">
      <c r="B8" s="78" t="s">
        <v>64</v>
      </c>
      <c r="C8" s="77">
        <f>C6</f>
        <v>7.625</v>
      </c>
      <c r="D8" s="57">
        <v>0</v>
      </c>
      <c r="V8" s="5" t="s">
        <v>117</v>
      </c>
      <c r="W8" s="5" t="s">
        <v>118</v>
      </c>
    </row>
    <row r="9" spans="2:25" x14ac:dyDescent="0.25">
      <c r="B9" s="78" t="s">
        <v>17</v>
      </c>
      <c r="C9" s="81">
        <f>C6</f>
        <v>7.625</v>
      </c>
      <c r="D9" s="81">
        <f>C5</f>
        <v>8672.4097802590259</v>
      </c>
      <c r="U9" s="7" t="s">
        <v>119</v>
      </c>
      <c r="V9" s="7">
        <f>sensitivity!F10</f>
        <v>7.625</v>
      </c>
      <c r="W9" s="7">
        <f>sensitivity!O10</f>
        <v>8</v>
      </c>
    </row>
    <row r="10" spans="2:25" x14ac:dyDescent="0.25">
      <c r="U10" s="7" t="s">
        <v>120</v>
      </c>
      <c r="V10" s="77">
        <f>sensitivity!F9</f>
        <v>8672.4097802590259</v>
      </c>
      <c r="W10" s="77">
        <f>sensitivity!O9</f>
        <v>-1950893.7953402</v>
      </c>
    </row>
    <row r="11" spans="2:25" x14ac:dyDescent="0.25">
      <c r="B11" s="76" t="s">
        <v>66</v>
      </c>
      <c r="C11" s="86" t="s">
        <v>140</v>
      </c>
      <c r="D11" s="87"/>
      <c r="E11" s="87"/>
      <c r="F11" s="88"/>
      <c r="U11" s="52" t="s">
        <v>169</v>
      </c>
      <c r="V11" s="6">
        <f>'goal-seek'!D5</f>
        <v>9.2714179026679631</v>
      </c>
      <c r="W11" s="6">
        <f>'goal-seek'!D9</f>
        <v>8.6849999999997713</v>
      </c>
    </row>
    <row r="12" spans="2:25" x14ac:dyDescent="0.25">
      <c r="B12" s="76" t="s">
        <v>67</v>
      </c>
      <c r="C12" s="85" t="str">
        <f>sensitivity!L4</f>
        <v>net present value</v>
      </c>
      <c r="D12" s="85"/>
      <c r="E12" s="85"/>
      <c r="F12" s="85"/>
      <c r="V12" s="38" t="s">
        <v>117</v>
      </c>
      <c r="W12" s="38" t="s">
        <v>123</v>
      </c>
      <c r="X12" s="38" t="s">
        <v>124</v>
      </c>
      <c r="Y12" s="38" t="s">
        <v>125</v>
      </c>
    </row>
    <row r="13" spans="2:25" x14ac:dyDescent="0.25">
      <c r="B13" s="76" t="s">
        <v>68</v>
      </c>
      <c r="C13" s="85" t="str">
        <f>sensitivity!K4</f>
        <v>price</v>
      </c>
      <c r="D13" s="85"/>
      <c r="E13" s="85"/>
      <c r="F13" s="85"/>
      <c r="U13" s="7" t="s">
        <v>121</v>
      </c>
      <c r="V13" s="166">
        <f>profit!C11</f>
        <v>10687.5</v>
      </c>
      <c r="W13" s="166">
        <f>npv!D12</f>
        <v>468000</v>
      </c>
      <c r="X13" s="166">
        <f>npv!E12</f>
        <v>430560</v>
      </c>
      <c r="Y13" s="166">
        <f>npv!F12</f>
        <v>392371.19999999995</v>
      </c>
    </row>
    <row r="14" spans="2:25" x14ac:dyDescent="0.25">
      <c r="B14" s="78" t="s">
        <v>62</v>
      </c>
      <c r="C14" s="200">
        <f>MAX( sensitivity!O9)</f>
        <v>-1950893.7953402</v>
      </c>
      <c r="U14" s="7" t="s">
        <v>122</v>
      </c>
      <c r="V14" s="79">
        <f>profit!C14</f>
        <v>19.614777719740978</v>
      </c>
      <c r="W14" s="79">
        <f>npv!D15</f>
        <v>15.892350027018203</v>
      </c>
      <c r="X14" s="79">
        <f>npv!E15</f>
        <v>14.375488350475068</v>
      </c>
      <c r="Y14" s="79">
        <f>npv!F15</f>
        <v>12.87226978463551</v>
      </c>
    </row>
    <row r="15" spans="2:25" x14ac:dyDescent="0.25">
      <c r="B15" s="80" t="s">
        <v>61</v>
      </c>
      <c r="C15" s="77">
        <f>sensitivity!O10</f>
        <v>8</v>
      </c>
    </row>
    <row r="16" spans="2:25" x14ac:dyDescent="0.25">
      <c r="B16" s="78" t="str">
        <f>B14</f>
        <v>max profit</v>
      </c>
      <c r="C16" s="82" t="s">
        <v>63</v>
      </c>
      <c r="D16" s="21" t="s">
        <v>65</v>
      </c>
    </row>
    <row r="17" spans="2:4" x14ac:dyDescent="0.25">
      <c r="B17" s="78" t="s">
        <v>64</v>
      </c>
      <c r="C17" s="77">
        <f>C15</f>
        <v>8</v>
      </c>
      <c r="D17" s="57">
        <v>0</v>
      </c>
    </row>
    <row r="18" spans="2:4" x14ac:dyDescent="0.25">
      <c r="B18" s="78" t="s">
        <v>17</v>
      </c>
      <c r="C18" s="81">
        <f>C15</f>
        <v>8</v>
      </c>
      <c r="D18" s="200">
        <f>C14</f>
        <v>-1950893.7953402</v>
      </c>
    </row>
  </sheetData>
  <mergeCells count="6">
    <mergeCell ref="C2:F2"/>
    <mergeCell ref="C3:F3"/>
    <mergeCell ref="C4:F4"/>
    <mergeCell ref="C11:F11"/>
    <mergeCell ref="C12:F12"/>
    <mergeCell ref="C13:F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BBC5D-4A21-4AB6-959E-9AAF3D0A0F6A}">
  <sheetPr codeName="Sheet2"/>
  <dimension ref="A1:O46"/>
  <sheetViews>
    <sheetView zoomScale="70" zoomScaleNormal="70" workbookViewId="0">
      <selection activeCell="T17" sqref="T17"/>
    </sheetView>
  </sheetViews>
  <sheetFormatPr defaultRowHeight="13.2" x14ac:dyDescent="0.25"/>
  <sheetData>
    <row r="1" spans="1:15" x14ac:dyDescent="0.25">
      <c r="A1" s="41"/>
      <c r="B1" s="41"/>
      <c r="C1" s="41"/>
      <c r="D1" s="41"/>
      <c r="E1" s="41"/>
      <c r="F1" s="41"/>
      <c r="G1" s="41"/>
      <c r="H1" s="41"/>
      <c r="I1" s="41"/>
      <c r="J1" s="41"/>
      <c r="K1" s="41"/>
      <c r="L1" s="41"/>
      <c r="M1" s="41"/>
      <c r="N1" s="41"/>
      <c r="O1" s="41"/>
    </row>
    <row r="2" spans="1:15" x14ac:dyDescent="0.25">
      <c r="A2" s="41"/>
      <c r="B2" s="41"/>
      <c r="C2" s="41"/>
      <c r="D2" s="41"/>
      <c r="E2" s="41"/>
      <c r="F2" s="41"/>
      <c r="G2" s="41"/>
      <c r="H2" s="41"/>
      <c r="I2" s="41"/>
      <c r="J2" s="41"/>
      <c r="K2" s="41"/>
      <c r="L2" s="41"/>
      <c r="M2" s="41"/>
      <c r="N2" s="41"/>
      <c r="O2" s="41"/>
    </row>
    <row r="3" spans="1:15" x14ac:dyDescent="0.25">
      <c r="A3" s="41"/>
      <c r="B3" s="41"/>
      <c r="C3" s="41"/>
      <c r="D3" s="41"/>
      <c r="E3" s="41"/>
      <c r="F3" s="41"/>
      <c r="G3" s="41"/>
      <c r="H3" s="41"/>
      <c r="I3" s="41"/>
      <c r="J3" s="41"/>
      <c r="K3" s="41"/>
      <c r="L3" s="41"/>
      <c r="M3" s="41"/>
      <c r="N3" s="41"/>
      <c r="O3" s="41"/>
    </row>
    <row r="4" spans="1:15" x14ac:dyDescent="0.25">
      <c r="A4" s="41"/>
      <c r="B4" s="41"/>
      <c r="C4" s="41"/>
      <c r="D4" s="41"/>
      <c r="E4" s="41"/>
      <c r="F4" s="41"/>
      <c r="G4" s="41"/>
      <c r="H4" s="41"/>
      <c r="I4" s="41"/>
      <c r="J4" s="41"/>
      <c r="K4" s="41"/>
      <c r="L4" s="41"/>
      <c r="M4" s="41"/>
      <c r="N4" s="41"/>
      <c r="O4" s="41"/>
    </row>
    <row r="5" spans="1:15" x14ac:dyDescent="0.25">
      <c r="A5" s="41"/>
      <c r="B5" s="41"/>
      <c r="C5" s="41"/>
      <c r="D5" s="41"/>
      <c r="E5" s="41"/>
      <c r="F5" s="41"/>
      <c r="G5" s="41"/>
      <c r="H5" s="41"/>
      <c r="I5" s="41"/>
      <c r="J5" s="41"/>
      <c r="K5" s="41"/>
      <c r="L5" s="41"/>
      <c r="M5" s="41"/>
      <c r="N5" s="41"/>
      <c r="O5" s="41"/>
    </row>
    <row r="6" spans="1:15" x14ac:dyDescent="0.25">
      <c r="A6" s="41"/>
      <c r="B6" s="41"/>
      <c r="C6" s="41"/>
      <c r="D6" s="41"/>
      <c r="E6" s="41"/>
      <c r="F6" s="41"/>
      <c r="G6" s="41"/>
      <c r="H6" s="41"/>
      <c r="I6" s="41"/>
      <c r="J6" s="41"/>
      <c r="K6" s="41"/>
      <c r="L6" s="41"/>
      <c r="M6" s="41"/>
      <c r="N6" s="41"/>
      <c r="O6" s="41"/>
    </row>
    <row r="7" spans="1:15" x14ac:dyDescent="0.25">
      <c r="A7" s="41"/>
      <c r="B7" s="41"/>
      <c r="C7" s="41"/>
      <c r="D7" s="41"/>
      <c r="E7" s="41"/>
      <c r="F7" s="41"/>
      <c r="G7" s="41"/>
      <c r="H7" s="41"/>
      <c r="I7" s="41"/>
      <c r="J7" s="41"/>
      <c r="K7" s="41"/>
      <c r="L7" s="41"/>
      <c r="M7" s="41"/>
      <c r="N7" s="41"/>
      <c r="O7" s="41"/>
    </row>
    <row r="8" spans="1:15" x14ac:dyDescent="0.25">
      <c r="A8" s="41"/>
      <c r="B8" s="41"/>
      <c r="C8" s="41"/>
      <c r="D8" s="41"/>
      <c r="E8" s="41"/>
      <c r="F8" s="41"/>
      <c r="G8" s="41"/>
      <c r="H8" s="41"/>
      <c r="I8" s="41"/>
      <c r="J8" s="41"/>
      <c r="K8" s="41"/>
      <c r="L8" s="41"/>
      <c r="M8" s="41"/>
      <c r="N8" s="41"/>
      <c r="O8" s="41"/>
    </row>
    <row r="9" spans="1:15" x14ac:dyDescent="0.25">
      <c r="A9" s="41"/>
      <c r="B9" s="41"/>
      <c r="C9" s="41"/>
      <c r="D9" s="41"/>
      <c r="E9" s="41"/>
      <c r="F9" s="41"/>
      <c r="G9" s="41"/>
      <c r="H9" s="41"/>
      <c r="I9" s="41"/>
      <c r="J9" s="41"/>
      <c r="K9" s="41"/>
      <c r="L9" s="41"/>
      <c r="M9" s="41"/>
      <c r="N9" s="41"/>
      <c r="O9" s="41"/>
    </row>
    <row r="10" spans="1:15" x14ac:dyDescent="0.25">
      <c r="A10" s="41"/>
      <c r="B10" s="41"/>
      <c r="C10" s="41"/>
      <c r="D10" s="41"/>
      <c r="E10" s="41"/>
      <c r="F10" s="41"/>
      <c r="G10" s="41"/>
      <c r="H10" s="41"/>
      <c r="I10" s="41"/>
      <c r="J10" s="41"/>
      <c r="K10" s="41"/>
      <c r="L10" s="41"/>
      <c r="M10" s="41"/>
      <c r="N10" s="41"/>
      <c r="O10" s="41"/>
    </row>
    <row r="11" spans="1:15" x14ac:dyDescent="0.25">
      <c r="A11" s="41"/>
      <c r="B11" s="41"/>
      <c r="C11" s="41"/>
      <c r="D11" s="41"/>
      <c r="E11" s="41"/>
      <c r="F11" s="41"/>
      <c r="G11" s="41"/>
      <c r="H11" s="41"/>
      <c r="I11" s="41"/>
      <c r="J11" s="41"/>
      <c r="K11" s="41"/>
      <c r="L11" s="41"/>
      <c r="M11" s="41"/>
      <c r="N11" s="41"/>
      <c r="O11" s="41"/>
    </row>
    <row r="12" spans="1:15" x14ac:dyDescent="0.25">
      <c r="A12" s="41"/>
      <c r="B12" s="41"/>
      <c r="C12" s="41"/>
      <c r="D12" s="41"/>
      <c r="E12" s="41"/>
      <c r="F12" s="41"/>
      <c r="G12" s="41"/>
      <c r="H12" s="41"/>
      <c r="I12" s="41"/>
      <c r="J12" s="41"/>
      <c r="K12" s="41"/>
      <c r="L12" s="41"/>
      <c r="M12" s="41"/>
      <c r="N12" s="41"/>
      <c r="O12" s="41"/>
    </row>
    <row r="13" spans="1:15" x14ac:dyDescent="0.25">
      <c r="A13" s="41"/>
      <c r="B13" s="41"/>
      <c r="C13" s="41"/>
      <c r="D13" s="41"/>
      <c r="E13" s="41"/>
      <c r="F13" s="41"/>
      <c r="G13" s="41"/>
      <c r="H13" s="41"/>
      <c r="I13" s="41"/>
      <c r="J13" s="41"/>
      <c r="K13" s="41"/>
      <c r="L13" s="41"/>
      <c r="M13" s="41"/>
      <c r="N13" s="41"/>
      <c r="O13" s="41"/>
    </row>
    <row r="14" spans="1:15" x14ac:dyDescent="0.25">
      <c r="A14" s="41"/>
      <c r="B14" s="41"/>
      <c r="C14" s="41"/>
      <c r="D14" s="41"/>
      <c r="E14" s="41"/>
      <c r="F14" s="41"/>
      <c r="G14" s="41"/>
      <c r="H14" s="41"/>
      <c r="I14" s="41"/>
      <c r="J14" s="41"/>
      <c r="K14" s="41"/>
      <c r="L14" s="41"/>
      <c r="M14" s="41"/>
      <c r="N14" s="41"/>
      <c r="O14" s="41"/>
    </row>
    <row r="15" spans="1:15" x14ac:dyDescent="0.25">
      <c r="A15" s="41"/>
      <c r="B15" s="41"/>
      <c r="C15" s="41"/>
      <c r="D15" s="41"/>
      <c r="E15" s="41"/>
      <c r="F15" s="41"/>
      <c r="G15" s="41"/>
      <c r="H15" s="41"/>
      <c r="I15" s="41"/>
      <c r="J15" s="41"/>
      <c r="K15" s="41"/>
      <c r="L15" s="41"/>
      <c r="M15" s="41"/>
      <c r="N15" s="41"/>
      <c r="O15" s="41"/>
    </row>
    <row r="16" spans="1:15" x14ac:dyDescent="0.25">
      <c r="A16" s="41"/>
      <c r="B16" s="41"/>
      <c r="C16" s="41"/>
      <c r="D16" s="41"/>
      <c r="E16" s="41"/>
      <c r="F16" s="41"/>
      <c r="G16" s="41"/>
      <c r="H16" s="41"/>
      <c r="I16" s="41"/>
      <c r="J16" s="41"/>
      <c r="K16" s="41"/>
      <c r="L16" s="41"/>
      <c r="M16" s="41"/>
      <c r="N16" s="41"/>
      <c r="O16" s="41"/>
    </row>
    <row r="17" spans="1:15" x14ac:dyDescent="0.25">
      <c r="A17" s="41"/>
      <c r="B17" s="41"/>
      <c r="C17" s="41"/>
      <c r="D17" s="41"/>
      <c r="E17" s="41"/>
      <c r="F17" s="41"/>
      <c r="G17" s="41"/>
      <c r="H17" s="41"/>
      <c r="I17" s="41"/>
      <c r="J17" s="41"/>
      <c r="K17" s="41"/>
      <c r="L17" s="41"/>
      <c r="M17" s="41"/>
      <c r="N17" s="41"/>
      <c r="O17" s="41"/>
    </row>
    <row r="18" spans="1:15" x14ac:dyDescent="0.25">
      <c r="A18" s="41"/>
      <c r="B18" s="41"/>
      <c r="C18" s="41"/>
      <c r="D18" s="41"/>
      <c r="E18" s="41"/>
      <c r="F18" s="41"/>
      <c r="G18" s="41"/>
      <c r="H18" s="41"/>
      <c r="I18" s="41"/>
      <c r="J18" s="41"/>
      <c r="K18" s="41"/>
      <c r="L18" s="41"/>
      <c r="M18" s="41"/>
      <c r="N18" s="41"/>
      <c r="O18" s="41"/>
    </row>
    <row r="19" spans="1:15" x14ac:dyDescent="0.25">
      <c r="A19" s="41"/>
      <c r="B19" s="41"/>
      <c r="C19" s="41"/>
      <c r="D19" s="41"/>
      <c r="E19" s="41"/>
      <c r="F19" s="41"/>
      <c r="G19" s="41"/>
      <c r="H19" s="41"/>
      <c r="I19" s="41"/>
      <c r="J19" s="41"/>
      <c r="K19" s="41"/>
      <c r="L19" s="41"/>
      <c r="M19" s="41"/>
      <c r="N19" s="41"/>
      <c r="O19" s="41"/>
    </row>
    <row r="20" spans="1:15" x14ac:dyDescent="0.25">
      <c r="A20" s="41"/>
      <c r="B20" s="41"/>
      <c r="C20" s="41"/>
      <c r="D20" s="41"/>
      <c r="E20" s="41"/>
      <c r="F20" s="41"/>
      <c r="G20" s="41"/>
      <c r="H20" s="41"/>
      <c r="I20" s="41"/>
      <c r="J20" s="41"/>
      <c r="K20" s="41"/>
      <c r="L20" s="41"/>
      <c r="M20" s="41"/>
      <c r="N20" s="41"/>
      <c r="O20" s="41"/>
    </row>
    <row r="21" spans="1:15" x14ac:dyDescent="0.25">
      <c r="A21" s="41"/>
      <c r="B21" s="41"/>
      <c r="C21" s="41"/>
      <c r="D21" s="41"/>
      <c r="E21" s="41"/>
      <c r="F21" s="41"/>
      <c r="G21" s="41"/>
      <c r="H21" s="41"/>
      <c r="I21" s="41"/>
      <c r="J21" s="41"/>
      <c r="K21" s="41"/>
      <c r="L21" s="41"/>
      <c r="M21" s="41"/>
      <c r="N21" s="41"/>
      <c r="O21" s="41"/>
    </row>
    <row r="22" spans="1:15" x14ac:dyDescent="0.25">
      <c r="A22" s="41"/>
      <c r="B22" s="41"/>
      <c r="C22" s="41"/>
      <c r="D22" s="41"/>
      <c r="E22" s="41"/>
      <c r="F22" s="41"/>
      <c r="G22" s="41"/>
      <c r="H22" s="41"/>
      <c r="I22" s="41"/>
      <c r="J22" s="41"/>
      <c r="K22" s="41"/>
      <c r="L22" s="41"/>
      <c r="M22" s="41"/>
      <c r="N22" s="41"/>
      <c r="O22" s="41"/>
    </row>
    <row r="23" spans="1:15" x14ac:dyDescent="0.25">
      <c r="A23" s="41"/>
      <c r="B23" s="41"/>
      <c r="C23" s="41"/>
      <c r="D23" s="41"/>
      <c r="E23" s="41"/>
      <c r="F23" s="41"/>
      <c r="G23" s="41"/>
      <c r="H23" s="41"/>
      <c r="I23" s="41"/>
      <c r="J23" s="41"/>
      <c r="K23" s="41"/>
      <c r="L23" s="41"/>
      <c r="M23" s="41"/>
      <c r="N23" s="41"/>
      <c r="O23" s="41"/>
    </row>
    <row r="24" spans="1:15" ht="60" x14ac:dyDescent="0.25">
      <c r="A24" s="41"/>
      <c r="B24" s="41"/>
      <c r="C24" s="153" t="s">
        <v>12</v>
      </c>
      <c r="D24" s="153" t="s">
        <v>58</v>
      </c>
      <c r="E24" s="41"/>
      <c r="F24" s="41"/>
      <c r="G24" s="41"/>
      <c r="H24" s="41"/>
      <c r="I24" s="41"/>
      <c r="J24" s="41"/>
      <c r="K24" s="41"/>
      <c r="L24" s="41"/>
      <c r="M24" s="41"/>
      <c r="N24" s="41"/>
      <c r="O24" s="41"/>
    </row>
    <row r="25" spans="1:15" ht="15" x14ac:dyDescent="0.25">
      <c r="A25" s="41"/>
      <c r="B25" s="41"/>
      <c r="C25" s="154" t="s">
        <v>13</v>
      </c>
      <c r="D25" s="154" t="s">
        <v>15</v>
      </c>
      <c r="E25" s="41"/>
      <c r="F25" s="41"/>
      <c r="G25" s="41"/>
      <c r="H25" s="41"/>
      <c r="I25" s="41"/>
      <c r="J25" s="41"/>
      <c r="K25" s="41"/>
      <c r="L25" s="41"/>
      <c r="M25" s="41"/>
      <c r="N25" s="41"/>
      <c r="O25" s="41"/>
    </row>
    <row r="26" spans="1:15" ht="15" x14ac:dyDescent="0.25">
      <c r="A26" s="41"/>
      <c r="B26" s="41"/>
      <c r="C26" s="155">
        <f>data!B4</f>
        <v>8</v>
      </c>
      <c r="D26" s="155">
        <f>data!C4</f>
        <v>13.783871238750486</v>
      </c>
      <c r="E26" s="41"/>
      <c r="F26" s="41"/>
      <c r="G26" s="41"/>
      <c r="H26" s="41"/>
      <c r="I26" s="41"/>
      <c r="J26" s="41"/>
      <c r="K26" s="41"/>
      <c r="L26" s="41"/>
      <c r="M26" s="41"/>
      <c r="N26" s="41"/>
      <c r="O26" s="41"/>
    </row>
    <row r="27" spans="1:15" ht="15" x14ac:dyDescent="0.25">
      <c r="A27" s="41"/>
      <c r="B27" s="41"/>
      <c r="C27" s="156">
        <f>data!B5</f>
        <v>10</v>
      </c>
      <c r="D27" s="156">
        <f>data!C5</f>
        <v>15.981301279564761</v>
      </c>
      <c r="E27" s="41"/>
      <c r="F27" s="41"/>
      <c r="G27" s="41"/>
      <c r="H27" s="41"/>
      <c r="I27" s="41"/>
      <c r="J27" s="41"/>
      <c r="K27" s="41"/>
      <c r="L27" s="41"/>
      <c r="M27" s="41"/>
      <c r="N27" s="41"/>
      <c r="O27" s="41"/>
    </row>
    <row r="28" spans="1:15" ht="15" x14ac:dyDescent="0.25">
      <c r="A28" s="41"/>
      <c r="B28" s="41"/>
      <c r="C28" s="156">
        <f>data!B6</f>
        <v>12</v>
      </c>
      <c r="D28" s="156">
        <f>data!C6</f>
        <v>23.607253351416638</v>
      </c>
      <c r="E28" s="41"/>
      <c r="F28" s="41"/>
      <c r="G28" s="41"/>
      <c r="H28" s="41"/>
      <c r="I28" s="41"/>
      <c r="J28" s="41"/>
      <c r="K28" s="41"/>
      <c r="L28" s="41"/>
      <c r="M28" s="41"/>
      <c r="N28" s="41"/>
      <c r="O28" s="41"/>
    </row>
    <row r="29" spans="1:15" ht="15" x14ac:dyDescent="0.25">
      <c r="A29" s="41"/>
      <c r="B29" s="41"/>
      <c r="C29" s="156">
        <f>data!B7</f>
        <v>14</v>
      </c>
      <c r="D29" s="156">
        <f>data!C7</f>
        <v>28.948796734542061</v>
      </c>
      <c r="E29" s="41"/>
      <c r="F29" s="41"/>
      <c r="G29" s="41"/>
      <c r="H29" s="41"/>
      <c r="I29" s="41"/>
      <c r="J29" s="41"/>
      <c r="K29" s="41"/>
      <c r="L29" s="41"/>
      <c r="M29" s="41"/>
      <c r="N29" s="41"/>
      <c r="O29" s="41"/>
    </row>
    <row r="30" spans="1:15" ht="15" x14ac:dyDescent="0.25">
      <c r="A30" s="41"/>
      <c r="B30" s="41"/>
      <c r="C30" s="156">
        <f>data!B8</f>
        <v>16</v>
      </c>
      <c r="D30" s="156">
        <f>data!C8</f>
        <v>29.834957735329549</v>
      </c>
      <c r="E30" s="41"/>
      <c r="F30" s="41"/>
      <c r="G30" s="41"/>
      <c r="H30" s="41"/>
      <c r="I30" s="41"/>
      <c r="J30" s="41"/>
      <c r="K30" s="41"/>
      <c r="L30" s="41"/>
      <c r="M30" s="41"/>
      <c r="N30" s="41"/>
      <c r="O30" s="41"/>
    </row>
    <row r="31" spans="1:15" ht="15" x14ac:dyDescent="0.25">
      <c r="A31" s="41"/>
      <c r="B31" s="41"/>
      <c r="C31" s="156">
        <f>data!B9</f>
        <v>18</v>
      </c>
      <c r="D31" s="156">
        <f>data!C9</f>
        <v>44.332429992759401</v>
      </c>
      <c r="E31" s="41"/>
      <c r="F31" s="41"/>
      <c r="G31" s="41"/>
      <c r="H31" s="41"/>
      <c r="I31" s="41"/>
      <c r="J31" s="41"/>
      <c r="K31" s="41"/>
      <c r="L31" s="41"/>
      <c r="M31" s="41"/>
      <c r="N31" s="41"/>
      <c r="O31" s="41"/>
    </row>
    <row r="32" spans="1:15" ht="15" x14ac:dyDescent="0.25">
      <c r="A32" s="41"/>
      <c r="B32" s="41"/>
      <c r="C32" s="156">
        <f>data!B10</f>
        <v>20</v>
      </c>
      <c r="D32" s="156">
        <f>data!C10</f>
        <v>41.126706394477431</v>
      </c>
      <c r="E32" s="41"/>
      <c r="F32" s="41"/>
      <c r="G32" s="41"/>
      <c r="H32" s="41"/>
      <c r="I32" s="41"/>
      <c r="J32" s="41"/>
      <c r="K32" s="41"/>
      <c r="L32" s="41"/>
      <c r="M32" s="41"/>
      <c r="N32" s="41"/>
      <c r="O32" s="41"/>
    </row>
    <row r="33" spans="1:15" ht="15" x14ac:dyDescent="0.25">
      <c r="A33" s="41"/>
      <c r="B33" s="41"/>
      <c r="C33" s="156">
        <f>data!B11</f>
        <v>22</v>
      </c>
      <c r="D33" s="156">
        <f>data!C11</f>
        <v>50.262286377285086</v>
      </c>
      <c r="E33" s="41"/>
      <c r="F33" s="41"/>
      <c r="G33" s="41"/>
      <c r="H33" s="41"/>
      <c r="I33" s="41"/>
      <c r="J33" s="41"/>
      <c r="K33" s="41"/>
      <c r="L33" s="41"/>
      <c r="M33" s="41"/>
      <c r="N33" s="41"/>
      <c r="O33" s="41"/>
    </row>
    <row r="34" spans="1:15" ht="15" x14ac:dyDescent="0.25">
      <c r="A34" s="41"/>
      <c r="B34" s="41"/>
      <c r="C34" s="157">
        <f>data!B12</f>
        <v>24</v>
      </c>
      <c r="D34" s="157">
        <f>data!C12</f>
        <v>57.476034846871038</v>
      </c>
      <c r="E34" s="41"/>
      <c r="F34" s="41"/>
      <c r="G34" s="41"/>
      <c r="H34" s="41"/>
      <c r="I34" s="41"/>
      <c r="J34" s="41"/>
      <c r="K34" s="41"/>
      <c r="L34" s="41"/>
      <c r="M34" s="41"/>
      <c r="N34" s="41"/>
      <c r="O34" s="41"/>
    </row>
    <row r="35" spans="1:15" x14ac:dyDescent="0.25">
      <c r="A35" s="41"/>
      <c r="B35" s="41"/>
      <c r="C35" s="41"/>
      <c r="D35" s="41"/>
      <c r="E35" s="41"/>
      <c r="F35" s="41"/>
      <c r="G35" s="41"/>
      <c r="H35" s="41"/>
      <c r="I35" s="41"/>
      <c r="J35" s="41"/>
      <c r="K35" s="41"/>
      <c r="L35" s="41"/>
      <c r="M35" s="41"/>
      <c r="N35" s="41"/>
      <c r="O35" s="41"/>
    </row>
    <row r="36" spans="1:15" x14ac:dyDescent="0.25">
      <c r="A36" s="41"/>
      <c r="B36" s="41"/>
      <c r="C36" s="41"/>
      <c r="D36" s="41"/>
      <c r="E36" s="41"/>
      <c r="F36" s="41"/>
      <c r="G36" s="41"/>
      <c r="H36" s="41"/>
      <c r="I36" s="41"/>
      <c r="J36" s="41"/>
      <c r="K36" s="41"/>
      <c r="L36" s="41"/>
      <c r="M36" s="41"/>
      <c r="N36" s="41"/>
      <c r="O36" s="41"/>
    </row>
    <row r="37" spans="1:15" x14ac:dyDescent="0.25">
      <c r="A37" s="41"/>
      <c r="B37" s="41"/>
      <c r="C37" s="41"/>
      <c r="D37" s="41"/>
      <c r="E37" s="41"/>
      <c r="F37" s="41"/>
      <c r="G37" s="41"/>
      <c r="H37" s="41"/>
      <c r="I37" s="41"/>
      <c r="J37" s="41"/>
      <c r="K37" s="41"/>
      <c r="L37" s="41"/>
      <c r="M37" s="41"/>
      <c r="N37" s="41"/>
      <c r="O37" s="41"/>
    </row>
    <row r="38" spans="1:15" x14ac:dyDescent="0.25">
      <c r="A38" s="41"/>
      <c r="B38" s="41"/>
      <c r="C38" s="41"/>
      <c r="D38" s="41"/>
      <c r="E38" s="41"/>
      <c r="F38" s="41"/>
      <c r="G38" s="41"/>
      <c r="H38" s="41"/>
      <c r="I38" s="41"/>
      <c r="J38" s="41"/>
      <c r="K38" s="41"/>
      <c r="L38" s="41"/>
      <c r="M38" s="41"/>
      <c r="N38" s="41"/>
      <c r="O38" s="41"/>
    </row>
    <row r="39" spans="1:15" x14ac:dyDescent="0.25">
      <c r="A39" s="41"/>
      <c r="B39" s="41"/>
      <c r="C39" s="41"/>
      <c r="D39" s="41"/>
      <c r="E39" s="41"/>
      <c r="F39" s="41"/>
      <c r="G39" s="41"/>
      <c r="H39" s="41"/>
      <c r="I39" s="41"/>
      <c r="J39" s="41"/>
      <c r="K39" s="41"/>
      <c r="L39" s="41"/>
      <c r="M39" s="41"/>
      <c r="N39" s="41"/>
      <c r="O39" s="41"/>
    </row>
    <row r="40" spans="1:15" x14ac:dyDescent="0.25">
      <c r="A40" s="41"/>
      <c r="B40" s="41"/>
      <c r="C40" s="41"/>
      <c r="D40" s="41"/>
      <c r="E40" s="41"/>
      <c r="F40" s="41"/>
      <c r="G40" s="41"/>
      <c r="H40" s="41"/>
      <c r="I40" s="41"/>
      <c r="J40" s="41"/>
      <c r="K40" s="41"/>
      <c r="L40" s="41"/>
      <c r="M40" s="41"/>
      <c r="N40" s="41"/>
      <c r="O40" s="41"/>
    </row>
    <row r="41" spans="1:15" x14ac:dyDescent="0.25">
      <c r="A41" s="41"/>
      <c r="B41" s="41"/>
      <c r="C41" s="41"/>
      <c r="D41" s="41"/>
      <c r="E41" s="41"/>
      <c r="F41" s="41"/>
      <c r="G41" s="41"/>
      <c r="H41" s="41"/>
      <c r="I41" s="41"/>
      <c r="J41" s="41"/>
      <c r="K41" s="41"/>
      <c r="L41" s="41"/>
      <c r="M41" s="41"/>
      <c r="N41" s="41"/>
      <c r="O41" s="41"/>
    </row>
    <row r="42" spans="1:15" x14ac:dyDescent="0.25">
      <c r="A42" s="41"/>
      <c r="B42" s="41"/>
      <c r="C42" s="41"/>
      <c r="D42" s="41"/>
      <c r="E42" s="41"/>
      <c r="F42" s="41"/>
      <c r="G42" s="41"/>
      <c r="H42" s="41"/>
      <c r="I42" s="41"/>
      <c r="J42" s="41"/>
      <c r="K42" s="41"/>
      <c r="L42" s="41"/>
      <c r="M42" s="41"/>
      <c r="N42" s="41"/>
      <c r="O42" s="41"/>
    </row>
    <row r="43" spans="1:15" x14ac:dyDescent="0.25">
      <c r="A43" s="41"/>
      <c r="B43" s="41"/>
      <c r="C43" s="41"/>
      <c r="D43" s="41"/>
      <c r="E43" s="41"/>
      <c r="F43" s="41"/>
      <c r="G43" s="41"/>
      <c r="H43" s="41"/>
      <c r="I43" s="41"/>
      <c r="J43" s="41"/>
      <c r="K43" s="41"/>
      <c r="L43" s="41"/>
      <c r="M43" s="41"/>
      <c r="N43" s="41"/>
      <c r="O43" s="41"/>
    </row>
    <row r="44" spans="1:15" x14ac:dyDescent="0.25">
      <c r="A44" s="41"/>
      <c r="B44" s="41"/>
      <c r="C44" s="41"/>
      <c r="D44" s="41"/>
      <c r="E44" s="41"/>
      <c r="F44" s="41"/>
      <c r="G44" s="41"/>
      <c r="H44" s="41"/>
      <c r="I44" s="41"/>
      <c r="J44" s="41"/>
      <c r="K44" s="41"/>
      <c r="L44" s="41"/>
      <c r="M44" s="41"/>
      <c r="N44" s="41"/>
      <c r="O44" s="41"/>
    </row>
    <row r="45" spans="1:15" x14ac:dyDescent="0.25">
      <c r="A45" s="41"/>
      <c r="B45" s="41"/>
      <c r="C45" s="41"/>
      <c r="D45" s="41"/>
      <c r="E45" s="41"/>
      <c r="F45" s="41"/>
      <c r="G45" s="41"/>
      <c r="H45" s="41"/>
      <c r="I45" s="41"/>
      <c r="J45" s="41"/>
      <c r="K45" s="41"/>
      <c r="L45" s="41"/>
      <c r="M45" s="41"/>
      <c r="N45" s="41"/>
      <c r="O45" s="41"/>
    </row>
    <row r="46" spans="1:15" x14ac:dyDescent="0.25">
      <c r="A46" s="41"/>
      <c r="B46" s="41"/>
      <c r="C46" s="41"/>
      <c r="D46" s="41"/>
      <c r="E46" s="41"/>
      <c r="F46" s="41"/>
      <c r="G46" s="41"/>
      <c r="H46" s="41"/>
      <c r="I46" s="41"/>
      <c r="J46" s="41"/>
      <c r="K46" s="41"/>
      <c r="L46" s="41"/>
      <c r="M46" s="41"/>
      <c r="N46" s="41"/>
      <c r="O46" s="41"/>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J6"/>
  <sheetViews>
    <sheetView showGridLines="0" zoomScale="130" zoomScaleNormal="130" workbookViewId="0">
      <selection activeCell="K10" sqref="K10"/>
    </sheetView>
  </sheetViews>
  <sheetFormatPr defaultRowHeight="13.2" x14ac:dyDescent="0.25"/>
  <sheetData>
    <row r="6" spans="10:10" x14ac:dyDescent="0.25">
      <c r="J6" t="s">
        <v>91</v>
      </c>
    </row>
  </sheetData>
  <pageMargins left="0.75" right="0.75" top="1" bottom="1" header="0.5" footer="0.5"/>
  <pageSetup orientation="landscape" r:id="rId1"/>
  <headerFooter alignWithMargins="0">
    <oddHeader>&amp;F</oddHeader>
    <oddFooter>&amp;A&amp;RPage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03F34-F8AA-4A5C-98A6-F479FD6A5F80}">
  <sheetPr codeName="Sheet4"/>
  <dimension ref="B2:E12"/>
  <sheetViews>
    <sheetView workbookViewId="0">
      <selection activeCell="O9" sqref="O9"/>
    </sheetView>
  </sheetViews>
  <sheetFormatPr defaultRowHeight="13.2" x14ac:dyDescent="0.25"/>
  <sheetData>
    <row r="2" spans="2:5" ht="52.8" x14ac:dyDescent="0.25">
      <c r="B2" s="33" t="s">
        <v>12</v>
      </c>
      <c r="C2" s="33" t="s">
        <v>58</v>
      </c>
      <c r="E2" s="71" t="s">
        <v>113</v>
      </c>
    </row>
    <row r="3" spans="2:5" x14ac:dyDescent="0.25">
      <c r="B3" s="34" t="s">
        <v>13</v>
      </c>
      <c r="C3" s="34" t="s">
        <v>15</v>
      </c>
      <c r="E3" s="52" t="s">
        <v>15</v>
      </c>
    </row>
    <row r="4" spans="2:5" x14ac:dyDescent="0.25">
      <c r="B4" s="38">
        <v>8</v>
      </c>
      <c r="C4" s="35">
        <v>13.783871238750486</v>
      </c>
      <c r="E4" s="150">
        <v>12.8</v>
      </c>
    </row>
    <row r="5" spans="2:5" x14ac:dyDescent="0.25">
      <c r="B5" s="39">
        <v>10</v>
      </c>
      <c r="C5" s="36">
        <v>15.981301279564761</v>
      </c>
      <c r="E5" s="151">
        <v>17.5</v>
      </c>
    </row>
    <row r="6" spans="2:5" x14ac:dyDescent="0.25">
      <c r="B6" s="39">
        <v>12</v>
      </c>
      <c r="C6" s="36">
        <v>23.607253351416638</v>
      </c>
      <c r="E6" s="151">
        <v>21.6</v>
      </c>
    </row>
    <row r="7" spans="2:5" x14ac:dyDescent="0.25">
      <c r="B7" s="39">
        <v>14</v>
      </c>
      <c r="C7" s="36">
        <v>28.948796734542061</v>
      </c>
      <c r="E7" s="151">
        <v>25.9</v>
      </c>
    </row>
    <row r="8" spans="2:5" x14ac:dyDescent="0.25">
      <c r="B8" s="39">
        <v>16</v>
      </c>
      <c r="C8" s="36">
        <v>29.834957735329549</v>
      </c>
      <c r="E8" s="151">
        <v>32.799999999999997</v>
      </c>
    </row>
    <row r="9" spans="2:5" x14ac:dyDescent="0.25">
      <c r="B9" s="39">
        <v>18</v>
      </c>
      <c r="C9" s="36">
        <v>44.332429992759401</v>
      </c>
      <c r="E9" s="151">
        <v>39.6</v>
      </c>
    </row>
    <row r="10" spans="2:5" x14ac:dyDescent="0.25">
      <c r="B10" s="39">
        <v>20</v>
      </c>
      <c r="C10" s="36">
        <v>41.126706394477431</v>
      </c>
      <c r="E10" s="151">
        <v>46</v>
      </c>
    </row>
    <row r="11" spans="2:5" x14ac:dyDescent="0.25">
      <c r="B11" s="39">
        <v>22</v>
      </c>
      <c r="C11" s="36">
        <v>50.262286377285086</v>
      </c>
      <c r="E11" s="151">
        <v>56.1</v>
      </c>
    </row>
    <row r="12" spans="2:5" x14ac:dyDescent="0.25">
      <c r="B12" s="40">
        <v>24</v>
      </c>
      <c r="C12" s="37">
        <v>57.476034846871038</v>
      </c>
      <c r="E12" s="152">
        <v>63.6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S17"/>
  <sheetViews>
    <sheetView topLeftCell="H1" zoomScale="102" zoomScaleNormal="120" workbookViewId="0">
      <selection activeCell="K22" sqref="K22"/>
    </sheetView>
  </sheetViews>
  <sheetFormatPr defaultRowHeight="13.2" x14ac:dyDescent="0.25"/>
  <cols>
    <col min="2" max="3" width="8.5546875" customWidth="1"/>
    <col min="4" max="4" width="10.88671875" customWidth="1"/>
    <col min="5" max="5" width="15.21875" customWidth="1"/>
    <col min="6" max="6" width="10" customWidth="1"/>
    <col min="7" max="7" width="9" customWidth="1"/>
    <col min="8" max="8" width="5.44140625" customWidth="1"/>
    <col min="10" max="10" width="15" customWidth="1"/>
  </cols>
  <sheetData>
    <row r="1" spans="1:19" ht="15.6" x14ac:dyDescent="0.3">
      <c r="A1" s="3" t="str">
        <f>settings!N4</f>
        <v>Make-A-Pie Weekly Profit: cost</v>
      </c>
      <c r="C1" s="3"/>
    </row>
    <row r="2" spans="1:19" x14ac:dyDescent="0.25">
      <c r="B2" s="4"/>
      <c r="C2" s="4"/>
      <c r="D2" s="4"/>
      <c r="E2" s="4"/>
      <c r="I2" s="8" t="s">
        <v>83</v>
      </c>
    </row>
    <row r="3" spans="1:19" ht="46.2" x14ac:dyDescent="0.25">
      <c r="A3" s="8"/>
      <c r="B3" s="133" t="str">
        <f>data!B2</f>
        <v>Number of Pies (x1000)</v>
      </c>
      <c r="C3" s="138" t="str">
        <f>B3&amp;" ^2"</f>
        <v>Number of Pies (x1000) ^2</v>
      </c>
      <c r="D3" s="133" t="str">
        <f>data!C2</f>
        <v>Actual Cost ($/1000 pies)</v>
      </c>
      <c r="E3" s="133" t="s">
        <v>106</v>
      </c>
      <c r="F3" s="133" t="s">
        <v>104</v>
      </c>
      <c r="G3" s="133" t="s">
        <v>105</v>
      </c>
      <c r="J3" s="102" t="s">
        <v>23</v>
      </c>
      <c r="K3" s="21" t="s">
        <v>14</v>
      </c>
      <c r="L3" s="21" t="s">
        <v>13</v>
      </c>
      <c r="M3" s="21" t="s">
        <v>22</v>
      </c>
      <c r="O3" s="21" t="s">
        <v>13</v>
      </c>
      <c r="P3" s="21" t="s">
        <v>14</v>
      </c>
      <c r="Q3" s="27"/>
      <c r="R3" s="144" t="s">
        <v>110</v>
      </c>
    </row>
    <row r="4" spans="1:19" x14ac:dyDescent="0.25">
      <c r="B4" s="142" t="str">
        <f>data!B3</f>
        <v>X</v>
      </c>
      <c r="C4" s="143" t="s">
        <v>14</v>
      </c>
      <c r="D4" s="143" t="s">
        <v>15</v>
      </c>
      <c r="E4" s="143" t="s">
        <v>16</v>
      </c>
      <c r="F4" s="143" t="s">
        <v>107</v>
      </c>
      <c r="G4" s="143" t="s">
        <v>108</v>
      </c>
      <c r="H4" s="32"/>
      <c r="J4" s="23" t="s">
        <v>17</v>
      </c>
      <c r="K4" s="7">
        <f t="array" ref="K4:M8">LINEST(D5:D13, B5:C13, FALSE, TRUE )</f>
        <v>4.1175804210560323E-2</v>
      </c>
      <c r="L4" s="7">
        <v>1.3952344317736463</v>
      </c>
      <c r="M4" s="28">
        <v>0</v>
      </c>
      <c r="O4" s="7">
        <f>INDEX($K$4:$L$4, 1, MATCH(O3, $K$3:$L$3, 0 ))</f>
        <v>1.3952344317736463</v>
      </c>
      <c r="P4" s="7">
        <f>INDEX($K$4:$L$4, 1, MATCH(P3, $K$3:$L$3, 0 ))</f>
        <v>4.1175804210560323E-2</v>
      </c>
      <c r="R4" s="140" t="s">
        <v>111</v>
      </c>
    </row>
    <row r="5" spans="1:19" x14ac:dyDescent="0.25">
      <c r="B5" s="134">
        <f>data!B4</f>
        <v>8</v>
      </c>
      <c r="C5" s="135">
        <f>B5^2</f>
        <v>64</v>
      </c>
      <c r="D5" s="136">
        <f>data!C4</f>
        <v>13.783871238750486</v>
      </c>
      <c r="E5" s="137">
        <f>SUMPRODUCT($O$4:$P$4, B5:C5)</f>
        <v>13.797126923665031</v>
      </c>
      <c r="F5" s="141">
        <f>$D5 + _xlfn.NORM.INV( tolerance / 2, 0, 1) * se_e</f>
        <v>7.9732186678080996</v>
      </c>
      <c r="G5" s="141">
        <f>$D5 + _xlfn.NORM.INV( (1- tolerance / 2), 0, 1) * se_e</f>
        <v>19.594523809692873</v>
      </c>
      <c r="H5" s="51"/>
      <c r="J5" s="24" t="s">
        <v>18</v>
      </c>
      <c r="K5" s="7">
        <v>1.3314044518848659E-2</v>
      </c>
      <c r="L5" s="7">
        <v>0.25995055554577262</v>
      </c>
      <c r="M5" s="30" t="e">
        <v>#N/A</v>
      </c>
      <c r="O5" s="69" t="s">
        <v>79</v>
      </c>
      <c r="R5" s="7">
        <f>L6</f>
        <v>2.9646731352086433</v>
      </c>
    </row>
    <row r="6" spans="1:19" x14ac:dyDescent="0.25">
      <c r="B6" s="134">
        <f>data!B5</f>
        <v>10</v>
      </c>
      <c r="C6" s="135">
        <f t="shared" ref="C6:C13" si="0">B6^2</f>
        <v>100</v>
      </c>
      <c r="D6" s="136">
        <f>data!C5</f>
        <v>15.981301279564761</v>
      </c>
      <c r="E6" s="137">
        <f>SUMPRODUCT($O$4:$P$4, B6:C6)</f>
        <v>18.069924738792494</v>
      </c>
      <c r="F6" s="141">
        <f>$D6 + _xlfn.NORM.INV( tolerance / 2, 0, 1) * se_e</f>
        <v>10.170648708622375</v>
      </c>
      <c r="G6" s="141">
        <f>$D6 + _xlfn.NORM.INV( (1- tolerance / 2), 0, 1) * se_e</f>
        <v>21.791953850507149</v>
      </c>
      <c r="J6" s="25" t="s">
        <v>19</v>
      </c>
      <c r="K6" s="7">
        <v>0.99496415686052408</v>
      </c>
      <c r="L6" s="7">
        <v>2.9646731352086433</v>
      </c>
      <c r="M6" s="30" t="e">
        <v>#N/A</v>
      </c>
      <c r="O6" s="103" t="str">
        <f ca="1">_xlfn.FORMULATEXT(O4)</f>
        <v>=INDEX($K$4:$L$4, 1, MATCH(O3, $K$3:$L$3, 0 ))</v>
      </c>
      <c r="P6" s="103"/>
      <c r="Q6" s="103"/>
      <c r="R6" s="103"/>
    </row>
    <row r="7" spans="1:19" x14ac:dyDescent="0.25">
      <c r="B7" s="134">
        <f>data!B6</f>
        <v>12</v>
      </c>
      <c r="C7" s="135">
        <f t="shared" si="0"/>
        <v>144</v>
      </c>
      <c r="D7" s="136">
        <f>data!C6</f>
        <v>23.607253351416638</v>
      </c>
      <c r="E7" s="137">
        <f>SUMPRODUCT($O$4:$P$4, B7:C7)</f>
        <v>22.672128987604442</v>
      </c>
      <c r="F7" s="141">
        <f>$D7 + _xlfn.NORM.INV( tolerance / 2, 0, 1) * se_e</f>
        <v>17.79660078047425</v>
      </c>
      <c r="G7" s="141">
        <f>$D7 + _xlfn.NORM.INV( (1- tolerance / 2), 0, 1) * se_e</f>
        <v>29.417905922359026</v>
      </c>
      <c r="J7" s="25" t="s">
        <v>21</v>
      </c>
      <c r="K7" s="7">
        <v>691.51767689376891</v>
      </c>
      <c r="L7" s="7">
        <v>7</v>
      </c>
      <c r="M7" s="30" t="e">
        <v>#N/A</v>
      </c>
      <c r="P7" s="104" t="s">
        <v>80</v>
      </c>
    </row>
    <row r="8" spans="1:19" x14ac:dyDescent="0.25">
      <c r="B8" s="134">
        <f>data!B7</f>
        <v>14</v>
      </c>
      <c r="C8" s="135">
        <f t="shared" si="0"/>
        <v>196</v>
      </c>
      <c r="D8" s="136">
        <f>data!C7</f>
        <v>28.948796734542061</v>
      </c>
      <c r="E8" s="137">
        <f>SUMPRODUCT($O$4:$P$4, B8:C8)</f>
        <v>27.603739670100872</v>
      </c>
      <c r="F8" s="141">
        <f>$D8 + _xlfn.NORM.INV( tolerance / 2, 0, 1) * se_e</f>
        <v>23.138144163599677</v>
      </c>
      <c r="G8" s="141">
        <f>$D8 + _xlfn.NORM.INV( (1- tolerance / 2), 0, 1) * se_e</f>
        <v>34.759449305484445</v>
      </c>
      <c r="J8" s="26" t="s">
        <v>20</v>
      </c>
      <c r="K8" s="7">
        <v>12155.8943770804</v>
      </c>
      <c r="L8" s="7">
        <v>61.525007590394928</v>
      </c>
      <c r="M8" s="31" t="e">
        <v>#N/A</v>
      </c>
      <c r="P8" s="103" t="str">
        <f ca="1">_xlfn.FORMULATEXT(P4)</f>
        <v>=INDEX($K$4:$L$4, 1, MATCH(P3, $K$3:$L$3, 0 ))</v>
      </c>
      <c r="Q8" s="103"/>
      <c r="R8" s="103"/>
      <c r="S8" s="103"/>
    </row>
    <row r="9" spans="1:19" x14ac:dyDescent="0.25">
      <c r="B9" s="134">
        <f>data!B8</f>
        <v>16</v>
      </c>
      <c r="C9" s="135">
        <f t="shared" si="0"/>
        <v>256</v>
      </c>
      <c r="D9" s="136">
        <f>data!C8</f>
        <v>29.834957735329549</v>
      </c>
      <c r="E9" s="137">
        <f>SUMPRODUCT($O$4:$P$4, B9:C9)</f>
        <v>32.864756786281781</v>
      </c>
      <c r="F9" s="141">
        <f>$D9 + _xlfn.NORM.INV( tolerance / 2, 0, 1) * se_e</f>
        <v>24.024305164387165</v>
      </c>
      <c r="G9" s="141">
        <f>$D9 + _xlfn.NORM.INV( (1- tolerance / 2), 0, 1) * se_e</f>
        <v>35.645610306271934</v>
      </c>
      <c r="K9" s="69" t="s">
        <v>59</v>
      </c>
      <c r="P9" s="51" t="s">
        <v>84</v>
      </c>
    </row>
    <row r="10" spans="1:19" x14ac:dyDescent="0.25">
      <c r="B10" s="134">
        <f>data!B9</f>
        <v>18</v>
      </c>
      <c r="C10" s="135">
        <f t="shared" si="0"/>
        <v>324</v>
      </c>
      <c r="D10" s="136">
        <f>data!C9</f>
        <v>44.332429992759401</v>
      </c>
      <c r="E10" s="137">
        <f>SUMPRODUCT($O$4:$P$4, B10:C10)</f>
        <v>38.45518033614718</v>
      </c>
      <c r="F10" s="141">
        <f>$D10 + _xlfn.NORM.INV( tolerance / 2, 0, 1) * se_e</f>
        <v>38.521777421817013</v>
      </c>
      <c r="G10" s="141">
        <f>$D10 + _xlfn.NORM.INV( (1- tolerance / 2), 0, 1) * se_e</f>
        <v>50.143082563701789</v>
      </c>
      <c r="K10" s="70" t="str">
        <f ca="1">_xlfn.FORMULATEXT(K4)</f>
        <v>{=LINEST(D5:D13, B5:C13, FALSE, TRUE )}</v>
      </c>
      <c r="L10" s="70"/>
      <c r="M10" s="70"/>
      <c r="N10" s="7"/>
      <c r="P10" s="51" t="s">
        <v>60</v>
      </c>
    </row>
    <row r="11" spans="1:19" x14ac:dyDescent="0.25">
      <c r="B11" s="134">
        <f>data!B10</f>
        <v>20</v>
      </c>
      <c r="C11" s="135">
        <f t="shared" si="0"/>
        <v>400</v>
      </c>
      <c r="D11" s="136">
        <f>data!C10</f>
        <v>41.126706394477431</v>
      </c>
      <c r="E11" s="137">
        <f>SUMPRODUCT($O$4:$P$4, B11:C11)</f>
        <v>44.375010319697054</v>
      </c>
      <c r="F11" s="141">
        <f>$D11 + _xlfn.NORM.INV( tolerance / 2, 0, 1) * se_e</f>
        <v>35.316053823535043</v>
      </c>
      <c r="G11" s="141">
        <f>$D11 + _xlfn.NORM.INV( (1- tolerance / 2), 0, 1) * se_e</f>
        <v>46.937358965419818</v>
      </c>
    </row>
    <row r="12" spans="1:19" x14ac:dyDescent="0.25">
      <c r="B12" s="134">
        <f>data!B11</f>
        <v>22</v>
      </c>
      <c r="C12" s="135">
        <f t="shared" si="0"/>
        <v>484</v>
      </c>
      <c r="D12" s="136">
        <f>data!C11</f>
        <v>50.262286377285086</v>
      </c>
      <c r="E12" s="137">
        <f>SUMPRODUCT($O$4:$P$4, B12:C12)</f>
        <v>50.624246736931411</v>
      </c>
      <c r="F12" s="141">
        <f>$D12 + _xlfn.NORM.INV( tolerance / 2, 0, 1) * se_e</f>
        <v>44.451633806342699</v>
      </c>
      <c r="G12" s="141">
        <f>$D12 + _xlfn.NORM.INV( (1- tolerance / 2), 0, 1) * se_e</f>
        <v>56.072938948227474</v>
      </c>
      <c r="J12" s="8" t="s">
        <v>85</v>
      </c>
      <c r="O12" s="8"/>
      <c r="P12">
        <f>INDEX( K4:L4, 1,  MATCH( O3, K3:L3, 0 ) )</f>
        <v>1.3952344317736463</v>
      </c>
    </row>
    <row r="13" spans="1:19" x14ac:dyDescent="0.25">
      <c r="B13" s="146">
        <f>data!B12</f>
        <v>24</v>
      </c>
      <c r="C13" s="135">
        <f t="shared" si="0"/>
        <v>576</v>
      </c>
      <c r="D13" s="136">
        <f>data!C12</f>
        <v>57.476034846871038</v>
      </c>
      <c r="E13" s="137">
        <f>SUMPRODUCT($O$4:$P$4, B13:C13)</f>
        <v>57.202889587850251</v>
      </c>
      <c r="F13" s="141">
        <f>$D13 + _xlfn.NORM.INV( tolerance / 2, 0, 1) * se_e</f>
        <v>51.66538227592865</v>
      </c>
      <c r="G13" s="141">
        <f>$D13 + _xlfn.NORM.INV( (1- tolerance / 2), 0, 1) * se_e</f>
        <v>63.286687417813425</v>
      </c>
      <c r="J13" s="50" t="s">
        <v>42</v>
      </c>
      <c r="O13" s="8"/>
    </row>
    <row r="14" spans="1:19" x14ac:dyDescent="0.25">
      <c r="B14" s="148" t="s">
        <v>81</v>
      </c>
      <c r="C14" s="148" t="s">
        <v>81</v>
      </c>
      <c r="D14" s="148" t="s">
        <v>81</v>
      </c>
      <c r="E14" s="96" t="s">
        <v>82</v>
      </c>
      <c r="F14" s="96" t="s">
        <v>112</v>
      </c>
      <c r="G14" s="96" t="s">
        <v>112</v>
      </c>
    </row>
    <row r="15" spans="1:19" ht="61.2" x14ac:dyDescent="0.25">
      <c r="B15" s="149" t="str">
        <f ca="1">_xlfn.FORMULATEXT(B5)</f>
        <v>=data!B4</v>
      </c>
      <c r="C15" s="149" t="str">
        <f ca="1">_xlfn.FORMULATEXT(C5)</f>
        <v>=B5^2</v>
      </c>
      <c r="D15" s="149" t="str">
        <f ca="1">_xlfn.FORMULATEXT(D5)</f>
        <v>=data!C4</v>
      </c>
      <c r="E15" s="147" t="str">
        <f ca="1">_xlfn.FORMULATEXT(E5)</f>
        <v>=SUMPRODUCT($O$4:$P$4, B5:C5)</v>
      </c>
      <c r="F15" s="149" t="str">
        <f ca="1">_xlfn.FORMULATEXT(F5)</f>
        <v>=$D5 + NORM.INV( tolerance / 2, 0, 1) * se_e</v>
      </c>
      <c r="G15" s="149" t="str">
        <f ca="1">_xlfn.FORMULATEXT(G5)</f>
        <v>=$D5 + NORM.INV( (1- tolerance / 2), 0, 1) * se_e</v>
      </c>
      <c r="H15" s="68"/>
      <c r="I15" s="68"/>
      <c r="J15" s="68"/>
    </row>
    <row r="16" spans="1:19" x14ac:dyDescent="0.25">
      <c r="E16" s="29"/>
      <c r="G16" s="29"/>
      <c r="H16" s="29"/>
      <c r="I16" s="29"/>
      <c r="J16" s="29"/>
    </row>
    <row r="17" spans="5:10" x14ac:dyDescent="0.25">
      <c r="E17" s="29"/>
      <c r="G17" s="145"/>
      <c r="H17" s="145"/>
      <c r="I17" s="145"/>
      <c r="J17" s="145"/>
    </row>
  </sheetData>
  <mergeCells count="2">
    <mergeCell ref="O6:R6"/>
    <mergeCell ref="P8:S8"/>
  </mergeCells>
  <hyperlinks>
    <hyperlink ref="J13" r:id="rId1" xr:uid="{48366E9A-198A-47AD-AF30-971E2ACE5ACB}"/>
  </hyperlinks>
  <pageMargins left="0.75" right="0.75" top="1" bottom="1" header="0.5" footer="0.5"/>
  <pageSetup orientation="landscape" r:id="rId2"/>
  <headerFooter alignWithMargins="0">
    <oddHeader>&amp;F</oddHeader>
    <oddFooter>&amp;A&amp;RPage &amp;P</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FB19E-9079-4191-9F01-7E9D0B7CD2AE}">
  <sheetPr codeName="Sheet6"/>
  <dimension ref="A1:I22"/>
  <sheetViews>
    <sheetView workbookViewId="0">
      <selection activeCell="A14" sqref="A14"/>
    </sheetView>
  </sheetViews>
  <sheetFormatPr defaultRowHeight="13.2" x14ac:dyDescent="0.25"/>
  <cols>
    <col min="5" max="5" width="19.109375" customWidth="1"/>
    <col min="6" max="7" width="2.44140625" customWidth="1"/>
    <col min="10" max="10" width="4.109375" customWidth="1"/>
  </cols>
  <sheetData>
    <row r="1" spans="1:9" ht="15.6" x14ac:dyDescent="0.3">
      <c r="A1" s="3" t="str">
        <f>settings!N5</f>
        <v>Make-A-Pie Weekly Profit: demand</v>
      </c>
    </row>
    <row r="3" spans="1:9" x14ac:dyDescent="0.25">
      <c r="B3" s="52" t="s">
        <v>86</v>
      </c>
      <c r="C3" s="83"/>
      <c r="D3" s="83"/>
      <c r="E3" s="84"/>
      <c r="H3" s="52" t="s">
        <v>40</v>
      </c>
      <c r="I3" s="52" t="s">
        <v>11</v>
      </c>
    </row>
    <row r="4" spans="1:9" x14ac:dyDescent="0.25">
      <c r="C4" s="8" t="s">
        <v>36</v>
      </c>
      <c r="D4">
        <v>10</v>
      </c>
      <c r="E4" s="8" t="s">
        <v>41</v>
      </c>
      <c r="H4" s="7">
        <f>D6</f>
        <v>45000</v>
      </c>
      <c r="I4" s="7">
        <v>0</v>
      </c>
    </row>
    <row r="5" spans="1:9" x14ac:dyDescent="0.25">
      <c r="C5" s="8" t="s">
        <v>37</v>
      </c>
      <c r="D5">
        <v>4500</v>
      </c>
      <c r="E5" s="8"/>
      <c r="H5" s="58">
        <f>H4+a_1</f>
        <v>40500</v>
      </c>
      <c r="I5" s="58">
        <v>1</v>
      </c>
    </row>
    <row r="6" spans="1:9" x14ac:dyDescent="0.25">
      <c r="C6" s="52" t="s">
        <v>38</v>
      </c>
      <c r="D6" s="7">
        <f>D4*D5</f>
        <v>45000</v>
      </c>
      <c r="E6" s="7" t="str">
        <f ca="1">_xlfn.FORMULATEXT(D6)</f>
        <v>=D4*D5</v>
      </c>
      <c r="H6" s="58">
        <f>H5+a_1</f>
        <v>36000</v>
      </c>
      <c r="I6" s="58">
        <v>2</v>
      </c>
    </row>
    <row r="7" spans="1:9" x14ac:dyDescent="0.25">
      <c r="H7" s="58">
        <f>H6+a_1</f>
        <v>31500</v>
      </c>
      <c r="I7" s="58">
        <v>3</v>
      </c>
    </row>
    <row r="8" spans="1:9" x14ac:dyDescent="0.25">
      <c r="B8" s="52" t="s">
        <v>87</v>
      </c>
      <c r="C8" s="83"/>
      <c r="D8" s="83"/>
      <c r="E8" s="84"/>
      <c r="H8" s="58">
        <f>H7+a_1</f>
        <v>27000</v>
      </c>
      <c r="I8" s="58">
        <v>4</v>
      </c>
    </row>
    <row r="9" spans="1:9" x14ac:dyDescent="0.25">
      <c r="C9" s="52" t="s">
        <v>39</v>
      </c>
      <c r="D9" s="7">
        <v>-4500</v>
      </c>
      <c r="E9" s="7"/>
      <c r="H9" s="58">
        <f>H8+a_1</f>
        <v>22500</v>
      </c>
      <c r="I9" s="58">
        <v>5</v>
      </c>
    </row>
    <row r="10" spans="1:9" x14ac:dyDescent="0.25">
      <c r="H10" s="58">
        <f>H9+a_1</f>
        <v>18000</v>
      </c>
      <c r="I10" s="58">
        <v>6</v>
      </c>
    </row>
    <row r="11" spans="1:9" x14ac:dyDescent="0.25">
      <c r="C11" s="8" t="s">
        <v>55</v>
      </c>
      <c r="H11" s="58">
        <f>H10+a_1</f>
        <v>13500</v>
      </c>
      <c r="I11" s="58">
        <v>7</v>
      </c>
    </row>
    <row r="12" spans="1:9" x14ac:dyDescent="0.25">
      <c r="H12" s="58">
        <f>H11+a_1</f>
        <v>9000</v>
      </c>
      <c r="I12" s="58">
        <v>8</v>
      </c>
    </row>
    <row r="13" spans="1:9" x14ac:dyDescent="0.25">
      <c r="C13" s="105" t="str">
        <f>"Demand = "&amp;D6&amp;" -  "&amp;ABS(D9)&amp;"*Price"</f>
        <v>Demand = 45000 -  4500*Price</v>
      </c>
      <c r="D13" s="105"/>
      <c r="E13" s="105"/>
      <c r="H13" s="58">
        <f>H12+a_1</f>
        <v>4500</v>
      </c>
      <c r="I13" s="58">
        <v>9</v>
      </c>
    </row>
    <row r="14" spans="1:9" x14ac:dyDescent="0.25">
      <c r="H14" s="58">
        <f>H13+a_1</f>
        <v>0</v>
      </c>
      <c r="I14" s="58">
        <v>10</v>
      </c>
    </row>
    <row r="15" spans="1:9" x14ac:dyDescent="0.25">
      <c r="B15" s="8"/>
      <c r="C15" s="52" t="s">
        <v>88</v>
      </c>
      <c r="H15" s="58">
        <f>H14+a_1</f>
        <v>-4500</v>
      </c>
      <c r="I15" s="58">
        <v>11</v>
      </c>
    </row>
    <row r="16" spans="1:9" x14ac:dyDescent="0.25">
      <c r="C16" s="106" t="str">
        <f ca="1">_xlfn.FORMULATEXT(C13)</f>
        <v>="Demand = "&amp;D6&amp;" -  "&amp;ABS(D9)&amp;"*Price"</v>
      </c>
      <c r="D16" s="107"/>
      <c r="E16" s="107"/>
      <c r="H16" s="58">
        <f>H15+a_1</f>
        <v>-9000</v>
      </c>
      <c r="I16" s="7">
        <v>12</v>
      </c>
    </row>
    <row r="17" spans="8:9" x14ac:dyDescent="0.25">
      <c r="H17" s="58">
        <f>H16+a_1</f>
        <v>-13500</v>
      </c>
      <c r="I17" s="58">
        <v>13</v>
      </c>
    </row>
    <row r="18" spans="8:9" x14ac:dyDescent="0.25">
      <c r="H18" s="58">
        <f>H17+a_1</f>
        <v>-18000</v>
      </c>
      <c r="I18" s="59">
        <v>14</v>
      </c>
    </row>
    <row r="19" spans="8:9" x14ac:dyDescent="0.25">
      <c r="H19" s="52" t="s">
        <v>90</v>
      </c>
    </row>
    <row r="20" spans="8:9" x14ac:dyDescent="0.25">
      <c r="H20" s="108" t="str">
        <f ca="1">_xlfn.FORMULATEXT(H4)</f>
        <v>=D6</v>
      </c>
    </row>
    <row r="21" spans="8:9" x14ac:dyDescent="0.25">
      <c r="H21" s="52" t="s">
        <v>89</v>
      </c>
    </row>
    <row r="22" spans="8:9" x14ac:dyDescent="0.25">
      <c r="H22" s="7" t="str">
        <f ca="1">_xlfn.FORMULATEXT(H5)</f>
        <v>=H4+a_1</v>
      </c>
    </row>
  </sheetData>
  <mergeCells count="1">
    <mergeCell ref="C13:E1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E22"/>
  <sheetViews>
    <sheetView showGridLines="0" zoomScaleNormal="100" workbookViewId="0"/>
  </sheetViews>
  <sheetFormatPr defaultColWidth="9.109375" defaultRowHeight="13.2" x14ac:dyDescent="0.25"/>
  <cols>
    <col min="1" max="1" width="9.109375" style="10"/>
    <col min="2" max="2" width="47.77734375" style="10" customWidth="1"/>
    <col min="3" max="3" width="12.5546875" style="10" customWidth="1"/>
    <col min="4" max="4" width="19" style="10" customWidth="1"/>
    <col min="5" max="5" width="32.5546875" style="10" customWidth="1"/>
    <col min="6" max="16384" width="9.109375" style="10"/>
  </cols>
  <sheetData>
    <row r="1" spans="1:5" ht="17.399999999999999" x14ac:dyDescent="0.3">
      <c r="A1" s="2" t="s">
        <v>24</v>
      </c>
      <c r="C1" s="9"/>
      <c r="D1" s="9"/>
    </row>
    <row r="2" spans="1:5" x14ac:dyDescent="0.25">
      <c r="B2" s="11" t="s">
        <v>0</v>
      </c>
    </row>
    <row r="3" spans="1:5" x14ac:dyDescent="0.25">
      <c r="B3" s="14" t="s">
        <v>1</v>
      </c>
      <c r="C3" s="123">
        <f>sensitivity!C3</f>
        <v>7.625</v>
      </c>
      <c r="E3" s="101" t="str">
        <f ca="1">_xlfn.FORMULATEXT(C3)</f>
        <v>=sensitivity!C3</v>
      </c>
    </row>
    <row r="4" spans="1:5" x14ac:dyDescent="0.25">
      <c r="C4" s="13"/>
    </row>
    <row r="5" spans="1:5" x14ac:dyDescent="0.25">
      <c r="B5" s="11" t="s">
        <v>2</v>
      </c>
      <c r="C5" s="14"/>
    </row>
    <row r="6" spans="1:5" x14ac:dyDescent="0.25">
      <c r="B6" s="48" t="s">
        <v>77</v>
      </c>
      <c r="C6" s="124">
        <f>settings!K3</f>
        <v>3.5</v>
      </c>
      <c r="E6" s="101" t="str">
        <f t="shared" ref="E6:E8" ca="1" si="0">_xlfn.FORMULATEXT(C6)</f>
        <v>=settings!K3</v>
      </c>
    </row>
    <row r="7" spans="1:5" x14ac:dyDescent="0.25">
      <c r="B7" s="15" t="s">
        <v>4</v>
      </c>
      <c r="C7" s="124">
        <f>settings!K4</f>
        <v>0.26</v>
      </c>
      <c r="E7" s="101" t="str">
        <f t="shared" ca="1" si="0"/>
        <v>=settings!K4</v>
      </c>
    </row>
    <row r="8" spans="1:5" x14ac:dyDescent="0.25">
      <c r="B8" s="15" t="s">
        <v>5</v>
      </c>
      <c r="C8" s="124">
        <f>settings!K5</f>
        <v>13020</v>
      </c>
      <c r="E8" s="101" t="str">
        <f t="shared" ca="1" si="0"/>
        <v>=settings!K5</v>
      </c>
    </row>
    <row r="9" spans="1:5" x14ac:dyDescent="0.25">
      <c r="B9" s="15"/>
      <c r="C9" s="16"/>
    </row>
    <row r="10" spans="1:5" x14ac:dyDescent="0.25">
      <c r="B10" s="1" t="s">
        <v>45</v>
      </c>
    </row>
    <row r="11" spans="1:5" x14ac:dyDescent="0.25">
      <c r="B11" s="48" t="s">
        <v>56</v>
      </c>
      <c r="C11" s="129">
        <f>C12+C13*C3</f>
        <v>10687.5</v>
      </c>
      <c r="D11" s="99" t="s">
        <v>95</v>
      </c>
      <c r="E11" s="101" t="str">
        <f ca="1">_xlfn.FORMULATEXT(C11)</f>
        <v>=C12+C13*C3</v>
      </c>
    </row>
    <row r="12" spans="1:5" x14ac:dyDescent="0.25">
      <c r="B12" s="49" t="s">
        <v>32</v>
      </c>
      <c r="C12" s="115">
        <f>a_0</f>
        <v>45000</v>
      </c>
      <c r="E12" s="101" t="str">
        <f ca="1">_xlfn.FORMULATEXT(C12)</f>
        <v>=a_0</v>
      </c>
    </row>
    <row r="13" spans="1:5" x14ac:dyDescent="0.25">
      <c r="B13" s="49" t="s">
        <v>33</v>
      </c>
      <c r="C13" s="115">
        <f>a_1</f>
        <v>-4500</v>
      </c>
      <c r="E13" s="101" t="str">
        <f ca="1">_xlfn.FORMULATEXT(C13)</f>
        <v>=a_1</v>
      </c>
    </row>
    <row r="14" spans="1:5" x14ac:dyDescent="0.25">
      <c r="B14" s="48" t="s">
        <v>46</v>
      </c>
      <c r="C14" s="125">
        <f>C15*(C11/1000)^2+C16*(C11/1000)</f>
        <v>19.614777719740978</v>
      </c>
      <c r="E14" s="101" t="str">
        <f ca="1">_xlfn.FORMULATEXT(C14)</f>
        <v>=C15*(C11/1000)^2+C16*(C11/1000)</v>
      </c>
    </row>
    <row r="15" spans="1:5" x14ac:dyDescent="0.25">
      <c r="B15" s="49" t="s">
        <v>34</v>
      </c>
      <c r="C15" s="115">
        <f>cost!K4</f>
        <v>4.1175804210560323E-2</v>
      </c>
      <c r="D15" s="51" t="s">
        <v>52</v>
      </c>
      <c r="E15" s="101" t="str">
        <f t="shared" ref="E15:E22" ca="1" si="1">_xlfn.FORMULATEXT(C15)</f>
        <v>=cost!K4</v>
      </c>
    </row>
    <row r="16" spans="1:5" x14ac:dyDescent="0.25">
      <c r="B16" s="49" t="s">
        <v>35</v>
      </c>
      <c r="C16" s="115">
        <f>cost!L4</f>
        <v>1.3952344317736463</v>
      </c>
      <c r="D16" s="100" t="s">
        <v>53</v>
      </c>
      <c r="E16" s="101" t="str">
        <f t="shared" ca="1" si="1"/>
        <v>=cost!L4</v>
      </c>
    </row>
    <row r="17" spans="2:5" x14ac:dyDescent="0.25">
      <c r="B17" s="20" t="s">
        <v>6</v>
      </c>
      <c r="C17" s="128">
        <f>C11*C3</f>
        <v>81492.1875</v>
      </c>
      <c r="E17" s="101" t="str">
        <f t="shared" ca="1" si="1"/>
        <v>=C11*C3</v>
      </c>
    </row>
    <row r="18" spans="2:5" x14ac:dyDescent="0.25">
      <c r="B18" s="15" t="s">
        <v>7</v>
      </c>
      <c r="C18" s="125">
        <f>C11*(C6+C7)</f>
        <v>40185</v>
      </c>
      <c r="E18" s="101" t="str">
        <f t="shared" ca="1" si="1"/>
        <v>=C11*(C6+C7)</v>
      </c>
    </row>
    <row r="19" spans="2:5" x14ac:dyDescent="0.25">
      <c r="B19" s="15" t="s">
        <v>10</v>
      </c>
      <c r="C19" s="124">
        <f>C14*1000</f>
        <v>19614.777719740978</v>
      </c>
      <c r="E19" s="101" t="str">
        <f t="shared" ca="1" si="1"/>
        <v>=C14*1000</v>
      </c>
    </row>
    <row r="20" spans="2:5" x14ac:dyDescent="0.25">
      <c r="B20" s="15" t="s">
        <v>5</v>
      </c>
      <c r="C20" s="125">
        <f>C8</f>
        <v>13020</v>
      </c>
      <c r="E20" s="101" t="str">
        <f t="shared" ca="1" si="1"/>
        <v>=C8</v>
      </c>
    </row>
    <row r="21" spans="2:5" x14ac:dyDescent="0.25">
      <c r="B21" s="20" t="s">
        <v>8</v>
      </c>
      <c r="C21" s="126">
        <f>SUM(C18:C20)</f>
        <v>72819.777719740974</v>
      </c>
      <c r="E21" s="101" t="str">
        <f t="shared" ca="1" si="1"/>
        <v>=SUM(C18:C20)</v>
      </c>
    </row>
    <row r="22" spans="2:5" x14ac:dyDescent="0.25">
      <c r="B22" s="98" t="s">
        <v>9</v>
      </c>
      <c r="C22" s="127">
        <f>C17-C21</f>
        <v>8672.4097802590259</v>
      </c>
      <c r="E22" s="101" t="str">
        <f t="shared" ca="1" si="1"/>
        <v>=C17-C21</v>
      </c>
    </row>
  </sheetData>
  <pageMargins left="0.75" right="0.75" top="1" bottom="1" header="0.5" footer="0.5"/>
  <pageSetup orientation="landscape" horizontalDpi="300" verticalDpi="300" r:id="rId1"/>
  <headerFooter alignWithMargins="0">
    <oddFooter>&amp;A&amp;RPage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7ECE5-9442-422F-B6D6-751B4ED23DBE}">
  <sheetPr codeName="Sheet11"/>
  <dimension ref="A1:K32"/>
  <sheetViews>
    <sheetView showGridLines="0" topLeftCell="A3" zoomScale="90" zoomScaleNormal="90" workbookViewId="0">
      <selection activeCell="C32" sqref="C32"/>
    </sheetView>
  </sheetViews>
  <sheetFormatPr defaultColWidth="9.109375" defaultRowHeight="13.2" x14ac:dyDescent="0.25"/>
  <cols>
    <col min="1" max="1" width="8" style="10" customWidth="1"/>
    <col min="2" max="2" width="21.5546875" style="10" customWidth="1"/>
    <col min="3" max="3" width="25.21875" style="10" customWidth="1"/>
    <col min="4" max="4" width="17.109375" style="10" customWidth="1"/>
    <col min="5" max="5" width="17" style="10" customWidth="1"/>
    <col min="6" max="6" width="18.5546875" style="10" customWidth="1"/>
    <col min="7" max="7" width="3.6640625" style="10" customWidth="1"/>
    <col min="8" max="8" width="11" style="14" customWidth="1"/>
    <col min="9" max="9" width="3.5546875" style="10" customWidth="1"/>
    <col min="10" max="10" width="34.5546875" style="10" customWidth="1"/>
    <col min="11" max="11" width="22.5546875" style="10" customWidth="1"/>
    <col min="12" max="15" width="9.109375" style="10"/>
    <col min="16" max="16" width="12.33203125" style="10" bestFit="1" customWidth="1"/>
    <col min="17" max="16384" width="9.109375" style="10"/>
  </cols>
  <sheetData>
    <row r="1" spans="1:11" ht="17.399999999999999" x14ac:dyDescent="0.3">
      <c r="A1" s="2" t="s">
        <v>167</v>
      </c>
      <c r="B1" s="9"/>
      <c r="C1" s="9"/>
    </row>
    <row r="2" spans="1:11" x14ac:dyDescent="0.25">
      <c r="A2" s="8"/>
      <c r="B2" s="53" t="s">
        <v>43</v>
      </c>
      <c r="C2" s="54">
        <v>0</v>
      </c>
      <c r="D2" s="54">
        <f>C2 + 1</f>
        <v>1</v>
      </c>
      <c r="E2" s="54">
        <f t="shared" ref="E2:F2" si="0">D2 + 1</f>
        <v>2</v>
      </c>
      <c r="F2" s="54">
        <f t="shared" si="0"/>
        <v>3</v>
      </c>
      <c r="H2" s="21" t="s">
        <v>47</v>
      </c>
      <c r="J2" s="101" t="str">
        <f ca="1">_xlfn.FORMULATEXT(D2)</f>
        <v>=C2 + 1</v>
      </c>
    </row>
    <row r="3" spans="1:11" x14ac:dyDescent="0.25">
      <c r="B3" s="11" t="s">
        <v>0</v>
      </c>
    </row>
    <row r="4" spans="1:11" x14ac:dyDescent="0.25">
      <c r="B4" s="8" t="s">
        <v>103</v>
      </c>
      <c r="D4" s="123">
        <f>sensitivity!O10</f>
        <v>8</v>
      </c>
      <c r="E4" s="13">
        <f>D4*(1+$H4)</f>
        <v>8.16</v>
      </c>
      <c r="F4" s="13">
        <f>E4*(1+$H4)</f>
        <v>8.3231999999999999</v>
      </c>
      <c r="H4" s="206">
        <f>settings!S3</f>
        <v>0.02</v>
      </c>
      <c r="J4" s="101" t="str">
        <f ca="1">_xlfn.FORMULATEXT(D4)</f>
        <v>=sensitivity!O10</v>
      </c>
      <c r="K4" s="101" t="str">
        <f ca="1">_xlfn.FORMULATEXT(H4)</f>
        <v>=settings!S3</v>
      </c>
    </row>
    <row r="5" spans="1:11" x14ac:dyDescent="0.25">
      <c r="D5" s="13"/>
      <c r="E5" s="13"/>
      <c r="F5" s="13"/>
    </row>
    <row r="6" spans="1:11" x14ac:dyDescent="0.25">
      <c r="B6" s="11" t="s">
        <v>2</v>
      </c>
      <c r="D6" s="14"/>
      <c r="E6" s="14"/>
      <c r="F6" s="14"/>
    </row>
    <row r="7" spans="1:11" x14ac:dyDescent="0.25">
      <c r="B7" s="15" t="s">
        <v>3</v>
      </c>
      <c r="C7" s="207">
        <f>settings!K3</f>
        <v>3.5</v>
      </c>
      <c r="D7" s="16">
        <f>C7*(1+$H7)</f>
        <v>3.7450000000000001</v>
      </c>
      <c r="E7" s="16">
        <f t="shared" ref="E7:F7" si="1">D7*(1+$H7)</f>
        <v>4.0071500000000002</v>
      </c>
      <c r="F7" s="16">
        <f t="shared" si="1"/>
        <v>4.2876505000000007</v>
      </c>
      <c r="H7" s="206">
        <f>settings!S4</f>
        <v>7.0000000000000007E-2</v>
      </c>
      <c r="J7" s="101" t="str">
        <f t="shared" ref="J7:J9" ca="1" si="2">_xlfn.FORMULATEXT(D7)</f>
        <v>=C7*(1+$H7)</v>
      </c>
      <c r="K7" s="101" t="str">
        <f t="shared" ref="K7:K9" ca="1" si="3">_xlfn.FORMULATEXT(H7)</f>
        <v>=settings!S4</v>
      </c>
    </row>
    <row r="8" spans="1:11" x14ac:dyDescent="0.25">
      <c r="B8" s="15" t="s">
        <v>4</v>
      </c>
      <c r="C8" s="207">
        <f>settings!K4</f>
        <v>0.26</v>
      </c>
      <c r="D8" s="16">
        <f>C8*(1+$H8)</f>
        <v>0.27300000000000002</v>
      </c>
      <c r="E8" s="16">
        <f>D8*(1+$H8)</f>
        <v>0.28665000000000002</v>
      </c>
      <c r="F8" s="16">
        <f>E8*(1+$H8)</f>
        <v>0.30098250000000004</v>
      </c>
      <c r="H8" s="206">
        <f>settings!S5</f>
        <v>0.05</v>
      </c>
      <c r="J8" s="101" t="str">
        <f t="shared" ca="1" si="2"/>
        <v>=C8*(1+$H8)</v>
      </c>
      <c r="K8" s="101" t="str">
        <f t="shared" ca="1" si="3"/>
        <v>=settings!S5</v>
      </c>
    </row>
    <row r="9" spans="1:11" x14ac:dyDescent="0.25">
      <c r="B9" s="15" t="s">
        <v>5</v>
      </c>
      <c r="C9" s="208">
        <f>settings!K5 * 52</f>
        <v>677040</v>
      </c>
      <c r="D9" s="16">
        <f>C9*(1+$H9)</f>
        <v>690580.8</v>
      </c>
      <c r="E9" s="16">
        <f>D9*(1+$H9)</f>
        <v>704392.41600000008</v>
      </c>
      <c r="F9" s="16">
        <f>E9*(1+$H9)</f>
        <v>718480.26432000007</v>
      </c>
      <c r="H9" s="206">
        <f>settings!S6</f>
        <v>0.02</v>
      </c>
      <c r="J9" s="101" t="str">
        <f t="shared" ca="1" si="2"/>
        <v>=C9*(1+$H9)</v>
      </c>
      <c r="K9" s="101" t="str">
        <f t="shared" ca="1" si="3"/>
        <v>=settings!S6</v>
      </c>
    </row>
    <row r="10" spans="1:11" x14ac:dyDescent="0.25">
      <c r="B10" s="15"/>
      <c r="D10" s="16"/>
      <c r="E10" s="16"/>
      <c r="F10" s="16"/>
    </row>
    <row r="11" spans="1:11" x14ac:dyDescent="0.25">
      <c r="B11" s="1" t="s">
        <v>45</v>
      </c>
    </row>
    <row r="12" spans="1:11" x14ac:dyDescent="0.25">
      <c r="B12" s="48" t="s">
        <v>56</v>
      </c>
      <c r="D12" s="17">
        <f>((D13+D14*D4)*52)</f>
        <v>468000</v>
      </c>
      <c r="E12" s="17">
        <f t="shared" ref="E12:F12" si="4">((E13+E14*E4)*52)</f>
        <v>430560</v>
      </c>
      <c r="F12" s="17">
        <f t="shared" si="4"/>
        <v>392371.19999999995</v>
      </c>
      <c r="J12" s="101" t="str">
        <f t="shared" ref="J12:J23" ca="1" si="5">_xlfn.FORMULATEXT(D12)</f>
        <v>=((D13+D14*D4)*52)</v>
      </c>
    </row>
    <row r="13" spans="1:11" x14ac:dyDescent="0.25">
      <c r="B13" s="49" t="s">
        <v>32</v>
      </c>
      <c r="D13" s="115">
        <f>a_0</f>
        <v>45000</v>
      </c>
      <c r="E13" s="115">
        <f>a_0</f>
        <v>45000</v>
      </c>
      <c r="F13" s="115">
        <f>a_0</f>
        <v>45000</v>
      </c>
      <c r="J13" s="101" t="str">
        <f t="shared" ca="1" si="5"/>
        <v>=a_0</v>
      </c>
    </row>
    <row r="14" spans="1:11" x14ac:dyDescent="0.25">
      <c r="B14" s="49" t="s">
        <v>33</v>
      </c>
      <c r="D14" s="115">
        <f>a_1</f>
        <v>-4500</v>
      </c>
      <c r="E14" s="115">
        <f>a_1</f>
        <v>-4500</v>
      </c>
      <c r="F14" s="115">
        <f>a_1</f>
        <v>-4500</v>
      </c>
      <c r="J14" s="101" t="str">
        <f t="shared" ca="1" si="5"/>
        <v>=a_1</v>
      </c>
    </row>
    <row r="15" spans="1:11" x14ac:dyDescent="0.25">
      <c r="B15" s="48" t="s">
        <v>46</v>
      </c>
      <c r="D15" s="211">
        <f>D16*(D12/52000)^2+D17*(D12/52000)</f>
        <v>15.892350027018203</v>
      </c>
      <c r="E15" s="211">
        <f t="shared" ref="E15:F15" si="6">E16*(E12/52000)^2+E17*(E12/52000)</f>
        <v>14.375488350475068</v>
      </c>
      <c r="F15" s="211">
        <f t="shared" si="6"/>
        <v>12.87226978463551</v>
      </c>
      <c r="J15" s="101" t="str">
        <f t="shared" ca="1" si="5"/>
        <v>=D16*(D12/52000)^2+D17*(D12/52000)</v>
      </c>
    </row>
    <row r="16" spans="1:11" x14ac:dyDescent="0.25">
      <c r="B16" s="49" t="s">
        <v>34</v>
      </c>
      <c r="C16" s="126"/>
      <c r="D16" s="207">
        <f>cost!$K$4</f>
        <v>4.1175804210560323E-2</v>
      </c>
      <c r="E16" s="207">
        <f>cost!$K$4</f>
        <v>4.1175804210560323E-2</v>
      </c>
      <c r="F16" s="207">
        <f>cost!$K$4</f>
        <v>4.1175804210560323E-2</v>
      </c>
      <c r="J16" s="101" t="str">
        <f t="shared" ca="1" si="5"/>
        <v>=cost!$K$4</v>
      </c>
    </row>
    <row r="17" spans="2:11" x14ac:dyDescent="0.25">
      <c r="B17" s="49" t="s">
        <v>35</v>
      </c>
      <c r="C17" s="126"/>
      <c r="D17" s="207">
        <f>cost!$L$4</f>
        <v>1.3952344317736463</v>
      </c>
      <c r="E17" s="207">
        <f>cost!$L$4</f>
        <v>1.3952344317736463</v>
      </c>
      <c r="F17" s="207">
        <f>cost!$L$4</f>
        <v>1.3952344317736463</v>
      </c>
      <c r="J17" s="101" t="str">
        <f t="shared" ca="1" si="5"/>
        <v>=cost!$L$4</v>
      </c>
    </row>
    <row r="18" spans="2:11" x14ac:dyDescent="0.25">
      <c r="B18" s="20" t="s">
        <v>6</v>
      </c>
      <c r="C18" s="126"/>
      <c r="D18" s="209">
        <f>D12*D4</f>
        <v>3744000</v>
      </c>
      <c r="E18" s="209">
        <f>E12*E4</f>
        <v>3513369.6</v>
      </c>
      <c r="F18" s="209">
        <f>F12*F4</f>
        <v>3265783.9718399998</v>
      </c>
      <c r="J18" s="101" t="str">
        <f t="shared" ca="1" si="5"/>
        <v>=D12*D4</v>
      </c>
    </row>
    <row r="19" spans="2:11" x14ac:dyDescent="0.25">
      <c r="B19" s="15" t="s">
        <v>7</v>
      </c>
      <c r="C19" s="126"/>
      <c r="D19" s="129">
        <f>(D7+D8)*D12</f>
        <v>1880424</v>
      </c>
      <c r="E19" s="129">
        <f t="shared" ref="E19:F19" si="7">(E7+E8)*E12</f>
        <v>1848738.5279999999</v>
      </c>
      <c r="F19" s="129">
        <f t="shared" si="7"/>
        <v>1800447.4365696001</v>
      </c>
      <c r="J19" s="101" t="str">
        <f t="shared" ca="1" si="5"/>
        <v>=(D7+D8)*D12</v>
      </c>
    </row>
    <row r="20" spans="2:11" x14ac:dyDescent="0.25">
      <c r="B20" s="15" t="s">
        <v>10</v>
      </c>
      <c r="C20" s="126"/>
      <c r="D20" s="129">
        <f>D15*52000</f>
        <v>826402.20140494662</v>
      </c>
      <c r="E20" s="129">
        <f t="shared" ref="E20:F20" si="8">E15*52000</f>
        <v>747525.39422470354</v>
      </c>
      <c r="F20" s="129">
        <f t="shared" si="8"/>
        <v>669358.02880104654</v>
      </c>
      <c r="J20" s="101" t="str">
        <f t="shared" ca="1" si="5"/>
        <v>=D15*52000</v>
      </c>
    </row>
    <row r="21" spans="2:11" x14ac:dyDescent="0.25">
      <c r="B21" s="15" t="s">
        <v>5</v>
      </c>
      <c r="C21" s="126"/>
      <c r="D21" s="129">
        <f>D9</f>
        <v>690580.8</v>
      </c>
      <c r="E21" s="129">
        <f t="shared" ref="E21:F21" si="9">E9</f>
        <v>704392.41600000008</v>
      </c>
      <c r="F21" s="129">
        <f t="shared" si="9"/>
        <v>718480.26432000007</v>
      </c>
      <c r="J21" s="101" t="str">
        <f t="shared" ca="1" si="5"/>
        <v>=D9</v>
      </c>
    </row>
    <row r="22" spans="2:11" x14ac:dyDescent="0.25">
      <c r="B22" s="11" t="s">
        <v>8</v>
      </c>
      <c r="C22" s="126"/>
      <c r="D22" s="129">
        <f>SUM(D19:D21)</f>
        <v>3397407.0014049467</v>
      </c>
      <c r="E22" s="129">
        <f t="shared" ref="E22:F22" si="10">SUM(E19:E21)</f>
        <v>3300656.3382247034</v>
      </c>
      <c r="F22" s="129">
        <f t="shared" si="10"/>
        <v>3188285.7296906468</v>
      </c>
      <c r="J22" s="101" t="str">
        <f t="shared" ca="1" si="5"/>
        <v>=SUM(D19:D21)</v>
      </c>
    </row>
    <row r="23" spans="2:11" x14ac:dyDescent="0.25">
      <c r="B23" s="11" t="s">
        <v>9</v>
      </c>
      <c r="C23" s="126"/>
      <c r="D23" s="210">
        <f>D18-D22</f>
        <v>346592.99859505333</v>
      </c>
      <c r="E23" s="210">
        <f>E18-E22</f>
        <v>212713.26177529665</v>
      </c>
      <c r="F23" s="210">
        <f>F18-F22</f>
        <v>77498.242149353027</v>
      </c>
      <c r="J23" s="101" t="str">
        <f t="shared" ca="1" si="5"/>
        <v>=D18-D22</v>
      </c>
    </row>
    <row r="24" spans="2:11" x14ac:dyDescent="0.25">
      <c r="C24" s="126"/>
      <c r="D24" s="126"/>
      <c r="E24" s="126"/>
      <c r="F24" s="126"/>
    </row>
    <row r="25" spans="2:11" x14ac:dyDescent="0.25">
      <c r="B25" s="1" t="s">
        <v>50</v>
      </c>
      <c r="C25" s="129">
        <v>-2500000</v>
      </c>
      <c r="D25" s="129">
        <f>D23</f>
        <v>346592.99859505333</v>
      </c>
      <c r="E25" s="129">
        <f t="shared" ref="E25:F25" si="11">E23</f>
        <v>212713.26177529665</v>
      </c>
      <c r="F25" s="129">
        <f t="shared" si="11"/>
        <v>77498.242149353027</v>
      </c>
      <c r="J25" s="52" t="str">
        <f ca="1">"D25: "&amp;_xlfn.FORMULATEXT(D25)</f>
        <v>D25: =D23</v>
      </c>
      <c r="K25" s="101" t="str">
        <f ca="1">"E25: "&amp;_xlfn.FORMULATEXT(E25)</f>
        <v>E25: =E23</v>
      </c>
    </row>
    <row r="26" spans="2:11" x14ac:dyDescent="0.25">
      <c r="B26" s="55" t="s">
        <v>49</v>
      </c>
      <c r="C26" s="212">
        <f>C25/(1+$H$26)^C2</f>
        <v>-2500000</v>
      </c>
      <c r="D26" s="212">
        <f t="shared" ref="D26:F26" si="12">D25/(1+$H$26)^D2</f>
        <v>315084.54417732119</v>
      </c>
      <c r="E26" s="212">
        <f t="shared" si="12"/>
        <v>175796.08411181538</v>
      </c>
      <c r="F26" s="212">
        <f t="shared" si="12"/>
        <v>58225.576370663417</v>
      </c>
      <c r="H26" s="205">
        <f>settings!S7</f>
        <v>0.1</v>
      </c>
      <c r="J26" s="101" t="str">
        <f ca="1">"D26: "&amp;_xlfn.FORMULATEXT(C26)</f>
        <v>D26: =C25/(1+$H$26)^C2</v>
      </c>
      <c r="K26" s="101" t="str">
        <f ca="1">"E26: "&amp;_xlfn.FORMULATEXT(E26)</f>
        <v>E26: =E25/(1+$H$26)^E2</v>
      </c>
    </row>
    <row r="27" spans="2:11" x14ac:dyDescent="0.25">
      <c r="B27" s="55" t="s">
        <v>44</v>
      </c>
      <c r="C27" s="213">
        <f>SUM(D26:F26) + C26</f>
        <v>-1950893.7953402</v>
      </c>
      <c r="D27" s="129"/>
      <c r="E27" s="129"/>
      <c r="F27" s="129"/>
      <c r="J27" s="101" t="str">
        <f ca="1">_xlfn.FORMULATEXT(C27)</f>
        <v>=SUM(D26:F26) + C26</v>
      </c>
    </row>
    <row r="29" spans="2:11" ht="66" x14ac:dyDescent="0.25">
      <c r="C29" s="232" cm="1">
        <f t="array" ref="C29">NPV_pie(npv!$C$25, npv!$H$26, D4, npv!$H$4, npv!$D$13, npv!$D$14, npv!$D$17, npv!$D$16, $C$8, npv!$H$8, npv!$C$7, npv!$H$7, npv!$C$9, npv!$H$9, npv!$F$2)</f>
        <v>-1950893.7953401997</v>
      </c>
      <c r="J29" s="214" t="str">
        <f ca="1">_xlfn.FORMULATEXT(C29)</f>
        <v>=NPV_pie(npv!$C$25, npv!$H$26, D4, npv!$H$4, npv!$D$13, npv!$D$14, npv!$D$17, npv!$D$16, $C$8, npv!$H$8, npv!$C$7, npv!$H$7, npv!$C$9, npv!$H$9, npv!$F$2)</v>
      </c>
    </row>
    <row r="30" spans="2:11" x14ac:dyDescent="0.25">
      <c r="D30" s="132"/>
    </row>
    <row r="32" spans="2:11" x14ac:dyDescent="0.25">
      <c r="C32" s="236"/>
    </row>
  </sheetData>
  <pageMargins left="0.75" right="0.75" top="1" bottom="1" header="0.5" footer="0.5"/>
  <pageSetup orientation="landscape" horizontalDpi="300" verticalDpi="300" r:id="rId1"/>
  <headerFooter alignWithMargins="0">
    <oddFooter>&amp;A&amp;RPage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B8EC9-E7C6-4E7B-94A2-C7E9452936F3}">
  <sheetPr codeName="Sheet14"/>
  <dimension ref="A1:K30"/>
  <sheetViews>
    <sheetView showGridLines="0" zoomScaleNormal="100" workbookViewId="0">
      <selection activeCell="F29" sqref="F29"/>
    </sheetView>
  </sheetViews>
  <sheetFormatPr defaultColWidth="9.109375" defaultRowHeight="13.2" x14ac:dyDescent="0.25"/>
  <cols>
    <col min="1" max="1" width="8" style="10" customWidth="1"/>
    <col min="2" max="2" width="21.5546875" style="10" customWidth="1"/>
    <col min="3" max="3" width="25.21875" style="10" customWidth="1"/>
    <col min="4" max="4" width="17.109375" style="10" customWidth="1"/>
    <col min="5" max="5" width="17" style="10" customWidth="1"/>
    <col min="6" max="6" width="18.5546875" style="10" customWidth="1"/>
    <col min="7" max="7" width="3.6640625" style="10" customWidth="1"/>
    <col min="8" max="8" width="11" style="14" customWidth="1"/>
    <col min="9" max="9" width="3.5546875" style="10" customWidth="1"/>
    <col min="10" max="10" width="34.5546875" style="10" customWidth="1"/>
    <col min="11" max="11" width="17.77734375" style="10" customWidth="1"/>
    <col min="12" max="15" width="9.109375" style="10"/>
    <col min="16" max="16" width="12.33203125" style="10" bestFit="1" customWidth="1"/>
    <col min="17" max="16384" width="9.109375" style="10"/>
  </cols>
  <sheetData>
    <row r="1" spans="1:11" ht="17.399999999999999" x14ac:dyDescent="0.3">
      <c r="A1" s="2" t="s">
        <v>102</v>
      </c>
      <c r="B1" s="9"/>
      <c r="C1" s="9"/>
    </row>
    <row r="2" spans="1:11" x14ac:dyDescent="0.25">
      <c r="A2" s="8"/>
      <c r="B2" s="53" t="s">
        <v>43</v>
      </c>
      <c r="C2" s="54">
        <v>0</v>
      </c>
      <c r="D2" s="54">
        <v>1</v>
      </c>
      <c r="E2" s="54">
        <v>2</v>
      </c>
      <c r="F2" s="54">
        <v>3</v>
      </c>
      <c r="H2" s="21" t="s">
        <v>47</v>
      </c>
      <c r="J2" s="8" t="s">
        <v>57</v>
      </c>
    </row>
    <row r="3" spans="1:11" x14ac:dyDescent="0.25">
      <c r="B3" s="11" t="s">
        <v>0</v>
      </c>
    </row>
    <row r="4" spans="1:11" x14ac:dyDescent="0.25">
      <c r="B4" s="8" t="s">
        <v>103</v>
      </c>
      <c r="D4" s="12">
        <f>sensitivity!L3</f>
        <v>8</v>
      </c>
      <c r="E4" s="13">
        <f>D4*(1+$H4)</f>
        <v>8.16</v>
      </c>
      <c r="F4" s="13">
        <f>E4*(1+$H4)</f>
        <v>8.3231999999999999</v>
      </c>
      <c r="H4" s="65">
        <f>settings!S3</f>
        <v>0.02</v>
      </c>
      <c r="J4" s="101" t="str">
        <f ca="1">_xlfn.FORMULATEXT(D4)</f>
        <v>=sensitivity!L3</v>
      </c>
      <c r="K4" s="101" t="str">
        <f ca="1">_xlfn.FORMULATEXT(H4)</f>
        <v>=settings!S3</v>
      </c>
    </row>
    <row r="5" spans="1:11" x14ac:dyDescent="0.25">
      <c r="D5" s="13"/>
      <c r="E5" s="13"/>
      <c r="F5" s="13"/>
    </row>
    <row r="6" spans="1:11" x14ac:dyDescent="0.25">
      <c r="B6" s="11" t="s">
        <v>2</v>
      </c>
      <c r="D6" s="14"/>
      <c r="E6" s="14"/>
      <c r="F6" s="14"/>
    </row>
    <row r="7" spans="1:11" x14ac:dyDescent="0.25">
      <c r="B7" s="15" t="s">
        <v>3</v>
      </c>
      <c r="C7" s="126">
        <f>settings!K3</f>
        <v>3.5</v>
      </c>
      <c r="D7" s="16">
        <f>C7*(1+$H7)</f>
        <v>3.7450000000000001</v>
      </c>
      <c r="E7" s="16">
        <f t="shared" ref="E7:F7" si="0">D7*(1+$H7)</f>
        <v>4.0071500000000002</v>
      </c>
      <c r="F7" s="16">
        <f t="shared" si="0"/>
        <v>4.2876505000000007</v>
      </c>
      <c r="H7" s="66">
        <f>settings!S4</f>
        <v>7.0000000000000007E-2</v>
      </c>
      <c r="J7" s="101" t="str">
        <f t="shared" ref="J7:J9" ca="1" si="1">_xlfn.FORMULATEXT(D7)</f>
        <v>=C7*(1+$H7)</v>
      </c>
      <c r="K7" s="101" t="str">
        <f t="shared" ref="K7:K9" ca="1" si="2">_xlfn.FORMULATEXT(H7)</f>
        <v>=settings!S4</v>
      </c>
    </row>
    <row r="8" spans="1:11" x14ac:dyDescent="0.25">
      <c r="B8" s="15" t="s">
        <v>4</v>
      </c>
      <c r="C8" s="126">
        <f>settings!K4</f>
        <v>0.26</v>
      </c>
      <c r="D8" s="16">
        <f>C8*(1+$H8)</f>
        <v>0.27300000000000002</v>
      </c>
      <c r="E8" s="16">
        <f>D8*(1+$H8)</f>
        <v>0.28665000000000002</v>
      </c>
      <c r="F8" s="16">
        <f>E8*(1+$H8)</f>
        <v>0.30098250000000004</v>
      </c>
      <c r="H8" s="65">
        <f>settings!S5</f>
        <v>0.05</v>
      </c>
      <c r="J8" s="101" t="str">
        <f t="shared" ca="1" si="1"/>
        <v>=C8*(1+$H8)</v>
      </c>
      <c r="K8" s="101" t="str">
        <f t="shared" ca="1" si="2"/>
        <v>=settings!S5</v>
      </c>
    </row>
    <row r="9" spans="1:11" x14ac:dyDescent="0.25">
      <c r="B9" s="15" t="s">
        <v>5</v>
      </c>
      <c r="C9" s="10">
        <f>settings!K5 * 52</f>
        <v>677040</v>
      </c>
      <c r="D9" s="16">
        <f>C9*(1+$H9)</f>
        <v>690580.8</v>
      </c>
      <c r="E9" s="16">
        <f>D9*(1+$H9)</f>
        <v>704392.41600000008</v>
      </c>
      <c r="F9" s="16">
        <f>E9*(1+$H9)</f>
        <v>718480.26432000007</v>
      </c>
      <c r="H9" s="65">
        <f>settings!S6</f>
        <v>0.02</v>
      </c>
      <c r="J9" s="101" t="str">
        <f t="shared" ca="1" si="1"/>
        <v>=C9*(1+$H9)</v>
      </c>
      <c r="K9" s="101" t="str">
        <f t="shared" ca="1" si="2"/>
        <v>=settings!S6</v>
      </c>
    </row>
    <row r="10" spans="1:11" x14ac:dyDescent="0.25">
      <c r="B10" s="15"/>
      <c r="D10" s="16"/>
      <c r="E10" s="16"/>
      <c r="F10" s="16"/>
    </row>
    <row r="11" spans="1:11" x14ac:dyDescent="0.25">
      <c r="B11" s="1" t="s">
        <v>45</v>
      </c>
    </row>
    <row r="12" spans="1:11" x14ac:dyDescent="0.25">
      <c r="B12" s="48" t="s">
        <v>56</v>
      </c>
      <c r="D12" s="17">
        <f>((D13+D14*D4)*52)</f>
        <v>468000</v>
      </c>
      <c r="E12" s="17">
        <f t="shared" ref="E12:F12" si="3">((E13+E14*E4)*52)</f>
        <v>430560</v>
      </c>
      <c r="F12" s="17">
        <f t="shared" si="3"/>
        <v>392371.19999999995</v>
      </c>
      <c r="J12" s="101" t="str">
        <f t="shared" ref="J12:J23" ca="1" si="4">_xlfn.FORMULATEXT(D12)</f>
        <v>=((D13+D14*D4)*52)</v>
      </c>
    </row>
    <row r="13" spans="1:11" x14ac:dyDescent="0.25">
      <c r="B13" s="49" t="s">
        <v>32</v>
      </c>
      <c r="D13" s="18">
        <f>a_0</f>
        <v>45000</v>
      </c>
      <c r="E13" s="18">
        <f>a_0</f>
        <v>45000</v>
      </c>
      <c r="F13" s="18">
        <f>a_0</f>
        <v>45000</v>
      </c>
      <c r="J13" s="101" t="str">
        <f t="shared" ca="1" si="4"/>
        <v>=a_0</v>
      </c>
    </row>
    <row r="14" spans="1:11" x14ac:dyDescent="0.25">
      <c r="B14" s="49" t="s">
        <v>33</v>
      </c>
      <c r="D14" s="18">
        <f>a_1</f>
        <v>-4500</v>
      </c>
      <c r="E14" s="18">
        <f>a_1</f>
        <v>-4500</v>
      </c>
      <c r="F14" s="18">
        <f>a_1</f>
        <v>-4500</v>
      </c>
      <c r="J14" s="101" t="str">
        <f t="shared" ca="1" si="4"/>
        <v>=a_1</v>
      </c>
    </row>
    <row r="15" spans="1:11" x14ac:dyDescent="0.25">
      <c r="B15" s="48" t="s">
        <v>46</v>
      </c>
      <c r="D15" s="125">
        <f>D16*(D12/52000)^2+D17*(D12/52000)</f>
        <v>15.892350027018203</v>
      </c>
      <c r="E15" s="125">
        <f t="shared" ref="E15:F15" si="5">E16*(E12/52000)^2+E17*(E12/52000)</f>
        <v>14.375488350475068</v>
      </c>
      <c r="F15" s="125">
        <f t="shared" si="5"/>
        <v>12.87226978463551</v>
      </c>
      <c r="J15" s="101" t="str">
        <f t="shared" ca="1" si="4"/>
        <v>=D16*(D12/52000)^2+D17*(D12/52000)</v>
      </c>
    </row>
    <row r="16" spans="1:11" x14ac:dyDescent="0.25">
      <c r="B16" s="49" t="s">
        <v>34</v>
      </c>
      <c r="D16" s="18">
        <f>cost!$K$4</f>
        <v>4.1175804210560323E-2</v>
      </c>
      <c r="E16" s="18">
        <f>cost!$K$4</f>
        <v>4.1175804210560323E-2</v>
      </c>
      <c r="F16" s="18">
        <f>cost!$K$4</f>
        <v>4.1175804210560323E-2</v>
      </c>
      <c r="J16" s="101" t="str">
        <f t="shared" ca="1" si="4"/>
        <v>=cost!$K$4</v>
      </c>
    </row>
    <row r="17" spans="2:11" x14ac:dyDescent="0.25">
      <c r="B17" s="49" t="s">
        <v>35</v>
      </c>
      <c r="D17" s="18">
        <f>cost!$L$4</f>
        <v>1.3952344317736463</v>
      </c>
      <c r="E17" s="18">
        <f>cost!$L$4</f>
        <v>1.3952344317736463</v>
      </c>
      <c r="F17" s="18">
        <f>cost!$L$4</f>
        <v>1.3952344317736463</v>
      </c>
      <c r="J17" s="101" t="str">
        <f t="shared" ca="1" si="4"/>
        <v>=cost!$L$4</v>
      </c>
    </row>
    <row r="18" spans="2:11" x14ac:dyDescent="0.25">
      <c r="B18" s="20" t="s">
        <v>6</v>
      </c>
      <c r="D18" s="62">
        <f>D12*D4</f>
        <v>3744000</v>
      </c>
      <c r="E18" s="62">
        <f>E12*E4</f>
        <v>3513369.6</v>
      </c>
      <c r="F18" s="62">
        <f>F12*F4</f>
        <v>3265783.9718399998</v>
      </c>
      <c r="J18" s="101" t="str">
        <f t="shared" ca="1" si="4"/>
        <v>=D12*D4</v>
      </c>
    </row>
    <row r="19" spans="2:11" x14ac:dyDescent="0.25">
      <c r="B19" s="15" t="s">
        <v>7</v>
      </c>
      <c r="D19" s="61">
        <f>(D7+D8)*D12</f>
        <v>1880424</v>
      </c>
      <c r="E19" s="61">
        <f t="shared" ref="E19:F19" si="6">(E7+E8)*E12</f>
        <v>1848738.5279999999</v>
      </c>
      <c r="F19" s="61">
        <f t="shared" si="6"/>
        <v>1800447.4365696001</v>
      </c>
      <c r="J19" s="101" t="str">
        <f t="shared" ca="1" si="4"/>
        <v>=(D7+D8)*D12</v>
      </c>
    </row>
    <row r="20" spans="2:11" x14ac:dyDescent="0.25">
      <c r="B20" s="15" t="s">
        <v>10</v>
      </c>
      <c r="D20" s="61">
        <f>D15*52000</f>
        <v>826402.20140494662</v>
      </c>
      <c r="E20" s="61">
        <f t="shared" ref="E20:F20" si="7">E15*52000</f>
        <v>747525.39422470354</v>
      </c>
      <c r="F20" s="61">
        <f t="shared" si="7"/>
        <v>669358.02880104654</v>
      </c>
      <c r="J20" s="101" t="str">
        <f t="shared" ca="1" si="4"/>
        <v>=D15*52000</v>
      </c>
    </row>
    <row r="21" spans="2:11" x14ac:dyDescent="0.25">
      <c r="B21" s="15" t="s">
        <v>5</v>
      </c>
      <c r="D21" s="61">
        <f>D9</f>
        <v>690580.8</v>
      </c>
      <c r="E21" s="61">
        <f t="shared" ref="E21:F21" si="8">E9</f>
        <v>704392.41600000008</v>
      </c>
      <c r="F21" s="61">
        <f t="shared" si="8"/>
        <v>718480.26432000007</v>
      </c>
      <c r="J21" s="101" t="str">
        <f t="shared" ca="1" si="4"/>
        <v>=D9</v>
      </c>
    </row>
    <row r="22" spans="2:11" x14ac:dyDescent="0.25">
      <c r="B22" s="11" t="s">
        <v>8</v>
      </c>
      <c r="D22" s="61">
        <f>SUM(D19:D21)</f>
        <v>3397407.0014049467</v>
      </c>
      <c r="E22" s="61">
        <f t="shared" ref="E22:F22" si="9">SUM(E19:E21)</f>
        <v>3300656.3382247034</v>
      </c>
      <c r="F22" s="61">
        <f t="shared" si="9"/>
        <v>3188285.7296906468</v>
      </c>
      <c r="J22" s="101" t="str">
        <f t="shared" ca="1" si="4"/>
        <v>=SUM(D19:D21)</v>
      </c>
    </row>
    <row r="23" spans="2:11" x14ac:dyDescent="0.25">
      <c r="B23" s="11" t="s">
        <v>9</v>
      </c>
      <c r="D23" s="63">
        <f>D18-D22</f>
        <v>346592.99859505333</v>
      </c>
      <c r="E23" s="63">
        <f>E18-E22</f>
        <v>212713.26177529665</v>
      </c>
      <c r="F23" s="63">
        <f>F18-F22</f>
        <v>77498.242149353027</v>
      </c>
      <c r="J23" s="101" t="str">
        <f t="shared" ca="1" si="4"/>
        <v>=D18-D22</v>
      </c>
    </row>
    <row r="25" spans="2:11" x14ac:dyDescent="0.25">
      <c r="B25" s="1" t="s">
        <v>50</v>
      </c>
      <c r="C25" s="61">
        <v>-2500000</v>
      </c>
      <c r="D25" s="61">
        <f>D23</f>
        <v>346592.99859505333</v>
      </c>
      <c r="E25" s="61">
        <f t="shared" ref="E25:F25" si="10">E23</f>
        <v>212713.26177529665</v>
      </c>
      <c r="F25" s="61">
        <f t="shared" si="10"/>
        <v>77498.242149353027</v>
      </c>
      <c r="J25" s="101" t="str">
        <f t="shared" ref="J25:K26" ca="1" si="11">_xlfn.FORMULATEXT(D25)</f>
        <v>=D23</v>
      </c>
      <c r="K25" s="101" t="str">
        <f t="shared" ca="1" si="11"/>
        <v>=E23</v>
      </c>
    </row>
    <row r="26" spans="2:11" x14ac:dyDescent="0.25">
      <c r="B26" s="55" t="s">
        <v>49</v>
      </c>
      <c r="C26" s="61">
        <f>C25/(1+$H$26)^C2</f>
        <v>-2500000</v>
      </c>
      <c r="D26" s="61">
        <f t="shared" ref="D26:F26" si="12">D25/(1+$H$26)^D2</f>
        <v>315084.54417732119</v>
      </c>
      <c r="E26" s="61">
        <f t="shared" si="12"/>
        <v>175796.08411181538</v>
      </c>
      <c r="F26" s="61">
        <f t="shared" si="12"/>
        <v>58225.576370663417</v>
      </c>
      <c r="H26" s="60">
        <f>settings!S7</f>
        <v>0.1</v>
      </c>
      <c r="J26" s="101" t="str">
        <f t="shared" ca="1" si="11"/>
        <v>=D25/(1+$H$26)^D2</v>
      </c>
      <c r="K26" s="101" t="str">
        <f t="shared" ca="1" si="11"/>
        <v>=E25/(1+$H$26)^E2</v>
      </c>
    </row>
    <row r="27" spans="2:11" x14ac:dyDescent="0.25">
      <c r="B27" s="55" t="s">
        <v>44</v>
      </c>
      <c r="C27" s="158">
        <f>SUM(D26:F26) + C26</f>
        <v>-1950893.7953402</v>
      </c>
      <c r="D27" s="61"/>
      <c r="E27" s="61"/>
      <c r="F27" s="61"/>
    </row>
    <row r="29" spans="2:11" x14ac:dyDescent="0.25">
      <c r="C29" s="126"/>
    </row>
    <row r="30" spans="2:11" x14ac:dyDescent="0.25">
      <c r="D30" s="132"/>
    </row>
  </sheetData>
  <pageMargins left="0.75" right="0.75" top="1" bottom="1" header="0.5" footer="0.5"/>
  <pageSetup orientation="landscape" horizontalDpi="300" verticalDpi="300" r:id="rId1"/>
  <headerFooter alignWithMargins="0">
    <oddFooter>&amp;A&amp;RPage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CD1BF-AEF4-44E1-90E0-E9D6875F819F}">
  <sheetPr codeName="Sheet16"/>
  <dimension ref="A1:K30"/>
  <sheetViews>
    <sheetView showGridLines="0" topLeftCell="G1" zoomScaleNormal="100" workbookViewId="0">
      <selection activeCell="M2" sqref="M2:Y20"/>
    </sheetView>
  </sheetViews>
  <sheetFormatPr defaultColWidth="9.109375" defaultRowHeight="13.2" x14ac:dyDescent="0.25"/>
  <cols>
    <col min="1" max="1" width="8" style="10" customWidth="1"/>
    <col min="2" max="2" width="21.5546875" style="10" customWidth="1"/>
    <col min="3" max="3" width="25.21875" style="10" customWidth="1"/>
    <col min="4" max="4" width="17.109375" style="10" customWidth="1"/>
    <col min="5" max="5" width="17" style="10" customWidth="1"/>
    <col min="6" max="6" width="18.5546875" style="10" customWidth="1"/>
    <col min="7" max="7" width="3.6640625" style="10" customWidth="1"/>
    <col min="8" max="8" width="11" style="14" customWidth="1"/>
    <col min="9" max="9" width="3.5546875" style="10" customWidth="1"/>
    <col min="10" max="10" width="34.5546875" style="10" customWidth="1"/>
    <col min="11" max="11" width="17.77734375" style="10" customWidth="1"/>
    <col min="12" max="12" width="9.109375" style="10"/>
    <col min="13" max="13" width="11.5546875" style="10" customWidth="1"/>
    <col min="14" max="15" width="9.109375" style="10"/>
    <col min="16" max="16" width="12.33203125" style="10" bestFit="1" customWidth="1"/>
    <col min="17" max="16384" width="9.109375" style="10"/>
  </cols>
  <sheetData>
    <row r="1" spans="1:11" ht="17.399999999999999" x14ac:dyDescent="0.3">
      <c r="A1" s="2" t="s">
        <v>102</v>
      </c>
      <c r="B1" s="9"/>
      <c r="C1" s="9"/>
    </row>
    <row r="2" spans="1:11" x14ac:dyDescent="0.25">
      <c r="A2" s="8"/>
      <c r="B2" s="53" t="s">
        <v>43</v>
      </c>
      <c r="C2" s="54">
        <v>0</v>
      </c>
      <c r="D2" s="54">
        <v>1</v>
      </c>
      <c r="E2" s="54">
        <v>2</v>
      </c>
      <c r="F2" s="54">
        <v>3</v>
      </c>
      <c r="H2" s="21" t="s">
        <v>47</v>
      </c>
      <c r="J2" s="8" t="s">
        <v>57</v>
      </c>
    </row>
    <row r="3" spans="1:11" x14ac:dyDescent="0.25">
      <c r="B3" s="11" t="s">
        <v>0</v>
      </c>
    </row>
    <row r="4" spans="1:11" x14ac:dyDescent="0.25">
      <c r="B4" s="8" t="s">
        <v>103</v>
      </c>
      <c r="C4" s="8" t="s">
        <v>173</v>
      </c>
      <c r="D4" s="12">
        <f>sensitivity!U25</f>
        <v>9</v>
      </c>
      <c r="E4" s="13">
        <f>D4*(1+$H4)</f>
        <v>9.18</v>
      </c>
      <c r="F4" s="13">
        <f>E4*(1+$H4)</f>
        <v>9.3635999999999999</v>
      </c>
      <c r="H4" s="65">
        <f>settings!S3</f>
        <v>0.02</v>
      </c>
      <c r="J4" s="101" t="str">
        <f ca="1">_xlfn.FORMULATEXT(D4)</f>
        <v>=sensitivity!U25</v>
      </c>
      <c r="K4" s="101" t="str">
        <f ca="1">_xlfn.FORMULATEXT(H4)</f>
        <v>=settings!S3</v>
      </c>
    </row>
    <row r="5" spans="1:11" x14ac:dyDescent="0.25">
      <c r="D5" s="13"/>
      <c r="E5" s="13"/>
      <c r="F5" s="13"/>
    </row>
    <row r="6" spans="1:11" x14ac:dyDescent="0.25">
      <c r="B6" s="11" t="s">
        <v>2</v>
      </c>
      <c r="C6" s="8" t="s">
        <v>173</v>
      </c>
      <c r="D6" s="14"/>
      <c r="E6" s="14"/>
      <c r="F6" s="14"/>
    </row>
    <row r="7" spans="1:11" x14ac:dyDescent="0.25">
      <c r="B7" s="15" t="s">
        <v>3</v>
      </c>
      <c r="C7" s="241">
        <f>sensitivity!V25</f>
        <v>3.5</v>
      </c>
      <c r="D7" s="16">
        <f>C7*(1+$H7)</f>
        <v>3.7450000000000001</v>
      </c>
      <c r="E7" s="16">
        <f t="shared" ref="E7:F7" si="0">D7*(1+$H7)</f>
        <v>4.0071500000000002</v>
      </c>
      <c r="F7" s="16">
        <f t="shared" si="0"/>
        <v>4.2876505000000007</v>
      </c>
      <c r="H7" s="66">
        <f>settings!S4</f>
        <v>7.0000000000000007E-2</v>
      </c>
      <c r="J7" s="101" t="str">
        <f t="shared" ref="J7:J9" ca="1" si="1">_xlfn.FORMULATEXT(D7)</f>
        <v>=C7*(1+$H7)</v>
      </c>
      <c r="K7" s="101" t="str">
        <f t="shared" ref="K7:K9" ca="1" si="2">_xlfn.FORMULATEXT(H7)</f>
        <v>=settings!S4</v>
      </c>
    </row>
    <row r="8" spans="1:11" x14ac:dyDescent="0.25">
      <c r="B8" s="15" t="s">
        <v>4</v>
      </c>
      <c r="C8" s="126">
        <f>settings!K4</f>
        <v>0.26</v>
      </c>
      <c r="D8" s="16">
        <f>C8*(1+$H8)</f>
        <v>0.27300000000000002</v>
      </c>
      <c r="E8" s="16">
        <f>D8*(1+$H8)</f>
        <v>0.28665000000000002</v>
      </c>
      <c r="F8" s="16">
        <f>E8*(1+$H8)</f>
        <v>0.30098250000000004</v>
      </c>
      <c r="H8" s="65">
        <f>settings!S5</f>
        <v>0.05</v>
      </c>
      <c r="J8" s="101" t="str">
        <f t="shared" ca="1" si="1"/>
        <v>=C8*(1+$H8)</v>
      </c>
      <c r="K8" s="101" t="str">
        <f t="shared" ca="1" si="2"/>
        <v>=settings!S5</v>
      </c>
    </row>
    <row r="9" spans="1:11" x14ac:dyDescent="0.25">
      <c r="B9" s="15" t="s">
        <v>5</v>
      </c>
      <c r="C9" s="10">
        <f>settings!K5 * 52</f>
        <v>677040</v>
      </c>
      <c r="D9" s="16">
        <f>C9*(1+$H9)</f>
        <v>690580.8</v>
      </c>
      <c r="E9" s="16">
        <f>D9*(1+$H9)</f>
        <v>704392.41600000008</v>
      </c>
      <c r="F9" s="16">
        <f>E9*(1+$H9)</f>
        <v>718480.26432000007</v>
      </c>
      <c r="H9" s="65">
        <f>settings!S6</f>
        <v>0.02</v>
      </c>
      <c r="J9" s="101" t="str">
        <f t="shared" ca="1" si="1"/>
        <v>=C9*(1+$H9)</v>
      </c>
      <c r="K9" s="101" t="str">
        <f t="shared" ca="1" si="2"/>
        <v>=settings!S6</v>
      </c>
    </row>
    <row r="10" spans="1:11" x14ac:dyDescent="0.25">
      <c r="B10" s="15"/>
      <c r="D10" s="16"/>
      <c r="E10" s="16"/>
      <c r="F10" s="16"/>
    </row>
    <row r="11" spans="1:11" x14ac:dyDescent="0.25">
      <c r="B11" s="1" t="s">
        <v>45</v>
      </c>
    </row>
    <row r="12" spans="1:11" x14ac:dyDescent="0.25">
      <c r="B12" s="48" t="s">
        <v>56</v>
      </c>
      <c r="D12" s="17">
        <f>((D13+D14*D4)*52)</f>
        <v>234000</v>
      </c>
      <c r="E12" s="17">
        <f t="shared" ref="E12:F12" si="3">((E13+E14*E4)*52)</f>
        <v>191880</v>
      </c>
      <c r="F12" s="17">
        <f t="shared" si="3"/>
        <v>148917.60000000015</v>
      </c>
      <c r="J12" s="101" t="str">
        <f t="shared" ref="J12:J23" ca="1" si="4">_xlfn.FORMULATEXT(D12)</f>
        <v>=((D13+D14*D4)*52)</v>
      </c>
    </row>
    <row r="13" spans="1:11" x14ac:dyDescent="0.25">
      <c r="B13" s="49" t="s">
        <v>32</v>
      </c>
      <c r="D13" s="18">
        <f>a_0</f>
        <v>45000</v>
      </c>
      <c r="E13" s="18">
        <f>a_0</f>
        <v>45000</v>
      </c>
      <c r="F13" s="18">
        <f>a_0</f>
        <v>45000</v>
      </c>
      <c r="J13" s="101" t="str">
        <f t="shared" ca="1" si="4"/>
        <v>=a_0</v>
      </c>
    </row>
    <row r="14" spans="1:11" x14ac:dyDescent="0.25">
      <c r="B14" s="49" t="s">
        <v>33</v>
      </c>
      <c r="D14" s="18">
        <f>a_1</f>
        <v>-4500</v>
      </c>
      <c r="E14" s="18">
        <f>a_1</f>
        <v>-4500</v>
      </c>
      <c r="F14" s="18">
        <f>a_1</f>
        <v>-4500</v>
      </c>
      <c r="J14" s="101" t="str">
        <f t="shared" ca="1" si="4"/>
        <v>=a_1</v>
      </c>
    </row>
    <row r="15" spans="1:11" x14ac:dyDescent="0.25">
      <c r="B15" s="48" t="s">
        <v>46</v>
      </c>
      <c r="D15" s="125">
        <f>D16*(D12/52000)^2+D17*(D12/52000)</f>
        <v>7.1123649782452549</v>
      </c>
      <c r="E15" s="125">
        <f t="shared" ref="E15:F15" si="5">E16*(E12/52000)^2+E17*(E12/52000)</f>
        <v>5.7090689209561649</v>
      </c>
      <c r="F15" s="125">
        <f t="shared" si="5"/>
        <v>4.3333695656930056</v>
      </c>
      <c r="J15" s="101" t="str">
        <f t="shared" ca="1" si="4"/>
        <v>=D16*(D12/52000)^2+D17*(D12/52000)</v>
      </c>
    </row>
    <row r="16" spans="1:11" x14ac:dyDescent="0.25">
      <c r="B16" s="49" t="s">
        <v>34</v>
      </c>
      <c r="D16" s="18">
        <f>cost!$K$4</f>
        <v>4.1175804210560323E-2</v>
      </c>
      <c r="E16" s="18">
        <f>cost!$K$4</f>
        <v>4.1175804210560323E-2</v>
      </c>
      <c r="F16" s="18">
        <f>cost!$K$4</f>
        <v>4.1175804210560323E-2</v>
      </c>
      <c r="J16" s="101" t="str">
        <f t="shared" ca="1" si="4"/>
        <v>=cost!$K$4</v>
      </c>
    </row>
    <row r="17" spans="2:11" x14ac:dyDescent="0.25">
      <c r="B17" s="49" t="s">
        <v>35</v>
      </c>
      <c r="D17" s="18">
        <f>cost!$L$4</f>
        <v>1.3952344317736463</v>
      </c>
      <c r="E17" s="18">
        <f>cost!$L$4</f>
        <v>1.3952344317736463</v>
      </c>
      <c r="F17" s="18">
        <f>cost!$L$4</f>
        <v>1.3952344317736463</v>
      </c>
      <c r="J17" s="101" t="str">
        <f t="shared" ca="1" si="4"/>
        <v>=cost!$L$4</v>
      </c>
    </row>
    <row r="18" spans="2:11" x14ac:dyDescent="0.25">
      <c r="B18" s="20" t="s">
        <v>6</v>
      </c>
      <c r="D18" s="62">
        <f>D12*D4</f>
        <v>2106000</v>
      </c>
      <c r="E18" s="62">
        <f>E12*E4</f>
        <v>1761458.4</v>
      </c>
      <c r="F18" s="62">
        <f>F12*F4</f>
        <v>1394404.8393600015</v>
      </c>
      <c r="J18" s="101" t="str">
        <f t="shared" ca="1" si="4"/>
        <v>=D12*D4</v>
      </c>
    </row>
    <row r="19" spans="2:11" x14ac:dyDescent="0.25">
      <c r="B19" s="15" t="s">
        <v>7</v>
      </c>
      <c r="D19" s="61">
        <f>(D7+D8)*D12</f>
        <v>940212</v>
      </c>
      <c r="E19" s="61">
        <f t="shared" ref="E19:F19" si="6">(E7+E8)*E12</f>
        <v>823894.34400000004</v>
      </c>
      <c r="F19" s="61">
        <f t="shared" si="6"/>
        <v>683328.21364080079</v>
      </c>
      <c r="J19" s="101" t="str">
        <f t="shared" ca="1" si="4"/>
        <v>=(D7+D8)*D12</v>
      </c>
    </row>
    <row r="20" spans="2:11" x14ac:dyDescent="0.25">
      <c r="B20" s="15" t="s">
        <v>10</v>
      </c>
      <c r="D20" s="61">
        <f>D15*52000</f>
        <v>369842.97886875324</v>
      </c>
      <c r="E20" s="61">
        <f t="shared" ref="E20:F20" si="7">E15*52000</f>
        <v>296871.58388972055</v>
      </c>
      <c r="F20" s="61">
        <f t="shared" si="7"/>
        <v>225335.21741603629</v>
      </c>
      <c r="J20" s="101" t="str">
        <f t="shared" ca="1" si="4"/>
        <v>=D15*52000</v>
      </c>
    </row>
    <row r="21" spans="2:11" x14ac:dyDescent="0.25">
      <c r="B21" s="15" t="s">
        <v>5</v>
      </c>
      <c r="D21" s="61">
        <f>D9</f>
        <v>690580.8</v>
      </c>
      <c r="E21" s="61">
        <f t="shared" ref="E21:F21" si="8">E9</f>
        <v>704392.41600000008</v>
      </c>
      <c r="F21" s="61">
        <f t="shared" si="8"/>
        <v>718480.26432000007</v>
      </c>
      <c r="J21" s="101" t="str">
        <f t="shared" ca="1" si="4"/>
        <v>=D9</v>
      </c>
    </row>
    <row r="22" spans="2:11" x14ac:dyDescent="0.25">
      <c r="B22" s="11" t="s">
        <v>8</v>
      </c>
      <c r="D22" s="61">
        <f>SUM(D19:D21)</f>
        <v>2000635.7788687532</v>
      </c>
      <c r="E22" s="61">
        <f t="shared" ref="E22:F22" si="9">SUM(E19:E21)</f>
        <v>1825158.3438897207</v>
      </c>
      <c r="F22" s="61">
        <f t="shared" si="9"/>
        <v>1627143.6953768372</v>
      </c>
      <c r="J22" s="101" t="str">
        <f t="shared" ca="1" si="4"/>
        <v>=SUM(D19:D21)</v>
      </c>
    </row>
    <row r="23" spans="2:11" x14ac:dyDescent="0.25">
      <c r="B23" s="11" t="s">
        <v>9</v>
      </c>
      <c r="D23" s="63">
        <f>D18-D22</f>
        <v>105364.22113124677</v>
      </c>
      <c r="E23" s="63">
        <f>E18-E22</f>
        <v>-63699.943889720831</v>
      </c>
      <c r="F23" s="63">
        <f>F18-F22</f>
        <v>-232738.85601683566</v>
      </c>
      <c r="J23" s="101" t="str">
        <f t="shared" ca="1" si="4"/>
        <v>=D18-D22</v>
      </c>
    </row>
    <row r="25" spans="2:11" x14ac:dyDescent="0.25">
      <c r="B25" s="1" t="s">
        <v>50</v>
      </c>
      <c r="C25" s="61">
        <v>-2500000</v>
      </c>
      <c r="D25" s="61">
        <f>D23</f>
        <v>105364.22113124677</v>
      </c>
      <c r="E25" s="61">
        <f t="shared" ref="E25:F25" si="10">E23</f>
        <v>-63699.943889720831</v>
      </c>
      <c r="F25" s="61">
        <f t="shared" si="10"/>
        <v>-232738.85601683566</v>
      </c>
      <c r="J25" s="101" t="str">
        <f t="shared" ref="J25:K26" ca="1" si="11">_xlfn.FORMULATEXT(D25)</f>
        <v>=D23</v>
      </c>
      <c r="K25" s="101" t="str">
        <f t="shared" ca="1" si="11"/>
        <v>=E23</v>
      </c>
    </row>
    <row r="26" spans="2:11" x14ac:dyDescent="0.25">
      <c r="B26" s="55" t="s">
        <v>49</v>
      </c>
      <c r="C26" s="61">
        <f>C25/(1+$H$26)^C2</f>
        <v>-2500000</v>
      </c>
      <c r="D26" s="61">
        <f t="shared" ref="D26:F26" si="12">D25/(1+$H$26)^D2</f>
        <v>95785.655573860698</v>
      </c>
      <c r="E26" s="61">
        <f t="shared" si="12"/>
        <v>-52644.581727042001</v>
      </c>
      <c r="F26" s="61">
        <f t="shared" si="12"/>
        <v>-174860.14727034981</v>
      </c>
      <c r="H26" s="60">
        <f>settings!S7</f>
        <v>0.1</v>
      </c>
      <c r="J26" s="101" t="str">
        <f t="shared" ca="1" si="11"/>
        <v>=D25/(1+$H$26)^D2</v>
      </c>
      <c r="K26" s="101" t="str">
        <f t="shared" ca="1" si="11"/>
        <v>=E25/(1+$H$26)^E2</v>
      </c>
    </row>
    <row r="27" spans="2:11" x14ac:dyDescent="0.25">
      <c r="B27" s="55" t="s">
        <v>44</v>
      </c>
      <c r="C27" s="158">
        <f>SUM(D26:F26) + C26</f>
        <v>-2631719.0734235309</v>
      </c>
      <c r="D27" s="61"/>
      <c r="E27" s="61"/>
      <c r="F27" s="61"/>
    </row>
    <row r="29" spans="2:11" x14ac:dyDescent="0.25">
      <c r="C29" s="126"/>
    </row>
    <row r="30" spans="2:11" x14ac:dyDescent="0.25">
      <c r="D30" s="132"/>
    </row>
  </sheetData>
  <pageMargins left="0.75" right="0.75" top="1" bottom="1" header="0.5" footer="0.5"/>
  <pageSetup orientation="landscape" horizontalDpi="300" verticalDpi="300" r:id="rId1"/>
  <headerFooter alignWithMargins="0">
    <oddFooter>&amp;A&amp;RPage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AM61"/>
  <sheetViews>
    <sheetView topLeftCell="R4" workbookViewId="0">
      <selection activeCell="U8" sqref="U8:AC16"/>
    </sheetView>
  </sheetViews>
  <sheetFormatPr defaultRowHeight="13.2" x14ac:dyDescent="0.25"/>
  <cols>
    <col min="2" max="2" width="12.44140625" customWidth="1"/>
    <col min="3" max="3" width="15.109375" customWidth="1"/>
    <col min="4" max="4" width="13.109375" customWidth="1"/>
    <col min="5" max="5" width="12.6640625" customWidth="1"/>
    <col min="6" max="6" width="13.6640625" customWidth="1"/>
    <col min="7" max="7" width="12.6640625" customWidth="1"/>
    <col min="8" max="8" width="40.33203125" customWidth="1"/>
    <col min="9" max="9" width="12.6640625" customWidth="1"/>
    <col min="10" max="10" width="5.33203125" customWidth="1"/>
    <col min="11" max="11" width="12.6640625" customWidth="1"/>
    <col min="12" max="12" width="15" customWidth="1"/>
    <col min="13" max="14" width="12.6640625" customWidth="1"/>
    <col min="15" max="15" width="12.44140625" customWidth="1"/>
    <col min="17" max="17" width="37.33203125" customWidth="1"/>
    <col min="19" max="19" width="3.77734375" customWidth="1"/>
    <col min="20" max="20" width="14.77734375" bestFit="1" customWidth="1"/>
    <col min="21" max="21" width="9.44140625" customWidth="1"/>
    <col min="22" max="22" width="11.77734375" customWidth="1"/>
    <col min="34" max="34" width="46.33203125" customWidth="1"/>
    <col min="36" max="36" width="14.88671875" bestFit="1" customWidth="1"/>
    <col min="37" max="45" width="11.21875" bestFit="1" customWidth="1"/>
  </cols>
  <sheetData>
    <row r="1" spans="1:34" ht="17.399999999999999" x14ac:dyDescent="0.3">
      <c r="A1" s="72"/>
      <c r="C1" s="73"/>
    </row>
    <row r="2" spans="1:34" x14ac:dyDescent="0.25">
      <c r="B2" s="74"/>
      <c r="C2" s="6"/>
    </row>
    <row r="3" spans="1:34" ht="39.6" x14ac:dyDescent="0.25">
      <c r="B3" s="159" t="str">
        <f>"table reference: "&amp;profit!B3</f>
        <v>table reference: Pie Price</v>
      </c>
      <c r="C3" s="224">
        <f>F10</f>
        <v>7.625</v>
      </c>
      <c r="K3" s="159" t="str">
        <f>"table reference: "&amp;npv!B4</f>
        <v>table reference:  Pie Price</v>
      </c>
      <c r="L3" s="160">
        <f>O10</f>
        <v>8</v>
      </c>
    </row>
    <row r="4" spans="1:34" ht="13.8" thickBot="1" x14ac:dyDescent="0.3">
      <c r="B4" s="90" t="s">
        <v>61</v>
      </c>
      <c r="C4" s="90" t="s">
        <v>162</v>
      </c>
      <c r="E4" s="56" t="s">
        <v>69</v>
      </c>
      <c r="F4" s="89">
        <v>12</v>
      </c>
      <c r="G4" s="6"/>
      <c r="H4" s="6"/>
      <c r="K4" s="161" t="s">
        <v>61</v>
      </c>
      <c r="L4" s="161" t="s">
        <v>141</v>
      </c>
      <c r="N4" s="56" t="s">
        <v>69</v>
      </c>
      <c r="O4" s="89">
        <v>8.5</v>
      </c>
      <c r="S4" s="8" t="s">
        <v>139</v>
      </c>
      <c r="AE4" s="8" t="s">
        <v>137</v>
      </c>
    </row>
    <row r="5" spans="1:34" x14ac:dyDescent="0.25">
      <c r="B5" s="91"/>
      <c r="C5" s="131">
        <f>profit!C22</f>
        <v>8672.4097802590259</v>
      </c>
      <c r="E5" s="56" t="s">
        <v>70</v>
      </c>
      <c r="F5" s="89">
        <v>5</v>
      </c>
      <c r="G5" s="6"/>
      <c r="H5" s="6"/>
      <c r="I5" s="6"/>
      <c r="K5" s="162"/>
      <c r="L5" s="201">
        <f>'npv-sensitivity'!C27</f>
        <v>-1950893.7953402</v>
      </c>
      <c r="N5" s="56" t="s">
        <v>70</v>
      </c>
      <c r="O5" s="89">
        <v>7.5</v>
      </c>
      <c r="AE5" s="56" t="s">
        <v>69</v>
      </c>
      <c r="AF5" s="89">
        <v>8.5</v>
      </c>
    </row>
    <row r="6" spans="1:34" x14ac:dyDescent="0.25">
      <c r="B6" s="92">
        <f>F5</f>
        <v>5</v>
      </c>
      <c r="C6" s="93">
        <f t="dataTable" ref="C6:C14" dt2D="0" dtr="0" r1="C3"/>
        <v>-37358.025596503197</v>
      </c>
      <c r="E6" s="56" t="s">
        <v>71</v>
      </c>
      <c r="F6" s="89">
        <v>9</v>
      </c>
      <c r="G6" s="6"/>
      <c r="H6" s="6"/>
      <c r="I6" s="6"/>
      <c r="K6" s="163">
        <f>O5</f>
        <v>7.5</v>
      </c>
      <c r="L6" s="202">
        <f t="dataTable" ref="L6:L14" dt2D="0" dtr="0" r1="L3"/>
        <v>-2147621.130348234</v>
      </c>
      <c r="N6" s="56" t="s">
        <v>71</v>
      </c>
      <c r="O6" s="89">
        <v>9</v>
      </c>
      <c r="U6" s="67" t="str">
        <f>AE14</f>
        <v>filling cost grid</v>
      </c>
      <c r="V6" s="67"/>
      <c r="W6" s="67"/>
      <c r="X6" s="67"/>
      <c r="Y6" s="67"/>
      <c r="Z6" s="67"/>
      <c r="AA6" s="67"/>
      <c r="AB6" s="67"/>
      <c r="AC6" s="67"/>
      <c r="AE6" s="56" t="s">
        <v>70</v>
      </c>
      <c r="AF6" s="89">
        <v>7.5</v>
      </c>
    </row>
    <row r="7" spans="1:34" x14ac:dyDescent="0.25">
      <c r="B7" s="92">
        <f>B6+$F$7</f>
        <v>5.875</v>
      </c>
      <c r="C7" s="93">
        <v>-13847.150521084695</v>
      </c>
      <c r="E7" s="56" t="s">
        <v>72</v>
      </c>
      <c r="F7" s="89">
        <f>( F4 - F5 ) / (F6-1)</f>
        <v>0.875</v>
      </c>
      <c r="G7" s="6"/>
      <c r="H7" s="79" t="str">
        <f ca="1">_xlfn.FORMULATEXT(F7)</f>
        <v>=( F4 - F5 ) / (F6-1)</v>
      </c>
      <c r="I7" s="6"/>
      <c r="K7" s="92">
        <f>K6 +$O$7</f>
        <v>7.625</v>
      </c>
      <c r="L7" s="203">
        <v>-2064868.0482181201</v>
      </c>
      <c r="N7" s="56" t="s">
        <v>72</v>
      </c>
      <c r="O7" s="89">
        <f>( O4 - O5 ) / (O6-1)</f>
        <v>0.125</v>
      </c>
      <c r="Q7" s="79" t="str">
        <f ca="1">_xlfn.FORMULATEXT(O7)</f>
        <v>=( O4 - O5 ) / (O6-1)</v>
      </c>
      <c r="U7" s="79">
        <f>AF16</f>
        <v>3.5</v>
      </c>
      <c r="V7" s="79">
        <f>U7+$AF$18</f>
        <v>3.625</v>
      </c>
      <c r="W7" s="79">
        <f>V7+$AF$18</f>
        <v>3.75</v>
      </c>
      <c r="X7" s="79">
        <f>W7+$AF$18</f>
        <v>3.875</v>
      </c>
      <c r="Y7" s="79">
        <f>X7+$AF$18</f>
        <v>4</v>
      </c>
      <c r="Z7" s="79">
        <f>Y7+$AF$18</f>
        <v>4.125</v>
      </c>
      <c r="AA7" s="79">
        <f>Z7+$AF$18</f>
        <v>4.25</v>
      </c>
      <c r="AB7" s="79">
        <f>AA7+$AF$18</f>
        <v>4.375</v>
      </c>
      <c r="AC7" s="79">
        <f>AB7+$AF$18</f>
        <v>4.5</v>
      </c>
      <c r="AE7" s="56" t="s">
        <v>71</v>
      </c>
      <c r="AF7" s="89">
        <v>9</v>
      </c>
    </row>
    <row r="8" spans="1:34" x14ac:dyDescent="0.25">
      <c r="B8" s="92">
        <f>B7+$F$7</f>
        <v>6.75</v>
      </c>
      <c r="C8" s="93">
        <v>1496.3279378360457</v>
      </c>
      <c r="E8" s="6"/>
      <c r="F8" s="6"/>
      <c r="G8" s="6"/>
      <c r="H8" s="6"/>
      <c r="I8" s="6"/>
      <c r="K8" s="92">
        <f>K7 +$O$7</f>
        <v>7.75</v>
      </c>
      <c r="L8" s="203">
        <v>-2004495.7983400754</v>
      </c>
      <c r="N8" s="6"/>
      <c r="O8" s="6"/>
      <c r="Q8" s="6"/>
      <c r="S8" s="177" t="str">
        <f>AE4</f>
        <v>price grid</v>
      </c>
      <c r="T8" s="79">
        <f>AF6</f>
        <v>7.5</v>
      </c>
      <c r="U8" s="178" cm="1">
        <f t="array" ref="U8">NPV_pie(npv!$C$25, npv!$H$26, $T8, npv!$H$4, npv!$D$13, npv!$D$14, npv!$D$17, npv!$D$16, npv!$C$8, npv!$H$8,  U$7, npv!$H$7, npv!$C$9, npv!$H$9, npv!$F$2) / 1000</f>
        <v>-2147.6211303482341</v>
      </c>
      <c r="V8" s="179" cm="1">
        <f t="array" ref="V8">NPV_pie(npv!$C$25, npv!$H$26, $T8, npv!$H$4, npv!$D$13, npv!$D$14, npv!$D$17, npv!$D$16, npv!$C$8, npv!$H$8,  V$7, npv!$H$7, npv!$C$9, npv!$H$9, npv!$F$2) / 1000</f>
        <v>-2342.9376421076254</v>
      </c>
      <c r="W8" s="179" cm="1">
        <f t="array" ref="W8">NPV_pie(npv!$C$25, npv!$H$26, $T8, npv!$H$4, npv!$D$13, npv!$D$14, npv!$D$17, npv!$D$16, npv!$C$8, npv!$H$8,  W$7, npv!$H$7, npv!$C$9, npv!$H$9, npv!$F$2) / 1000</f>
        <v>-2538.2541538670171</v>
      </c>
      <c r="X8" s="179" cm="1">
        <f t="array" ref="X8">NPV_pie(npv!$C$25, npv!$H$26, $T8, npv!$H$4, npv!$D$13, npv!$D$14, npv!$D$17, npv!$D$16, npv!$C$8, npv!$H$8,  X$7, npv!$H$7, npv!$C$9, npv!$H$9, npv!$F$2) / 1000</f>
        <v>-2733.5706656264078</v>
      </c>
      <c r="Y8" s="179" cm="1">
        <f t="array" ref="Y8">NPV_pie(npv!$C$25, npv!$H$26, $T8, npv!$H$4, npv!$D$13, npv!$D$14, npv!$D$17, npv!$D$16, npv!$C$8, npv!$H$8,  Y$7, npv!$H$7, npv!$C$9, npv!$H$9, npv!$F$2) / 1000</f>
        <v>-2928.8871773857995</v>
      </c>
      <c r="Z8" s="179" cm="1">
        <f t="array" ref="Z8">NPV_pie(npv!$C$25, npv!$H$26, $T8, npv!$H$4, npv!$D$13, npv!$D$14, npv!$D$17, npv!$D$16, npv!$C$8, npv!$H$8,  Z$7, npv!$H$7, npv!$C$9, npv!$H$9, npv!$F$2) / 1000</f>
        <v>-3124.2036891451917</v>
      </c>
      <c r="AA8" s="179" cm="1">
        <f t="array" ref="AA8">NPV_pie(npv!$C$25, npv!$H$26, $T8, npv!$H$4, npv!$D$13, npv!$D$14, npv!$D$17, npv!$D$16, npv!$C$8, npv!$H$8,  AA$7, npv!$H$7, npv!$C$9, npv!$H$9, npv!$F$2) / 1000</f>
        <v>-3319.5202009045825</v>
      </c>
      <c r="AB8" s="179" cm="1">
        <f t="array" ref="AB8">NPV_pie(npv!$C$25, npv!$H$26, $T8, npv!$H$4, npv!$D$13, npv!$D$14, npv!$D$17, npv!$D$16, npv!$C$8, npv!$H$8,  AB$7, npv!$H$7, npv!$C$9, npv!$H$9, npv!$F$2) / 1000</f>
        <v>-3514.8367126639737</v>
      </c>
      <c r="AC8" s="180" cm="1">
        <f t="array" ref="AC8">NPV_pie(npv!$C$25, npv!$H$26, $T8, npv!$H$4, npv!$D$13, npv!$D$14, npv!$D$17, npv!$D$16, npv!$C$8, npv!$H$8,  AC$7, npv!$H$7, npv!$C$9, npv!$H$9, npv!$F$2) / 1000</f>
        <v>-3710.1532244233649</v>
      </c>
      <c r="AE8" s="56" t="s">
        <v>72</v>
      </c>
      <c r="AF8" s="89">
        <f>( AF5 - AF6 ) / (AF7-1)</f>
        <v>0.125</v>
      </c>
      <c r="AH8" s="79" t="str">
        <f ca="1">_xlfn.FORMULATEXT(AF8)</f>
        <v>=( AF5 - AF6 ) / (AF7-1)</v>
      </c>
    </row>
    <row r="9" spans="1:34" x14ac:dyDescent="0.25">
      <c r="B9" s="92">
        <f>B8+$F$7</f>
        <v>7.625</v>
      </c>
      <c r="C9" s="93">
        <v>8672.4097802590259</v>
      </c>
      <c r="E9" s="52" t="s">
        <v>62</v>
      </c>
      <c r="F9" s="79">
        <f>MAX(C6:C14)</f>
        <v>8672.4097802590259</v>
      </c>
      <c r="G9" s="6"/>
      <c r="H9" s="79" t="str">
        <f ca="1">_xlfn.FORMULATEXT(F9)</f>
        <v>=MAX(C6:C14)</v>
      </c>
      <c r="I9" s="6"/>
      <c r="K9" s="92">
        <f>K8 +$O$7</f>
        <v>7.875</v>
      </c>
      <c r="L9" s="203">
        <v>-1966504.3807141026</v>
      </c>
      <c r="N9" s="52" t="s">
        <v>62</v>
      </c>
      <c r="O9" s="166">
        <f>MAX(L6:L14)</f>
        <v>-1950893.7953402</v>
      </c>
      <c r="Q9" s="79" t="str">
        <f ca="1">_xlfn.FORMULATEXT(O9)</f>
        <v>=MAX(L6:L14)</v>
      </c>
      <c r="S9" s="177"/>
      <c r="T9" s="79">
        <f>T8 + $AF$8</f>
        <v>7.625</v>
      </c>
      <c r="U9" s="181" cm="1">
        <f t="array" ref="U9">NPV_pie(npv!$C$25, npv!$H$26, $T9, npv!$H$4, npv!$D$13, npv!$D$14, npv!$D$17, npv!$D$16, npv!$C$8, npv!$H$8,  U$7, npv!$H$7, npv!$C$9, npv!$H$9, npv!$F$2) / 1000</f>
        <v>-2064.8680482181198</v>
      </c>
      <c r="V9" s="182" cm="1">
        <f t="array" ref="V9">NPV_pie(npv!$C$25, npv!$H$26, $T9, npv!$H$4, npv!$D$13, npv!$D$14, npv!$D$17, npv!$D$16, npv!$C$8, npv!$H$8,  V$7, npv!$H$7, npv!$C$9, npv!$H$9, npv!$F$2) / 1000</f>
        <v>-2249.5981572058072</v>
      </c>
      <c r="W9" s="182" cm="1">
        <f t="array" ref="W9">NPV_pie(npv!$C$25, npv!$H$26, $T9, npv!$H$4, npv!$D$13, npv!$D$14, npv!$D$17, npv!$D$16, npv!$C$8, npv!$H$8,  W$7, npv!$H$7, npv!$C$9, npv!$H$9, npv!$F$2) / 1000</f>
        <v>-2434.3282661934945</v>
      </c>
      <c r="X9" s="182" cm="1">
        <f t="array" ref="X9">NPV_pie(npv!$C$25, npv!$H$26, $T9, npv!$H$4, npv!$D$13, npv!$D$14, npv!$D$17, npv!$D$16, npv!$C$8, npv!$H$8,  X$7, npv!$H$7, npv!$C$9, npv!$H$9, npv!$F$2) / 1000</f>
        <v>-2619.0583751811828</v>
      </c>
      <c r="Y9" s="182" cm="1">
        <f t="array" ref="Y9">NPV_pie(npv!$C$25, npv!$H$26, $T9, npv!$H$4, npv!$D$13, npv!$D$14, npv!$D$17, npv!$D$16, npv!$C$8, npv!$H$8,  Y$7, npv!$H$7, npv!$C$9, npv!$H$9, npv!$F$2) / 1000</f>
        <v>-2803.788484168871</v>
      </c>
      <c r="Z9" s="182" cm="1">
        <f t="array" ref="Z9">NPV_pie(npv!$C$25, npv!$H$26, $T9, npv!$H$4, npv!$D$13, npv!$D$14, npv!$D$17, npv!$D$16, npv!$C$8, npv!$H$8,  Z$7, npv!$H$7, npv!$C$9, npv!$H$9, npv!$F$2) / 1000</f>
        <v>-2988.5185931565584</v>
      </c>
      <c r="AA9" s="182" cm="1">
        <f t="array" ref="AA9">NPV_pie(npv!$C$25, npv!$H$26, $T9, npv!$H$4, npv!$D$13, npv!$D$14, npv!$D$17, npv!$D$16, npv!$C$8, npv!$H$8,  AA$7, npv!$H$7, npv!$C$9, npv!$H$9, npv!$F$2) / 1000</f>
        <v>-3173.2487021442466</v>
      </c>
      <c r="AB9" s="182" cm="1">
        <f t="array" ref="AB9">NPV_pie(npv!$C$25, npv!$H$26, $T9, npv!$H$4, npv!$D$13, npv!$D$14, npv!$D$17, npv!$D$16, npv!$C$8, npv!$H$8,  AB$7, npv!$H$7, npv!$C$9, npv!$H$9, npv!$F$2) / 1000</f>
        <v>-3357.9788111319344</v>
      </c>
      <c r="AC9" s="183" cm="1">
        <f t="array" ref="AC9">NPV_pie(npv!$C$25, npv!$H$26, $T9, npv!$H$4, npv!$D$13, npv!$D$14, npv!$D$17, npv!$D$16, npv!$C$8, npv!$H$8,  AC$7, npv!$H$7, npv!$C$9, npv!$H$9, npv!$F$2) / 1000</f>
        <v>-3542.7089201196222</v>
      </c>
      <c r="AE9" s="6"/>
      <c r="AF9" s="6"/>
      <c r="AH9" s="6"/>
    </row>
    <row r="10" spans="1:34" x14ac:dyDescent="0.25">
      <c r="B10" s="92">
        <f>B9+$F$7</f>
        <v>8.5</v>
      </c>
      <c r="C10" s="93">
        <v>7681.0950061842304</v>
      </c>
      <c r="E10" s="52" t="s">
        <v>78</v>
      </c>
      <c r="F10" s="7">
        <f>INDEX( B6:B14, MATCH( F9, C6:C14, 0 ) )</f>
        <v>7.625</v>
      </c>
      <c r="G10" s="6"/>
      <c r="H10" s="79" t="str">
        <f ca="1">_xlfn.FORMULATEXT(F10)</f>
        <v>=INDEX( B6:B14, MATCH( F9, C6:C14, 0 ) )</v>
      </c>
      <c r="I10" s="6"/>
      <c r="K10" s="92">
        <f>K9 +$O$7</f>
        <v>8</v>
      </c>
      <c r="L10" s="203">
        <v>-1950893.7953402</v>
      </c>
      <c r="N10" s="52" t="s">
        <v>78</v>
      </c>
      <c r="O10" s="7">
        <f>INDEX( K6:K14, MATCH( O9, L6:L14, 0 ) )</f>
        <v>8</v>
      </c>
      <c r="Q10" s="79" t="str">
        <f ca="1">_xlfn.FORMULATEXT(O10)</f>
        <v>=INDEX( K6:K14, MATCH( O9, L6:L14, 0 ) )</v>
      </c>
      <c r="S10" s="177"/>
      <c r="T10" s="79">
        <f>T9 + $AF$8</f>
        <v>7.75</v>
      </c>
      <c r="U10" s="181" cm="1">
        <f t="array" ref="U10">NPV_pie(npv!$C$25, npv!$H$26, $T10, npv!$H$4, npv!$D$13, npv!$D$14, npv!$D$17, npv!$D$16, npv!$C$8, npv!$H$8,  U$7, npv!$H$7, npv!$C$9, npv!$H$9, npv!$F$2) / 1000</f>
        <v>-2004.4957983400755</v>
      </c>
      <c r="V10" s="182" cm="1">
        <f t="array" ref="V10">NPV_pie(npv!$C$25, npv!$H$26, $T10, npv!$H$4, npv!$D$13, npv!$D$14, npv!$D$17, npv!$D$16, npv!$C$8, npv!$H$8,  V$7, npv!$H$7, npv!$C$9, npv!$H$9, npv!$F$2) / 1000</f>
        <v>-2178.6395045560598</v>
      </c>
      <c r="W10" s="182" cm="1">
        <f t="array" ref="W10">NPV_pie(npv!$C$25, npv!$H$26, $T10, npv!$H$4, npv!$D$13, npv!$D$14, npv!$D$17, npv!$D$16, npv!$C$8, npv!$H$8,  W$7, npv!$H$7, npv!$C$9, npv!$H$9, npv!$F$2) / 1000</f>
        <v>-2352.7832107720437</v>
      </c>
      <c r="X10" s="182" cm="1">
        <f t="array" ref="X10">NPV_pie(npv!$C$25, npv!$H$26, $T10, npv!$H$4, npv!$D$13, npv!$D$14, npv!$D$17, npv!$D$16, npv!$C$8, npv!$H$8,  X$7, npv!$H$7, npv!$C$9, npv!$H$9, npv!$F$2) / 1000</f>
        <v>-2526.9269169880281</v>
      </c>
      <c r="Y10" s="182" cm="1">
        <f t="array" ref="Y10">NPV_pie(npv!$C$25, npv!$H$26, $T10, npv!$H$4, npv!$D$13, npv!$D$14, npv!$D$17, npv!$D$16, npv!$C$8, npv!$H$8,  Y$7, npv!$H$7, npv!$C$9, npv!$H$9, npv!$F$2) / 1000</f>
        <v>-2701.0706232040125</v>
      </c>
      <c r="Z10" s="182" cm="1">
        <f t="array" ref="Z10">NPV_pie(npv!$C$25, npv!$H$26, $T10, npv!$H$4, npv!$D$13, npv!$D$14, npv!$D$17, npv!$D$16, npv!$C$8, npv!$H$8,  Z$7, npv!$H$7, npv!$C$9, npv!$H$9, npv!$F$2) / 1000</f>
        <v>-2875.2143294199964</v>
      </c>
      <c r="AA10" s="182" cm="1">
        <f t="array" ref="AA10">NPV_pie(npv!$C$25, npv!$H$26, $T10, npv!$H$4, npv!$D$13, npv!$D$14, npv!$D$17, npv!$D$16, npv!$C$8, npv!$H$8,  AA$7, npv!$H$7, npv!$C$9, npv!$H$9, npv!$F$2) / 1000</f>
        <v>-3049.3580356359807</v>
      </c>
      <c r="AB10" s="182" cm="1">
        <f t="array" ref="AB10">NPV_pie(npv!$C$25, npv!$H$26, $T10, npv!$H$4, npv!$D$13, npv!$D$14, npv!$D$17, npv!$D$16, npv!$C$8, npv!$H$8,  AB$7, npv!$H$7, npv!$C$9, npv!$H$9, npv!$F$2) / 1000</f>
        <v>-3223.5017418519651</v>
      </c>
      <c r="AC10" s="183" cm="1">
        <f t="array" ref="AC10">NPV_pie(npv!$C$25, npv!$H$26, $T10, npv!$H$4, npv!$D$13, npv!$D$14, npv!$D$17, npv!$D$16, npv!$C$8, npv!$H$8,  AC$7, npv!$H$7, npv!$C$9, npv!$H$9, npv!$F$2) / 1000</f>
        <v>-3397.645448067949</v>
      </c>
      <c r="AE10" s="52" t="s">
        <v>62</v>
      </c>
      <c r="AF10" s="79">
        <f>MAX(AC6:AC14)</f>
        <v>4.5</v>
      </c>
      <c r="AH10" s="79" t="str">
        <f ca="1">_xlfn.FORMULATEXT(AF10)</f>
        <v>=MAX(AC6:AC14)</v>
      </c>
    </row>
    <row r="11" spans="1:34" x14ac:dyDescent="0.25">
      <c r="B11" s="92">
        <f>B10+$F$7</f>
        <v>9.375</v>
      </c>
      <c r="C11" s="93">
        <v>-1477.6163843883187</v>
      </c>
      <c r="E11" s="6"/>
      <c r="F11" s="6"/>
      <c r="G11" s="6"/>
      <c r="H11" s="6"/>
      <c r="I11" s="6"/>
      <c r="K11" s="92">
        <f>K10 +$O$7</f>
        <v>8.125</v>
      </c>
      <c r="L11" s="203">
        <v>-1957664.0422183687</v>
      </c>
      <c r="S11" s="177"/>
      <c r="T11" s="79">
        <f>T10 + $AF$8</f>
        <v>7.875</v>
      </c>
      <c r="U11" s="181" cm="1">
        <f t="array" ref="U11">NPV_pie(npv!$C$25, npv!$H$26, $T11, npv!$H$4, npv!$D$13, npv!$D$14, npv!$D$17, npv!$D$16, npv!$C$8, npv!$H$8,  U$7, npv!$H$7, npv!$C$9, npv!$H$9, npv!$F$2) / 1000</f>
        <v>-1966.5043807141017</v>
      </c>
      <c r="V11" s="182" cm="1">
        <f t="array" ref="V11">NPV_pie(npv!$C$25, npv!$H$26, $T11, npv!$H$4, npv!$D$13, npv!$D$14, npv!$D$17, npv!$D$16, npv!$C$8, npv!$H$8,  V$7, npv!$H$7, npv!$C$9, npv!$H$9, npv!$F$2) / 1000</f>
        <v>-2130.0616841583824</v>
      </c>
      <c r="W11" s="182" cm="1">
        <f t="array" ref="W11">NPV_pie(npv!$C$25, npv!$H$26, $T11, npv!$H$4, npv!$D$13, npv!$D$14, npv!$D$17, npv!$D$16, npv!$C$8, npv!$H$8,  W$7, npv!$H$7, npv!$C$9, npv!$H$9, npv!$F$2) / 1000</f>
        <v>-2293.6189876026633</v>
      </c>
      <c r="X11" s="182" cm="1">
        <f t="array" ref="X11">NPV_pie(npv!$C$25, npv!$H$26, $T11, npv!$H$4, npv!$D$13, npv!$D$14, npv!$D$17, npv!$D$16, npv!$C$8, npv!$H$8,  X$7, npv!$H$7, npv!$C$9, npv!$H$9, npv!$F$2) / 1000</f>
        <v>-2457.1762910469438</v>
      </c>
      <c r="Y11" s="182" cm="1">
        <f t="array" ref="Y11">NPV_pie(npv!$C$25, npv!$H$26, $T11, npv!$H$4, npv!$D$13, npv!$D$14, npv!$D$17, npv!$D$16, npv!$C$8, npv!$H$8,  Y$7, npv!$H$7, npv!$C$9, npv!$H$9, npv!$F$2) / 1000</f>
        <v>-2620.7335944912247</v>
      </c>
      <c r="Z11" s="182" cm="1">
        <f t="array" ref="Z11">NPV_pie(npv!$C$25, npv!$H$26, $T11, npv!$H$4, npv!$D$13, npv!$D$14, npv!$D$17, npv!$D$16, npv!$C$8, npv!$H$8,  Z$7, npv!$H$7, npv!$C$9, npv!$H$9, npv!$F$2) / 1000</f>
        <v>-2784.2908979355052</v>
      </c>
      <c r="AA11" s="182" cm="1">
        <f t="array" ref="AA11">NPV_pie(npv!$C$25, npv!$H$26, $T11, npv!$H$4, npv!$D$13, npv!$D$14, npv!$D$17, npv!$D$16, npv!$C$8, npv!$H$8,  AA$7, npv!$H$7, npv!$C$9, npv!$H$9, npv!$F$2) / 1000</f>
        <v>-2947.8482013797857</v>
      </c>
      <c r="AB11" s="182" cm="1">
        <f t="array" ref="AB11">NPV_pie(npv!$C$25, npv!$H$26, $T11, npv!$H$4, npv!$D$13, npv!$D$14, npv!$D$17, npv!$D$16, npv!$C$8, npv!$H$8,  AB$7, npv!$H$7, npv!$C$9, npv!$H$9, npv!$F$2) / 1000</f>
        <v>-3111.4055048240666</v>
      </c>
      <c r="AC11" s="183" cm="1">
        <f t="array" ref="AC11">NPV_pie(npv!$C$25, npv!$H$26, $T11, npv!$H$4, npv!$D$13, npv!$D$14, npv!$D$17, npv!$D$16, npv!$C$8, npv!$H$8,  AC$7, npv!$H$7, npv!$C$9, npv!$H$9, npv!$F$2) / 1000</f>
        <v>-3274.9628082683466</v>
      </c>
      <c r="AE11" s="52" t="s">
        <v>78</v>
      </c>
      <c r="AF11" s="7">
        <f>INDEX( AB6:AB14, MATCH( AF10, AC6:AC14, 0 ) )</f>
        <v>4.375</v>
      </c>
      <c r="AH11" s="79" t="str">
        <f ca="1">_xlfn.FORMULATEXT(AF11)</f>
        <v>=INDEX( AB6:AB14, MATCH( AF10, AC6:AC14, 0 ) )</v>
      </c>
    </row>
    <row r="12" spans="1:34" x14ac:dyDescent="0.25">
      <c r="B12" s="92">
        <f>B11+$F$7</f>
        <v>10.25</v>
      </c>
      <c r="C12" s="93">
        <v>-18803.724391458636</v>
      </c>
      <c r="F12" s="6"/>
      <c r="G12" s="6"/>
      <c r="H12" s="6"/>
      <c r="I12" s="6"/>
      <c r="K12" s="92">
        <f>K11 +$O$7</f>
        <v>8.25</v>
      </c>
      <c r="L12" s="203">
        <v>-1986815.121348609</v>
      </c>
      <c r="S12" s="177"/>
      <c r="T12" s="79">
        <f>T11 + $AF$8</f>
        <v>8</v>
      </c>
      <c r="U12" s="181" cm="1">
        <f t="array" ref="U12">NPV_pie(npv!$C$25, npv!$H$26, $T12, npv!$H$4, npv!$D$13, npv!$D$14, npv!$D$17, npv!$D$16, npv!$C$8, npv!$H$8,  U$7, npv!$H$7, npv!$C$9, npv!$H$9, npv!$F$2) / 1000</f>
        <v>-1950.8937953401996</v>
      </c>
      <c r="V12" s="182" cm="1">
        <f t="array" ref="V12">NPV_pie(npv!$C$25, npv!$H$26, $T12, npv!$H$4, npv!$D$13, npv!$D$14, npv!$D$17, npv!$D$16, npv!$C$8, npv!$H$8,  V$7, npv!$H$7, npv!$C$9, npv!$H$9, npv!$F$2) / 1000</f>
        <v>-2103.8646960127771</v>
      </c>
      <c r="W12" s="182" cm="1">
        <f t="array" ref="W12">NPV_pie(npv!$C$25, npv!$H$26, $T12, npv!$H$4, npv!$D$13, npv!$D$14, npv!$D$17, npv!$D$16, npv!$C$8, npv!$H$8,  W$7, npv!$H$7, npv!$C$9, npv!$H$9, npv!$F$2) / 1000</f>
        <v>-2256.8355966853537</v>
      </c>
      <c r="X12" s="182" cm="1">
        <f t="array" ref="X12">NPV_pie(npv!$C$25, npv!$H$26, $T12, npv!$H$4, npv!$D$13, npv!$D$14, npv!$D$17, npv!$D$16, npv!$C$8, npv!$H$8,  X$7, npv!$H$7, npv!$C$9, npv!$H$9, npv!$F$2) / 1000</f>
        <v>-2409.8064973579308</v>
      </c>
      <c r="Y12" s="182" cm="1">
        <f t="array" ref="Y12">NPV_pie(npv!$C$25, npv!$H$26, $T12, npv!$H$4, npv!$D$13, npv!$D$14, npv!$D$17, npv!$D$16, npv!$C$8, npv!$H$8,  Y$7, npv!$H$7, npv!$C$9, npv!$H$9, npv!$F$2) / 1000</f>
        <v>-2562.7773980305078</v>
      </c>
      <c r="Z12" s="182" cm="1">
        <f t="array" ref="Z12">NPV_pie(npv!$C$25, npv!$H$26, $T12, npv!$H$4, npv!$D$13, npv!$D$14, npv!$D$17, npv!$D$16, npv!$C$8, npv!$H$8,  Z$7, npv!$H$7, npv!$C$9, npv!$H$9, npv!$F$2) / 1000</f>
        <v>-2715.7482987030849</v>
      </c>
      <c r="AA12" s="182" cm="1">
        <f t="array" ref="AA12">NPV_pie(npv!$C$25, npv!$H$26, $T12, npv!$H$4, npv!$D$13, npv!$D$14, npv!$D$17, npv!$D$16, npv!$C$8, npv!$H$8,  AA$7, npv!$H$7, npv!$C$9, npv!$H$9, npv!$F$2) / 1000</f>
        <v>-2868.7191993756619</v>
      </c>
      <c r="AB12" s="182" cm="1">
        <f t="array" ref="AB12">NPV_pie(npv!$C$25, npv!$H$26, $T12, npv!$H$4, npv!$D$13, npv!$D$14, npv!$D$17, npv!$D$16, npv!$C$8, npv!$H$8,  AB$7, npv!$H$7, npv!$C$9, npv!$H$9, npv!$F$2) / 1000</f>
        <v>-3021.6901000482389</v>
      </c>
      <c r="AC12" s="183" cm="1">
        <f t="array" ref="AC12">NPV_pie(npv!$C$25, npv!$H$26, $T12, npv!$H$4, npv!$D$13, npv!$D$14, npv!$D$17, npv!$D$16, npv!$C$8, npv!$H$8,  AC$7, npv!$H$7, npv!$C$9, npv!$H$9, npv!$F$2) / 1000</f>
        <v>-3174.661000720816</v>
      </c>
    </row>
    <row r="13" spans="1:34" x14ac:dyDescent="0.25">
      <c r="B13" s="92">
        <f>B12+$F$7</f>
        <v>11.125</v>
      </c>
      <c r="C13" s="93">
        <v>-44297.229015026722</v>
      </c>
      <c r="F13" s="6"/>
      <c r="G13" s="6"/>
      <c r="H13" s="6"/>
      <c r="I13" s="6"/>
      <c r="K13" s="92">
        <f>K12 +$O$7</f>
        <v>8.375</v>
      </c>
      <c r="L13" s="203">
        <v>-2038347.0327309172</v>
      </c>
      <c r="S13" s="177"/>
      <c r="T13" s="79">
        <f>T12 + $AF$8</f>
        <v>8.125</v>
      </c>
      <c r="U13" s="181" cm="1">
        <f t="array" ref="U13">NPV_pie(npv!$C$25, npv!$H$26, $T13, npv!$H$4, npv!$D$13, npv!$D$14, npv!$D$17, npv!$D$16, npv!$C$8, npv!$H$8,  U$7, npv!$H$7, npv!$C$9, npv!$H$9, npv!$F$2) / 1000</f>
        <v>-1957.6640422183682</v>
      </c>
      <c r="V13" s="182" cm="1">
        <f t="array" ref="V13">NPV_pie(npv!$C$25, npv!$H$26, $T13, npv!$H$4, npv!$D$13, npv!$D$14, npv!$D$17, npv!$D$16, npv!$C$8, npv!$H$8,  V$7, npv!$H$7, npv!$C$9, npv!$H$9, npv!$F$2) / 1000</f>
        <v>-2100.0485401192418</v>
      </c>
      <c r="W13" s="182" cm="1">
        <f t="array" ref="W13">NPV_pie(npv!$C$25, npv!$H$26, $T13, npv!$H$4, npv!$D$13, npv!$D$14, npv!$D$17, npv!$D$16, npv!$C$8, npv!$H$8,  W$7, npv!$H$7, npv!$C$9, npv!$H$9, npv!$F$2) / 1000</f>
        <v>-2242.433038020115</v>
      </c>
      <c r="X13" s="182" cm="1">
        <f t="array" ref="X13">NPV_pie(npv!$C$25, npv!$H$26, $T13, npv!$H$4, npv!$D$13, npv!$D$14, npv!$D$17, npv!$D$16, npv!$C$8, npv!$H$8,  X$7, npv!$H$7, npv!$C$9, npv!$H$9, npv!$F$2) / 1000</f>
        <v>-2384.8175359209881</v>
      </c>
      <c r="Y13" s="182" cm="1">
        <f t="array" ref="Y13">NPV_pie(npv!$C$25, npv!$H$26, $T13, npv!$H$4, npv!$D$13, npv!$D$14, npv!$D$17, npv!$D$16, npv!$C$8, npv!$H$8,  Y$7, npv!$H$7, npv!$C$9, npv!$H$9, npv!$F$2) / 1000</f>
        <v>-2527.2020338218622</v>
      </c>
      <c r="Z13" s="182" cm="1">
        <f t="array" ref="Z13">NPV_pie(npv!$C$25, npv!$H$26, $T13, npv!$H$4, npv!$D$13, npv!$D$14, npv!$D$17, npv!$D$16, npv!$C$8, npv!$H$8,  Z$7, npv!$H$7, npv!$C$9, npv!$H$9, npv!$F$2) / 1000</f>
        <v>-2669.5865317227353</v>
      </c>
      <c r="AA13" s="182" cm="1">
        <f t="array" ref="AA13">NPV_pie(npv!$C$25, npv!$H$26, $T13, npv!$H$4, npv!$D$13, npv!$D$14, npv!$D$17, npv!$D$16, npv!$C$8, npv!$H$8,  AA$7, npv!$H$7, npv!$C$9, npv!$H$9, npv!$F$2) / 1000</f>
        <v>-2811.971029623609</v>
      </c>
      <c r="AB13" s="182" cm="1">
        <f t="array" ref="AB13">NPV_pie(npv!$C$25, npv!$H$26, $T13, npv!$H$4, npv!$D$13, npv!$D$14, npv!$D$17, npv!$D$16, npv!$C$8, npv!$H$8,  AB$7, npv!$H$7, npv!$C$9, npv!$H$9, npv!$F$2) / 1000</f>
        <v>-2954.3555275244826</v>
      </c>
      <c r="AC13" s="183" cm="1">
        <f t="array" ref="AC13">NPV_pie(npv!$C$25, npv!$H$26, $T13, npv!$H$4, npv!$D$13, npv!$D$14, npv!$D$17, npv!$D$16, npv!$C$8, npv!$H$8,  AC$7, npv!$H$7, npv!$C$9, npv!$H$9, npv!$F$2) / 1000</f>
        <v>-3096.7400254253557</v>
      </c>
    </row>
    <row r="14" spans="1:34" ht="13.8" thickBot="1" x14ac:dyDescent="0.3">
      <c r="B14" s="94">
        <f>B13+$F$7</f>
        <v>12</v>
      </c>
      <c r="C14" s="95">
        <v>-77958.130255092576</v>
      </c>
      <c r="E14" s="6"/>
      <c r="F14" s="6"/>
      <c r="G14" s="6"/>
      <c r="H14" s="6"/>
      <c r="I14" s="6"/>
      <c r="K14" s="94">
        <f>K13 +$O$7</f>
        <v>8.5</v>
      </c>
      <c r="L14" s="204">
        <v>-2112259.7763652997</v>
      </c>
      <c r="S14" s="177"/>
      <c r="T14" s="79">
        <f>T13 + $AF$8</f>
        <v>8.25</v>
      </c>
      <c r="U14" s="181" cm="1">
        <f t="array" ref="U14">NPV_pie(npv!$C$25, npv!$H$26, $T14, npv!$H$4, npv!$D$13, npv!$D$14, npv!$D$17, npv!$D$16, npv!$C$8, npv!$H$8,  U$7, npv!$H$7, npv!$C$9, npv!$H$9, npv!$F$2) / 1000</f>
        <v>-1986.815121348609</v>
      </c>
      <c r="V14" s="182" cm="1">
        <f t="array" ref="V14">NPV_pie(npv!$C$25, npv!$H$26, $T14, npv!$H$4, npv!$D$13, npv!$D$14, npv!$D$17, npv!$D$16, npv!$C$8, npv!$H$8,  V$7, npv!$H$7, npv!$C$9, npv!$H$9, npv!$F$2) / 1000</f>
        <v>-2118.6132164777787</v>
      </c>
      <c r="W14" s="182" cm="1">
        <f t="array" ref="W14">NPV_pie(npv!$C$25, npv!$H$26, $T14, npv!$H$4, npv!$D$13, npv!$D$14, npv!$D$17, npv!$D$16, npv!$C$8, npv!$H$8,  W$7, npv!$H$7, npv!$C$9, npv!$H$9, npv!$F$2) / 1000</f>
        <v>-2250.4113116069484</v>
      </c>
      <c r="X14" s="182" cm="1">
        <f t="array" ref="X14">NPV_pie(npv!$C$25, npv!$H$26, $T14, npv!$H$4, npv!$D$13, npv!$D$14, npv!$D$17, npv!$D$16, npv!$C$8, npv!$H$8,  X$7, npv!$H$7, npv!$C$9, npv!$H$9, npv!$F$2) / 1000</f>
        <v>-2382.2094067361177</v>
      </c>
      <c r="Y14" s="182" cm="1">
        <f t="array" ref="Y14">NPV_pie(npv!$C$25, npv!$H$26, $T14, npv!$H$4, npv!$D$13, npv!$D$14, npv!$D$17, npv!$D$16, npv!$C$8, npv!$H$8,  Y$7, npv!$H$7, npv!$C$9, npv!$H$9, npv!$F$2) / 1000</f>
        <v>-2514.0075018652874</v>
      </c>
      <c r="Z14" s="182" cm="1">
        <f t="array" ref="Z14">NPV_pie(npv!$C$25, npv!$H$26, $T14, npv!$H$4, npv!$D$13, npv!$D$14, npv!$D$17, npv!$D$16, npv!$C$8, npv!$H$8,  Z$7, npv!$H$7, npv!$C$9, npv!$H$9, npv!$F$2) / 1000</f>
        <v>-2645.8055969944576</v>
      </c>
      <c r="AA14" s="182" cm="1">
        <f t="array" ref="AA14">NPV_pie(npv!$C$25, npv!$H$26, $T14, npv!$H$4, npv!$D$13, npv!$D$14, npv!$D$17, npv!$D$16, npv!$C$8, npv!$H$8,  AA$7, npv!$H$7, npv!$C$9, npv!$H$9, npv!$F$2) / 1000</f>
        <v>-2777.6036921236273</v>
      </c>
      <c r="AB14" s="182" cm="1">
        <f t="array" ref="AB14">NPV_pie(npv!$C$25, npv!$H$26, $T14, npv!$H$4, npv!$D$13, npv!$D$14, npv!$D$17, npv!$D$16, npv!$C$8, npv!$H$8,  AB$7, npv!$H$7, npv!$C$9, npv!$H$9, npv!$F$2) / 1000</f>
        <v>-2909.401787252797</v>
      </c>
      <c r="AC14" s="183" cm="1">
        <f t="array" ref="AC14">NPV_pie(npv!$C$25, npv!$H$26, $T14, npv!$H$4, npv!$D$13, npv!$D$14, npv!$D$17, npv!$D$16, npv!$C$8, npv!$H$8,  AC$7, npv!$H$7, npv!$C$9, npv!$H$9, npv!$F$2) / 1000</f>
        <v>-3041.1998823819667</v>
      </c>
      <c r="AE14" s="8" t="s">
        <v>138</v>
      </c>
    </row>
    <row r="15" spans="1:34" x14ac:dyDescent="0.25">
      <c r="B15" s="6"/>
      <c r="C15" s="6"/>
      <c r="E15" s="6"/>
      <c r="F15" s="6"/>
      <c r="G15" s="6"/>
      <c r="H15" s="6"/>
      <c r="I15" s="6"/>
      <c r="S15" s="177"/>
      <c r="T15" s="79">
        <f>T14 + $AF$8</f>
        <v>8.375</v>
      </c>
      <c r="U15" s="181" cm="1">
        <f t="array" ref="U15">NPV_pie(npv!$C$25, npv!$H$26, $T15, npv!$H$4, npv!$D$13, npv!$D$14, npv!$D$17, npv!$D$16, npv!$C$8, npv!$H$8,  U$7, npv!$H$7, npv!$C$9, npv!$H$9, npv!$F$2) / 1000</f>
        <v>-2038.3470327309176</v>
      </c>
      <c r="V15" s="182" cm="1">
        <f t="array" ref="V15">NPV_pie(npv!$C$25, npv!$H$26, $T15, npv!$H$4, npv!$D$13, npv!$D$14, npv!$D$17, npv!$D$16, npv!$C$8, npv!$H$8,  V$7, npv!$H$7, npv!$C$9, npv!$H$9, npv!$F$2) / 1000</f>
        <v>-2159.5587250883837</v>
      </c>
      <c r="W15" s="182" cm="1">
        <f t="array" ref="W15">NPV_pie(npv!$C$25, npv!$H$26, $T15, npv!$H$4, npv!$D$13, npv!$D$14, npv!$D$17, npv!$D$16, npv!$C$8, npv!$H$8,  W$7, npv!$H$7, npv!$C$9, npv!$H$9, npv!$F$2) / 1000</f>
        <v>-2280.7704174458495</v>
      </c>
      <c r="X15" s="182" cm="1">
        <f t="array" ref="X15">NPV_pie(npv!$C$25, npv!$H$26, $T15, npv!$H$4, npv!$D$13, npv!$D$14, npv!$D$17, npv!$D$16, npv!$C$8, npv!$H$8,  X$7, npv!$H$7, npv!$C$9, npv!$H$9, npv!$F$2) / 1000</f>
        <v>-2401.9821098033162</v>
      </c>
      <c r="Y15" s="182" cm="1">
        <f t="array" ref="Y15">NPV_pie(npv!$C$25, npv!$H$26, $T15, npv!$H$4, npv!$D$13, npv!$D$14, npv!$D$17, npv!$D$16, npv!$C$8, npv!$H$8,  Y$7, npv!$H$7, npv!$C$9, npv!$H$9, npv!$F$2) / 1000</f>
        <v>-2523.1938021607821</v>
      </c>
      <c r="Z15" s="182" cm="1">
        <f t="array" ref="Z15">NPV_pie(npv!$C$25, npv!$H$26, $T15, npv!$H$4, npv!$D$13, npv!$D$14, npv!$D$17, npv!$D$16, npv!$C$8, npv!$H$8,  Z$7, npv!$H$7, npv!$C$9, npv!$H$9, npv!$F$2) / 1000</f>
        <v>-2644.4054945182484</v>
      </c>
      <c r="AA15" s="182" cm="1">
        <f t="array" ref="AA15">NPV_pie(npv!$C$25, npv!$H$26, $T15, npv!$H$4, npv!$D$13, npv!$D$14, npv!$D$17, npv!$D$16, npv!$C$8, npv!$H$8,  AA$7, npv!$H$7, npv!$C$9, npv!$H$9, npv!$F$2) / 1000</f>
        <v>-2765.6171868757151</v>
      </c>
      <c r="AB15" s="182" cm="1">
        <f t="array" ref="AB15">NPV_pie(npv!$C$25, npv!$H$26, $T15, npv!$H$4, npv!$D$13, npv!$D$14, npv!$D$17, npv!$D$16, npv!$C$8, npv!$H$8,  AB$7, npv!$H$7, npv!$C$9, npv!$H$9, npv!$F$2) / 1000</f>
        <v>-2886.8288792331805</v>
      </c>
      <c r="AC15" s="183" cm="1">
        <f t="array" ref="AC15">NPV_pie(npv!$C$25, npv!$H$26, $T15, npv!$H$4, npv!$D$13, npv!$D$14, npv!$D$17, npv!$D$16, npv!$C$8, npv!$H$8,  AC$7, npv!$H$7, npv!$C$9, npv!$H$9, npv!$F$2) / 1000</f>
        <v>-3008.0405715906472</v>
      </c>
      <c r="AE15" s="56" t="s">
        <v>69</v>
      </c>
      <c r="AF15" s="89">
        <v>4.5</v>
      </c>
    </row>
    <row r="16" spans="1:34" x14ac:dyDescent="0.25">
      <c r="B16" s="52" t="s">
        <v>75</v>
      </c>
      <c r="C16" s="97" t="s">
        <v>73</v>
      </c>
      <c r="E16" s="6"/>
      <c r="F16" s="52" t="s">
        <v>74</v>
      </c>
      <c r="G16" s="6"/>
      <c r="H16" s="6"/>
      <c r="I16" s="6"/>
      <c r="K16" s="52" t="s">
        <v>114</v>
      </c>
      <c r="L16" s="97" t="s">
        <v>115</v>
      </c>
      <c r="S16" s="177"/>
      <c r="T16" s="79">
        <f>T15 + $AF$8</f>
        <v>8.5</v>
      </c>
      <c r="U16" s="184" cm="1">
        <f t="array" ref="U16">NPV_pie(npv!$C$25, npv!$H$26, $T16, npv!$H$4, npv!$D$13, npv!$D$14, npv!$D$17, npv!$D$16, npv!$C$8, npv!$H$8,  U$7, npv!$H$7, npv!$C$9, npv!$H$9, npv!$F$2) / 1000</f>
        <v>-2112.2597763652989</v>
      </c>
      <c r="V16" s="185" cm="1">
        <f t="array" ref="V16">NPV_pie(npv!$C$25, npv!$H$26, $T16, npv!$H$4, npv!$D$13, npv!$D$14, npv!$D$17, npv!$D$16, npv!$C$8, npv!$H$8,  V$7, npv!$H$7, npv!$C$9, npv!$H$9, npv!$F$2) / 1000</f>
        <v>-2222.8850659510613</v>
      </c>
      <c r="W16" s="185" cm="1">
        <f t="array" ref="W16">NPV_pie(npv!$C$25, npv!$H$26, $T16, npv!$H$4, npv!$D$13, npv!$D$14, npv!$D$17, npv!$D$16, npv!$C$8, npv!$H$8,  W$7, npv!$H$7, npv!$C$9, npv!$H$9, npv!$F$2) / 1000</f>
        <v>-2333.5103555368241</v>
      </c>
      <c r="X16" s="185" cm="1">
        <f t="array" ref="X16">NPV_pie(npv!$C$25, npv!$H$26, $T16, npv!$H$4, npv!$D$13, npv!$D$14, npv!$D$17, npv!$D$16, npv!$C$8, npv!$H$8,  X$7, npv!$H$7, npv!$C$9, npv!$H$9, npv!$F$2) / 1000</f>
        <v>-2444.1356451225865</v>
      </c>
      <c r="Y16" s="185" cm="1">
        <f t="array" ref="Y16">NPV_pie(npv!$C$25, npv!$H$26, $T16, npv!$H$4, npv!$D$13, npv!$D$14, npv!$D$17, npv!$D$16, npv!$C$8, npv!$H$8,  Y$7, npv!$H$7, npv!$C$9, npv!$H$9, npv!$F$2) / 1000</f>
        <v>-2554.7609347083494</v>
      </c>
      <c r="Z16" s="185" cm="1">
        <f t="array" ref="Z16">NPV_pie(npv!$C$25, npv!$H$26, $T16, npv!$H$4, npv!$D$13, npv!$D$14, npv!$D$17, npv!$D$16, npv!$C$8, npv!$H$8,  Z$7, npv!$H$7, npv!$C$9, npv!$H$9, npv!$F$2) / 1000</f>
        <v>-2665.3862242941123</v>
      </c>
      <c r="AA16" s="185" cm="1">
        <f t="array" ref="AA16">NPV_pie(npv!$C$25, npv!$H$26, $T16, npv!$H$4, npv!$D$13, npv!$D$14, npv!$D$17, npv!$D$16, npv!$C$8, npv!$H$8,  AA$7, npv!$H$7, npv!$C$9, npv!$H$9, npv!$F$2) / 1000</f>
        <v>-2776.0115138798747</v>
      </c>
      <c r="AB16" s="185" cm="1">
        <f t="array" ref="AB16">NPV_pie(npv!$C$25, npv!$H$26, $T16, npv!$H$4, npv!$D$13, npv!$D$14, npv!$D$17, npv!$D$16, npv!$C$8, npv!$H$8,  AB$7, npv!$H$7, npv!$C$9, npv!$H$9, npv!$F$2) / 1000</f>
        <v>-2886.6368034656375</v>
      </c>
      <c r="AC16" s="186" cm="1">
        <f t="array" ref="AC16">NPV_pie(npv!$C$25, npv!$H$26, $T16, npv!$H$4, npv!$D$13, npv!$D$14, npv!$D$17, npv!$D$16, npv!$C$8, npv!$H$8,  AC$7, npv!$H$7, npv!$C$9, npv!$H$9, npv!$F$2) / 1000</f>
        <v>-2997.2620930513995</v>
      </c>
      <c r="AE16" s="56" t="s">
        <v>70</v>
      </c>
      <c r="AF16" s="89">
        <v>3.5</v>
      </c>
    </row>
    <row r="17" spans="2:39" x14ac:dyDescent="0.25">
      <c r="B17" s="7" t="str">
        <f ca="1">_xlfn.FORMULATEXT(B6)</f>
        <v>=F5</v>
      </c>
      <c r="C17" s="84" t="str">
        <f ca="1">_xlfn.FORMULATEXT(C5)</f>
        <v>=profit!C22</v>
      </c>
      <c r="E17" s="6"/>
      <c r="F17" s="96" t="str">
        <f ca="1">_xlfn.FORMULATEXT(F7)</f>
        <v>=( F4 - F5 ) / (F6-1)</v>
      </c>
      <c r="G17" s="6"/>
      <c r="H17" s="6"/>
      <c r="I17" s="6"/>
      <c r="K17" s="7" t="str">
        <f ca="1">_xlfn.FORMULATEXT(K6)</f>
        <v>=O5</v>
      </c>
      <c r="L17" s="84" t="str">
        <f ca="1">_xlfn.FORMULATEXT(L5)</f>
        <v>='npv-sensitivity'!C27</v>
      </c>
      <c r="U17" s="96" t="s">
        <v>163</v>
      </c>
      <c r="V17" s="96" t="s">
        <v>176</v>
      </c>
      <c r="AE17" s="56" t="s">
        <v>71</v>
      </c>
      <c r="AF17" s="89">
        <v>9</v>
      </c>
    </row>
    <row r="18" spans="2:39" x14ac:dyDescent="0.25">
      <c r="B18" s="52" t="s">
        <v>76</v>
      </c>
      <c r="E18" s="6"/>
      <c r="F18" s="6"/>
      <c r="G18" s="6"/>
      <c r="H18" s="6"/>
      <c r="I18" s="6"/>
      <c r="K18" s="52" t="s">
        <v>116</v>
      </c>
      <c r="U18" s="231" t="str">
        <f ca="1">_xlfn.FORMULATEXT(U7)</f>
        <v>=AF16</v>
      </c>
      <c r="V18" s="231" t="str">
        <f ca="1">_xlfn.FORMULATEXT(V7)</f>
        <v>=U7+$AF$18</v>
      </c>
      <c r="AE18" s="56" t="s">
        <v>72</v>
      </c>
      <c r="AF18" s="89">
        <f>( AF15 - AF16 ) / (AF17-1)</f>
        <v>0.125</v>
      </c>
      <c r="AH18" s="79" t="str">
        <f ca="1">_xlfn.FORMULATEXT(AF18)</f>
        <v>=( AF15 - AF16 ) / (AF17-1)</v>
      </c>
    </row>
    <row r="19" spans="2:39" ht="15" customHeight="1" x14ac:dyDescent="0.25">
      <c r="B19" s="7" t="str">
        <f ca="1">_xlfn.FORMULATEXT(B7)</f>
        <v>=B6+$F$7</v>
      </c>
      <c r="E19" s="6"/>
      <c r="F19" s="6"/>
      <c r="G19" s="6"/>
      <c r="H19" s="6"/>
      <c r="I19" s="6"/>
      <c r="K19" s="7" t="str">
        <f ca="1">_xlfn.FORMULATEXT(K7)</f>
        <v>=K6 +$O$7</v>
      </c>
      <c r="T19" s="228" t="s">
        <v>166</v>
      </c>
      <c r="U19" s="230" t="s">
        <v>164</v>
      </c>
      <c r="V19" s="229"/>
      <c r="W19" s="229"/>
      <c r="X19" s="229"/>
      <c r="Y19" s="229"/>
      <c r="Z19" s="229"/>
      <c r="AA19" s="229"/>
      <c r="AB19" s="229"/>
      <c r="AC19" s="229"/>
      <c r="AE19" s="6"/>
      <c r="AF19" s="6"/>
      <c r="AH19" s="6"/>
    </row>
    <row r="20" spans="2:39" ht="34.200000000000003" customHeight="1" x14ac:dyDescent="0.25">
      <c r="I20" s="6"/>
      <c r="T20" s="228" t="str">
        <f ca="1">_xlfn.FORMULATEXT(T8)</f>
        <v>=AF6</v>
      </c>
      <c r="U20" s="226" t="str">
        <f ca="1">_xlfn.FORMULATEXT(U8)</f>
        <v>=NPV_pie(npv!$C$25, npv!$H$26, $T8, npv!$H$4, npv!$D$13, npv!$D$14, npv!$D$17, npv!$D$16, npv!$C$8, npv!$H$8,  U$7, npv!$H$7, npv!$C$9, npv!$H$9, npv!$F$2) / 1000</v>
      </c>
      <c r="V20" s="227"/>
      <c r="W20" s="227"/>
      <c r="X20" s="227"/>
      <c r="Y20" s="227"/>
      <c r="Z20" s="227"/>
      <c r="AA20" s="227"/>
      <c r="AB20" s="227"/>
      <c r="AC20" s="225"/>
      <c r="AE20" s="52" t="s">
        <v>62</v>
      </c>
      <c r="AF20" s="79">
        <f>MAX(AC16:AC22)</f>
        <v>-2997.2620930513995</v>
      </c>
      <c r="AH20" s="79" t="str">
        <f ca="1">_xlfn.FORMULATEXT(AF20)</f>
        <v>=MAX(AC16:AC22)</v>
      </c>
    </row>
    <row r="21" spans="2:39" x14ac:dyDescent="0.25">
      <c r="T21" s="228" t="s">
        <v>165</v>
      </c>
      <c r="U21" s="229"/>
      <c r="V21" s="229"/>
      <c r="W21" s="229"/>
      <c r="X21" s="229"/>
      <c r="Y21" s="229"/>
      <c r="Z21" s="229"/>
      <c r="AA21" s="229"/>
      <c r="AB21" s="229"/>
      <c r="AC21" s="229"/>
      <c r="AE21" s="52" t="s">
        <v>78</v>
      </c>
      <c r="AF21" s="7">
        <f>INDEX( AB16:AB22, MATCH( AF20, AC16:AC22, 0 ) )</f>
        <v>-2886.6368034656375</v>
      </c>
      <c r="AH21" s="79" t="str">
        <f ca="1">_xlfn.FORMULATEXT(AF21)</f>
        <v>=INDEX( AB16:AB22, MATCH( AF20, AC16:AC22, 0 ) )</v>
      </c>
    </row>
    <row r="22" spans="2:39" x14ac:dyDescent="0.25">
      <c r="T22" s="228" t="str">
        <f ca="1">_xlfn.FORMULATEXT(T9)</f>
        <v>=T8 + $AF$8</v>
      </c>
      <c r="U22" s="229"/>
      <c r="V22" s="229"/>
      <c r="W22" s="229"/>
      <c r="X22" s="229"/>
      <c r="Y22" s="229"/>
      <c r="Z22" s="229"/>
      <c r="AA22" s="229"/>
      <c r="AB22" s="229"/>
      <c r="AC22" s="229"/>
    </row>
    <row r="24" spans="2:39" x14ac:dyDescent="0.25">
      <c r="U24" s="21" t="s">
        <v>171</v>
      </c>
      <c r="V24" s="21" t="s">
        <v>172</v>
      </c>
      <c r="AE24" s="56" t="s">
        <v>69</v>
      </c>
      <c r="AF24" s="89">
        <v>8.5</v>
      </c>
      <c r="AK24">
        <v>4</v>
      </c>
      <c r="AL24">
        <v>1</v>
      </c>
    </row>
    <row r="25" spans="2:39" ht="13.8" thickBot="1" x14ac:dyDescent="0.3">
      <c r="T25" s="23" t="s">
        <v>170</v>
      </c>
      <c r="U25" s="77">
        <v>9</v>
      </c>
      <c r="V25" s="57">
        <v>3.5</v>
      </c>
      <c r="AE25" s="56" t="s">
        <v>70</v>
      </c>
      <c r="AF25" s="89">
        <v>7.5</v>
      </c>
      <c r="AJ25">
        <f>AK24*AL24</f>
        <v>4</v>
      </c>
      <c r="AK25">
        <v>1</v>
      </c>
      <c r="AL25">
        <v>2</v>
      </c>
      <c r="AM25">
        <v>3</v>
      </c>
    </row>
    <row r="26" spans="2:39" x14ac:dyDescent="0.25">
      <c r="T26" s="242">
        <f>'npv-sensitivity (2)'!C27/1000</f>
        <v>-2631.719073423531</v>
      </c>
      <c r="U26" s="237">
        <f>AF35</f>
        <v>3.5</v>
      </c>
      <c r="V26" s="237">
        <f>U26 + $AF$37</f>
        <v>3.625</v>
      </c>
      <c r="W26" s="237">
        <f>V26 + $AF$37</f>
        <v>3.75</v>
      </c>
      <c r="X26" s="237">
        <f>W26 + $AF$37</f>
        <v>3.875</v>
      </c>
      <c r="Y26" s="237">
        <f>X26 + $AF$37</f>
        <v>4</v>
      </c>
      <c r="Z26" s="237">
        <f>Y26 + $AF$37</f>
        <v>4.125</v>
      </c>
      <c r="AA26" s="237">
        <f>Z26 + $AF$37</f>
        <v>4.25</v>
      </c>
      <c r="AB26" s="237">
        <f>AA26 + $AF$37</f>
        <v>4.375</v>
      </c>
      <c r="AC26" s="238">
        <f>AB26 + $AF$37</f>
        <v>4.5</v>
      </c>
      <c r="AE26" s="56" t="s">
        <v>71</v>
      </c>
      <c r="AF26" s="89">
        <v>9</v>
      </c>
      <c r="AJ26">
        <v>4</v>
      </c>
      <c r="AK26">
        <f t="dataTable" ref="AK26:AM28" dt2D="1" dtr="1" r1="AK24" r2="AL24"/>
        <v>4</v>
      </c>
      <c r="AL26">
        <v>8</v>
      </c>
      <c r="AM26">
        <v>12</v>
      </c>
    </row>
    <row r="27" spans="2:39" x14ac:dyDescent="0.25">
      <c r="T27" s="239">
        <f>AF25</f>
        <v>7.5</v>
      </c>
      <c r="U27" s="243">
        <f t="dataTable" ref="U27:AC35" dt2D="1" dtr="1" r1="U25" r2="V25"/>
        <v>-33703.404002130315</v>
      </c>
      <c r="V27" s="243">
        <v>-32565.699399239416</v>
      </c>
      <c r="W27" s="243">
        <v>-31450.375628600588</v>
      </c>
      <c r="X27" s="243">
        <v>-30357.432690213838</v>
      </c>
      <c r="Y27" s="243">
        <v>-29286.870584079155</v>
      </c>
      <c r="Z27" s="243">
        <v>-28238.68931019654</v>
      </c>
      <c r="AA27" s="243">
        <v>-27212.888868565999</v>
      </c>
      <c r="AB27" s="243">
        <v>-26209.469259187528</v>
      </c>
      <c r="AC27" s="244">
        <v>-25228.430482061125</v>
      </c>
      <c r="AE27" s="56" t="s">
        <v>72</v>
      </c>
      <c r="AF27" s="89">
        <f>( AF24 - AF25 ) / (AF26-1)</f>
        <v>0.125</v>
      </c>
      <c r="AH27" s="79" t="str">
        <f ca="1">_xlfn.FORMULATEXT(AF27)</f>
        <v>=( AF24 - AF25 ) / (AF26-1)</v>
      </c>
      <c r="AJ27">
        <v>5</v>
      </c>
      <c r="AK27">
        <v>5</v>
      </c>
      <c r="AL27">
        <v>10</v>
      </c>
      <c r="AM27">
        <v>15</v>
      </c>
    </row>
    <row r="28" spans="2:39" x14ac:dyDescent="0.25">
      <c r="T28" s="239">
        <f>T27 + $AF$27</f>
        <v>7.625</v>
      </c>
      <c r="U28" s="243">
        <v>-34237.485402584221</v>
      </c>
      <c r="V28" s="243">
        <v>-33089.194396921623</v>
      </c>
      <c r="W28" s="243">
        <v>-31963.284223511098</v>
      </c>
      <c r="X28" s="243">
        <v>-30859.754882352634</v>
      </c>
      <c r="Y28" s="243">
        <v>-29778.606373446248</v>
      </c>
      <c r="Z28" s="243">
        <v>-28719.838696791932</v>
      </c>
      <c r="AA28" s="243">
        <v>-27683.451852389691</v>
      </c>
      <c r="AB28" s="243">
        <v>-26669.44584023951</v>
      </c>
      <c r="AC28" s="244">
        <v>-25677.820660341404</v>
      </c>
      <c r="AE28" s="6"/>
      <c r="AF28" s="6"/>
      <c r="AH28" s="6"/>
      <c r="AJ28">
        <v>6</v>
      </c>
      <c r="AK28">
        <v>6</v>
      </c>
      <c r="AL28">
        <v>12</v>
      </c>
      <c r="AM28">
        <v>18</v>
      </c>
    </row>
    <row r="29" spans="2:39" x14ac:dyDescent="0.25">
      <c r="T29" s="239">
        <f>T28 + $AF$27</f>
        <v>7.75</v>
      </c>
      <c r="U29" s="243">
        <v>-34771.56680303812</v>
      </c>
      <c r="V29" s="243">
        <v>-33612.689394603818</v>
      </c>
      <c r="W29" s="243">
        <v>-32476.19281842159</v>
      </c>
      <c r="X29" s="243">
        <v>-31362.07707449143</v>
      </c>
      <c r="Y29" s="243">
        <v>-30270.34216281334</v>
      </c>
      <c r="Z29" s="243">
        <v>-29200.988083387314</v>
      </c>
      <c r="AA29" s="243">
        <v>-28154.014836213373</v>
      </c>
      <c r="AB29" s="243">
        <v>-27129.422421291489</v>
      </c>
      <c r="AC29" s="244">
        <v>-26127.210838621682</v>
      </c>
      <c r="AE29" s="52" t="s">
        <v>62</v>
      </c>
      <c r="AF29" s="79">
        <f>MAX(AC25:AC33)</f>
        <v>4.5</v>
      </c>
      <c r="AH29" s="79" t="str">
        <f ca="1">_xlfn.FORMULATEXT(AF29)</f>
        <v>=MAX(AC25:AC33)</v>
      </c>
    </row>
    <row r="30" spans="2:39" x14ac:dyDescent="0.25">
      <c r="T30" s="239">
        <f>T29 + $AF$27</f>
        <v>7.875</v>
      </c>
      <c r="U30" s="243">
        <v>-35305.648203492041</v>
      </c>
      <c r="V30" s="243">
        <v>-34136.184392286035</v>
      </c>
      <c r="W30" s="243">
        <v>-32989.101413332093</v>
      </c>
      <c r="X30" s="243">
        <v>-31864.399266630229</v>
      </c>
      <c r="Y30" s="243">
        <v>-30762.077952180432</v>
      </c>
      <c r="Z30" s="243">
        <v>-29682.137469982714</v>
      </c>
      <c r="AA30" s="243">
        <v>-28624.577820037059</v>
      </c>
      <c r="AB30" s="243">
        <v>-27589.399002343471</v>
      </c>
      <c r="AC30" s="244">
        <v>-26576.601016901965</v>
      </c>
      <c r="AE30" s="52" t="s">
        <v>78</v>
      </c>
      <c r="AF30" s="7">
        <f>INDEX( AB25:AB33, MATCH( AF29, AC25:AC33, 0 ) )</f>
        <v>4.375</v>
      </c>
      <c r="AH30" s="79" t="str">
        <f ca="1">_xlfn.FORMULATEXT(AF30)</f>
        <v>=INDEX( AB25:AB33, MATCH( AF29, AC25:AC33, 0 ) )</v>
      </c>
    </row>
    <row r="31" spans="2:39" x14ac:dyDescent="0.25">
      <c r="T31" s="239">
        <f>T30 + $AF$27</f>
        <v>8</v>
      </c>
      <c r="U31" s="243">
        <v>-35839.72960394594</v>
      </c>
      <c r="V31" s="243">
        <v>-34659.679389968223</v>
      </c>
      <c r="W31" s="243">
        <v>-33502.010008242592</v>
      </c>
      <c r="X31" s="243">
        <v>-32366.721458769021</v>
      </c>
      <c r="Y31" s="243">
        <v>-31253.813741547525</v>
      </c>
      <c r="Z31" s="243">
        <v>-30163.286856578092</v>
      </c>
      <c r="AA31" s="243">
        <v>-29095.140803860741</v>
      </c>
      <c r="AB31" s="243">
        <v>-28049.375583395453</v>
      </c>
      <c r="AC31" s="244">
        <v>-27025.991195182232</v>
      </c>
    </row>
    <row r="32" spans="2:39" x14ac:dyDescent="0.25">
      <c r="T32" s="239">
        <f>T31 + $AF$27</f>
        <v>8.125</v>
      </c>
      <c r="U32" s="243">
        <v>-36373.811004399839</v>
      </c>
      <c r="V32" s="243">
        <v>-35183.174387650433</v>
      </c>
      <c r="W32" s="243">
        <v>-34014.918603153084</v>
      </c>
      <c r="X32" s="243">
        <v>-32869.043650907806</v>
      </c>
      <c r="Y32" s="243">
        <v>-31745.549530914614</v>
      </c>
      <c r="Z32" s="243">
        <v>-30644.436243173481</v>
      </c>
      <c r="AA32" s="243">
        <v>-29565.703787684419</v>
      </c>
      <c r="AB32" s="243">
        <v>-28509.352164447431</v>
      </c>
      <c r="AC32" s="244">
        <v>-27475.381373462518</v>
      </c>
    </row>
    <row r="33" spans="20:34" x14ac:dyDescent="0.25">
      <c r="T33" s="239">
        <f>T32 + $AF$27</f>
        <v>8.25</v>
      </c>
      <c r="U33" s="243">
        <v>-36907.892404853759</v>
      </c>
      <c r="V33" s="243">
        <v>-35706.669385332636</v>
      </c>
      <c r="W33" s="243">
        <v>-34527.827198063591</v>
      </c>
      <c r="X33" s="243">
        <v>-33371.365843046624</v>
      </c>
      <c r="Y33" s="243">
        <v>-32237.28532028171</v>
      </c>
      <c r="Z33" s="243">
        <v>-31125.58562976887</v>
      </c>
      <c r="AA33" s="243">
        <v>-30036.266771508112</v>
      </c>
      <c r="AB33" s="243">
        <v>-28969.328745499424</v>
      </c>
      <c r="AC33" s="244">
        <v>-27924.771551742801</v>
      </c>
      <c r="AE33" s="8" t="s">
        <v>138</v>
      </c>
    </row>
    <row r="34" spans="20:34" x14ac:dyDescent="0.25">
      <c r="T34" s="239">
        <f>T33 + $AF$27</f>
        <v>8.375</v>
      </c>
      <c r="U34" s="243">
        <v>-37441.973805307665</v>
      </c>
      <c r="V34" s="243">
        <v>-36230.164383014839</v>
      </c>
      <c r="W34" s="243">
        <v>-35040.73579297409</v>
      </c>
      <c r="X34" s="243">
        <v>-33873.688035185412</v>
      </c>
      <c r="Y34" s="243">
        <v>-32729.021109648802</v>
      </c>
      <c r="Z34" s="243">
        <v>-31606.735016364262</v>
      </c>
      <c r="AA34" s="243">
        <v>-30506.829755331801</v>
      </c>
      <c r="AB34" s="243">
        <v>-29429.305326551399</v>
      </c>
      <c r="AC34" s="244">
        <v>-28374.161730023076</v>
      </c>
      <c r="AE34" s="56" t="s">
        <v>69</v>
      </c>
      <c r="AF34" s="89">
        <v>4.5</v>
      </c>
    </row>
    <row r="35" spans="20:34" ht="13.8" thickBot="1" x14ac:dyDescent="0.3">
      <c r="T35" s="240">
        <f>T34 + $AF$27</f>
        <v>8.5</v>
      </c>
      <c r="U35" s="245">
        <v>-37976.055205761564</v>
      </c>
      <c r="V35" s="245">
        <v>-36753.659380697041</v>
      </c>
      <c r="W35" s="245">
        <v>-35553.644387884597</v>
      </c>
      <c r="X35" s="245">
        <v>-34376.010227324208</v>
      </c>
      <c r="Y35" s="245">
        <v>-33220.756899015898</v>
      </c>
      <c r="Z35" s="245">
        <v>-32087.884402959651</v>
      </c>
      <c r="AA35" s="245">
        <v>-30977.392739155483</v>
      </c>
      <c r="AB35" s="245">
        <v>-29889.281907603385</v>
      </c>
      <c r="AC35" s="246">
        <v>-28823.551908303354</v>
      </c>
      <c r="AE35" s="56" t="s">
        <v>70</v>
      </c>
      <c r="AF35" s="89">
        <v>3.5</v>
      </c>
    </row>
    <row r="36" spans="20:34" x14ac:dyDescent="0.25">
      <c r="U36" s="96" t="s">
        <v>174</v>
      </c>
      <c r="V36" s="96" t="s">
        <v>175</v>
      </c>
      <c r="AE36" s="56" t="s">
        <v>71</v>
      </c>
      <c r="AF36" s="89">
        <v>9</v>
      </c>
    </row>
    <row r="37" spans="20:34" x14ac:dyDescent="0.25">
      <c r="U37" s="231" t="str">
        <f ca="1">_xlfn.FORMULATEXT(U26)</f>
        <v>=AF35</v>
      </c>
      <c r="V37" s="231" t="str">
        <f ca="1">_xlfn.FORMULATEXT(V26)</f>
        <v>=U26 + $AF$37</v>
      </c>
      <c r="AE37" s="56" t="s">
        <v>72</v>
      </c>
      <c r="AF37" s="89">
        <f>( AF34 - AF35 ) / (AF36-1)</f>
        <v>0.125</v>
      </c>
      <c r="AH37" s="79" t="str">
        <f ca="1">_xlfn.FORMULATEXT(AF37)</f>
        <v>=( AF34 - AF35 ) / (AF36-1)</v>
      </c>
    </row>
    <row r="38" spans="20:34" x14ac:dyDescent="0.25">
      <c r="T38" s="228" t="s">
        <v>178</v>
      </c>
      <c r="U38" s="230" t="s">
        <v>177</v>
      </c>
      <c r="V38" s="229"/>
      <c r="W38" s="229"/>
      <c r="X38" s="229"/>
      <c r="Y38" s="229"/>
      <c r="Z38" s="229"/>
      <c r="AA38" s="229"/>
      <c r="AB38" s="229"/>
      <c r="AC38" s="229"/>
      <c r="AE38" s="6"/>
      <c r="AF38" s="6"/>
      <c r="AH38" s="6"/>
    </row>
    <row r="39" spans="20:34" x14ac:dyDescent="0.25">
      <c r="T39" s="228" t="str">
        <f ca="1">_xlfn.FORMULATEXT(T27)</f>
        <v>=AF25</v>
      </c>
      <c r="U39" s="226" t="str">
        <f ca="1">_xlfn.FORMULATEXT(U27)</f>
        <v>{=TABLE(U25,V25)}</v>
      </c>
      <c r="V39" s="227"/>
      <c r="W39" s="227"/>
      <c r="X39" s="227"/>
      <c r="Y39" s="227"/>
      <c r="Z39" s="227"/>
      <c r="AA39" s="227"/>
      <c r="AB39" s="227"/>
      <c r="AC39" s="225"/>
      <c r="AE39" s="52" t="s">
        <v>62</v>
      </c>
      <c r="AF39" s="79">
        <f>MAX(AC35:AC42)</f>
        <v>-28823.551908303354</v>
      </c>
      <c r="AH39" s="79" t="str">
        <f ca="1">_xlfn.FORMULATEXT(AF39)</f>
        <v>=MAX(AC35:AC42)</v>
      </c>
    </row>
    <row r="40" spans="20:34" x14ac:dyDescent="0.25">
      <c r="T40" s="228" t="s">
        <v>179</v>
      </c>
      <c r="U40" s="229"/>
      <c r="V40" s="229"/>
      <c r="W40" s="229"/>
      <c r="X40" s="229"/>
      <c r="Y40" s="229"/>
      <c r="Z40" s="229"/>
      <c r="AA40" s="229"/>
      <c r="AB40" s="229"/>
      <c r="AC40" s="229"/>
      <c r="AE40" s="52" t="s">
        <v>78</v>
      </c>
      <c r="AF40" s="7">
        <f>INDEX( AB35:AB42, MATCH( AF39, AC35:AC42, 0 ) )</f>
        <v>-29889.281907603385</v>
      </c>
      <c r="AH40" s="79" t="str">
        <f ca="1">_xlfn.FORMULATEXT(AF40)</f>
        <v>=INDEX( AB35:AB42, MATCH( AF39, AC35:AC42, 0 ) )</v>
      </c>
    </row>
    <row r="41" spans="20:34" x14ac:dyDescent="0.25">
      <c r="T41" s="228" t="str">
        <f ca="1">_xlfn.FORMULATEXT(T28)</f>
        <v>=T27 + $AF$27</v>
      </c>
      <c r="U41" s="229"/>
      <c r="V41" s="229"/>
      <c r="W41" s="229"/>
      <c r="X41" s="229"/>
      <c r="Y41" s="229"/>
      <c r="Z41" s="229"/>
      <c r="AA41" s="229"/>
      <c r="AB41" s="229"/>
      <c r="AC41" s="229"/>
    </row>
    <row r="43" spans="20:34" ht="13.8" thickBot="1" x14ac:dyDescent="0.3">
      <c r="T43" s="8" t="s">
        <v>182</v>
      </c>
    </row>
    <row r="44" spans="20:34" ht="13.8" thickBot="1" x14ac:dyDescent="0.3">
      <c r="T44" s="254">
        <v>9</v>
      </c>
      <c r="U44" s="252">
        <f>AF56</f>
        <v>3.5</v>
      </c>
      <c r="V44" s="237">
        <f>U44 + $AF$58</f>
        <v>3.625</v>
      </c>
      <c r="W44" s="237">
        <f t="shared" ref="W44:AC44" si="0">V44 + $AF$58</f>
        <v>3.75</v>
      </c>
      <c r="X44" s="237">
        <f t="shared" si="0"/>
        <v>3.875</v>
      </c>
      <c r="Y44" s="258">
        <f t="shared" si="0"/>
        <v>4</v>
      </c>
      <c r="Z44" s="237">
        <f t="shared" si="0"/>
        <v>4.125</v>
      </c>
      <c r="AA44" s="237">
        <f t="shared" si="0"/>
        <v>4.25</v>
      </c>
      <c r="AB44" s="237">
        <f t="shared" si="0"/>
        <v>4.375</v>
      </c>
      <c r="AC44" s="238">
        <f t="shared" si="0"/>
        <v>4.5</v>
      </c>
      <c r="AE44" s="8" t="s">
        <v>180</v>
      </c>
    </row>
    <row r="45" spans="20:34" x14ac:dyDescent="0.25">
      <c r="T45" s="253">
        <f>AF46</f>
        <v>6</v>
      </c>
      <c r="U45" s="247">
        <f>1/(U$44*SQRT(2*PI())*EXP(0.5*(($T$44-$T45)/U$44)^2))</f>
        <v>7.894148158128593E-2</v>
      </c>
      <c r="V45" s="247">
        <f t="shared" ref="V45:AC53" si="1">1/(V$44*SQRT(2*PI())*EXP(0.5*(($T$44-$T45)/V$44)^2))</f>
        <v>7.8140851958906243E-2</v>
      </c>
      <c r="W45" s="247">
        <f t="shared" si="1"/>
        <v>7.7251080736395403E-2</v>
      </c>
      <c r="X45" s="247">
        <f t="shared" si="1"/>
        <v>7.6293157684638305E-2</v>
      </c>
      <c r="Y45" s="256">
        <f t="shared" si="1"/>
        <v>7.5284358038701121E-2</v>
      </c>
      <c r="Z45" s="247">
        <f t="shared" si="1"/>
        <v>7.4238873609236422E-2</v>
      </c>
      <c r="AA45" s="247">
        <f t="shared" si="1"/>
        <v>7.3168340073109919E-2</v>
      </c>
      <c r="AB45" s="247">
        <f t="shared" si="1"/>
        <v>7.2082275734978912E-2</v>
      </c>
      <c r="AC45" s="249">
        <f t="shared" si="1"/>
        <v>7.0988445671633829E-2</v>
      </c>
      <c r="AE45" s="56" t="s">
        <v>69</v>
      </c>
      <c r="AF45" s="89">
        <v>10</v>
      </c>
    </row>
    <row r="46" spans="20:34" x14ac:dyDescent="0.25">
      <c r="T46" s="239">
        <f>T45 + $AF$48</f>
        <v>6.5</v>
      </c>
      <c r="U46" s="247">
        <f t="shared" ref="U46:AC53" si="2">1/(U$44*SQRT(2*PI())*EXP(0.5*(($T$44-$T46)/U$44)^2))</f>
        <v>8.8318688805447562E-2</v>
      </c>
      <c r="V46" s="247">
        <f t="shared" si="1"/>
        <v>8.6760402835736217E-2</v>
      </c>
      <c r="W46" s="247">
        <f t="shared" si="1"/>
        <v>8.5186134805960587E-2</v>
      </c>
      <c r="X46" s="247">
        <f t="shared" si="1"/>
        <v>8.3609281587910464E-2</v>
      </c>
      <c r="Y46" s="256">
        <f t="shared" si="1"/>
        <v>8.2040242137593783E-2</v>
      </c>
      <c r="Z46" s="247">
        <f t="shared" si="1"/>
        <v>8.0487025448486876E-2</v>
      </c>
      <c r="AA46" s="247">
        <f t="shared" si="1"/>
        <v>7.8955735256045892E-2</v>
      </c>
      <c r="AB46" s="247">
        <f t="shared" si="1"/>
        <v>7.7450956744408592E-2</v>
      </c>
      <c r="AC46" s="249">
        <f t="shared" si="1"/>
        <v>7.5976065370250923E-2</v>
      </c>
      <c r="AE46" s="56" t="s">
        <v>70</v>
      </c>
      <c r="AF46" s="89">
        <v>6</v>
      </c>
    </row>
    <row r="47" spans="20:34" x14ac:dyDescent="0.25">
      <c r="T47" s="239">
        <f t="shared" ref="T47:T53" si="3">T46 + $AF$48</f>
        <v>7</v>
      </c>
      <c r="U47" s="247">
        <f t="shared" si="2"/>
        <v>9.6813695930510757E-2</v>
      </c>
      <c r="V47" s="247">
        <f t="shared" si="1"/>
        <v>9.4515391597327622E-2</v>
      </c>
      <c r="W47" s="247">
        <f t="shared" si="1"/>
        <v>9.2281038180512767E-2</v>
      </c>
      <c r="X47" s="247">
        <f t="shared" si="1"/>
        <v>9.0114086378891095E-2</v>
      </c>
      <c r="Y47" s="256">
        <f t="shared" si="1"/>
        <v>8.8016331691074881E-2</v>
      </c>
      <c r="Z47" s="247">
        <f t="shared" si="1"/>
        <v>8.5988339457818905E-2</v>
      </c>
      <c r="AA47" s="247">
        <f t="shared" si="1"/>
        <v>8.4029768186960105E-2</v>
      </c>
      <c r="AB47" s="247">
        <f t="shared" si="1"/>
        <v>8.2139615710642669E-2</v>
      </c>
      <c r="AC47" s="249">
        <f t="shared" si="1"/>
        <v>8.0316406640609669E-2</v>
      </c>
      <c r="AE47" s="56" t="s">
        <v>71</v>
      </c>
      <c r="AF47" s="89">
        <v>9</v>
      </c>
    </row>
    <row r="48" spans="20:34" x14ac:dyDescent="0.25">
      <c r="T48" s="239">
        <f t="shared" si="3"/>
        <v>7.5</v>
      </c>
      <c r="U48" s="247">
        <f t="shared" si="2"/>
        <v>0.10398192049013819</v>
      </c>
      <c r="V48" s="247">
        <f t="shared" si="1"/>
        <v>0.1010231896760639</v>
      </c>
      <c r="W48" s="247">
        <f t="shared" si="1"/>
        <v>9.8205370747552881E-2</v>
      </c>
      <c r="X48" s="247">
        <f t="shared" si="1"/>
        <v>9.5521287334803501E-2</v>
      </c>
      <c r="Y48" s="256">
        <f t="shared" si="1"/>
        <v>9.2963773467442237E-2</v>
      </c>
      <c r="Z48" s="247">
        <f t="shared" si="1"/>
        <v>9.0525811819146401E-2</v>
      </c>
      <c r="AA48" s="247">
        <f t="shared" si="1"/>
        <v>8.820062294152782E-2</v>
      </c>
      <c r="AB48" s="247">
        <f t="shared" si="1"/>
        <v>8.598172002093786E-2</v>
      </c>
      <c r="AC48" s="249">
        <f t="shared" si="1"/>
        <v>8.3862939487331811E-2</v>
      </c>
      <c r="AE48" s="56" t="s">
        <v>72</v>
      </c>
      <c r="AF48" s="89">
        <f>( AF45 - AF46 ) / (AF47-1)</f>
        <v>0.5</v>
      </c>
      <c r="AH48" s="79" t="str">
        <f ca="1">_xlfn.FORMULATEXT(AF48)</f>
        <v>=( AF45 - AF46 ) / (AF47-1)</v>
      </c>
    </row>
    <row r="49" spans="20:34" x14ac:dyDescent="0.25">
      <c r="T49" s="255">
        <f t="shared" si="3"/>
        <v>8</v>
      </c>
      <c r="U49" s="256">
        <f t="shared" si="2"/>
        <v>0.10942478855548922</v>
      </c>
      <c r="V49" s="256">
        <f t="shared" si="1"/>
        <v>0.10594419751149804</v>
      </c>
      <c r="W49" s="256">
        <f t="shared" si="1"/>
        <v>0.10266849989227039</v>
      </c>
      <c r="X49" s="256">
        <f t="shared" si="1"/>
        <v>9.9581104797998171E-2</v>
      </c>
      <c r="Y49" s="260">
        <f t="shared" si="1"/>
        <v>9.6667029200712309E-2</v>
      </c>
      <c r="Z49" s="256">
        <f t="shared" si="1"/>
        <v>9.3912732117995917E-2</v>
      </c>
      <c r="AA49" s="256">
        <f t="shared" si="1"/>
        <v>9.1305963394038792E-2</v>
      </c>
      <c r="AB49" s="256">
        <f t="shared" si="1"/>
        <v>8.8835627221769548E-2</v>
      </c>
      <c r="AC49" s="257">
        <f t="shared" si="1"/>
        <v>8.6491659815943631E-2</v>
      </c>
      <c r="AE49" s="6"/>
      <c r="AF49" s="6"/>
      <c r="AH49" s="6"/>
    </row>
    <row r="50" spans="20:34" x14ac:dyDescent="0.25">
      <c r="T50" s="239">
        <f t="shared" si="3"/>
        <v>8.5</v>
      </c>
      <c r="U50" s="247">
        <f t="shared" si="2"/>
        <v>0.1128263256943603</v>
      </c>
      <c r="V50" s="247">
        <f t="shared" si="1"/>
        <v>0.1090111283894781</v>
      </c>
      <c r="W50" s="247">
        <f t="shared" si="1"/>
        <v>0.10544315756955139</v>
      </c>
      <c r="X50" s="247">
        <f t="shared" si="1"/>
        <v>0.1020993563627017</v>
      </c>
      <c r="Y50" s="256">
        <f t="shared" si="1"/>
        <v>9.8959421736187381E-2</v>
      </c>
      <c r="Z50" s="247">
        <f t="shared" si="1"/>
        <v>9.6005409306820069E-2</v>
      </c>
      <c r="AA50" s="247">
        <f t="shared" si="1"/>
        <v>9.3221403593496108E-2</v>
      </c>
      <c r="AB50" s="247">
        <f t="shared" si="1"/>
        <v>9.0593241553160314E-2</v>
      </c>
      <c r="AC50" s="249">
        <f t="shared" si="1"/>
        <v>8.8108279723352875E-2</v>
      </c>
      <c r="AE50" s="52" t="s">
        <v>62</v>
      </c>
      <c r="AF50" s="79">
        <f>MAX(AC46:AC54)</f>
        <v>8.8653840089207264E-2</v>
      </c>
      <c r="AH50" s="79" t="str">
        <f ca="1">_xlfn.FORMULATEXT(AF50)</f>
        <v>=MAX(AC46:AC54)</v>
      </c>
    </row>
    <row r="51" spans="20:34" x14ac:dyDescent="0.25">
      <c r="T51" s="239">
        <f t="shared" si="3"/>
        <v>9</v>
      </c>
      <c r="U51" s="247">
        <f t="shared" si="2"/>
        <v>0.11398350868612364</v>
      </c>
      <c r="V51" s="247">
        <f t="shared" si="1"/>
        <v>0.11005304286936074</v>
      </c>
      <c r="W51" s="247">
        <f t="shared" si="1"/>
        <v>0.10638460810704872</v>
      </c>
      <c r="X51" s="247">
        <f t="shared" si="1"/>
        <v>0.10295284655520844</v>
      </c>
      <c r="Y51" s="256">
        <f t="shared" si="1"/>
        <v>9.9735570100358176E-2</v>
      </c>
      <c r="Z51" s="247">
        <f t="shared" si="1"/>
        <v>9.6713280097317028E-2</v>
      </c>
      <c r="AA51" s="247">
        <f t="shared" si="1"/>
        <v>9.3868771859160649E-2</v>
      </c>
      <c r="AB51" s="247">
        <f t="shared" si="1"/>
        <v>9.1186806948898913E-2</v>
      </c>
      <c r="AC51" s="249">
        <f t="shared" si="1"/>
        <v>8.8653840089207264E-2</v>
      </c>
      <c r="AE51" s="52" t="s">
        <v>78</v>
      </c>
      <c r="AF51" s="7">
        <f>INDEX( AB46:AB54, MATCH( AF50, AC46:AC54, 0 ) )</f>
        <v>9.1186806948898913E-2</v>
      </c>
      <c r="AH51" s="79" t="str">
        <f ca="1">_xlfn.FORMULATEXT(AF51)</f>
        <v>=INDEX( AB46:AB54, MATCH( AF50, AC46:AC54, 0 ) )</v>
      </c>
    </row>
    <row r="52" spans="20:34" x14ac:dyDescent="0.25">
      <c r="T52" s="239">
        <f t="shared" si="3"/>
        <v>9.5</v>
      </c>
      <c r="U52" s="247">
        <f t="shared" si="2"/>
        <v>0.1128263256943603</v>
      </c>
      <c r="V52" s="247">
        <f t="shared" si="1"/>
        <v>0.1090111283894781</v>
      </c>
      <c r="W52" s="247">
        <f t="shared" si="1"/>
        <v>0.10544315756955139</v>
      </c>
      <c r="X52" s="247">
        <f t="shared" si="1"/>
        <v>0.1020993563627017</v>
      </c>
      <c r="Y52" s="256">
        <f t="shared" si="1"/>
        <v>9.8959421736187381E-2</v>
      </c>
      <c r="Z52" s="247">
        <f t="shared" si="1"/>
        <v>9.6005409306820069E-2</v>
      </c>
      <c r="AA52" s="247">
        <f t="shared" si="1"/>
        <v>9.3221403593496108E-2</v>
      </c>
      <c r="AB52" s="247">
        <f t="shared" si="1"/>
        <v>9.0593241553160314E-2</v>
      </c>
      <c r="AC52" s="249">
        <f t="shared" si="1"/>
        <v>8.8108279723352875E-2</v>
      </c>
    </row>
    <row r="53" spans="20:34" ht="13.8" thickBot="1" x14ac:dyDescent="0.3">
      <c r="T53" s="240">
        <f t="shared" si="3"/>
        <v>10</v>
      </c>
      <c r="U53" s="250">
        <f t="shared" si="2"/>
        <v>0.10942478855548922</v>
      </c>
      <c r="V53" s="250">
        <f t="shared" si="1"/>
        <v>0.10594419751149804</v>
      </c>
      <c r="W53" s="250">
        <f t="shared" si="1"/>
        <v>0.10266849989227039</v>
      </c>
      <c r="X53" s="250">
        <f t="shared" si="1"/>
        <v>9.9581104797998171E-2</v>
      </c>
      <c r="Y53" s="259">
        <f t="shared" si="1"/>
        <v>9.6667029200712309E-2</v>
      </c>
      <c r="Z53" s="250">
        <f t="shared" si="1"/>
        <v>9.3912732117995917E-2</v>
      </c>
      <c r="AA53" s="250">
        <f t="shared" si="1"/>
        <v>9.1305963394038792E-2</v>
      </c>
      <c r="AB53" s="250">
        <f t="shared" si="1"/>
        <v>8.8835627221769548E-2</v>
      </c>
      <c r="AC53" s="251">
        <f t="shared" si="1"/>
        <v>8.6491659815943631E-2</v>
      </c>
    </row>
    <row r="54" spans="20:34" x14ac:dyDescent="0.25">
      <c r="U54" s="248" t="s">
        <v>174</v>
      </c>
      <c r="V54" s="248" t="s">
        <v>175</v>
      </c>
      <c r="AE54" s="8" t="s">
        <v>181</v>
      </c>
    </row>
    <row r="55" spans="20:34" x14ac:dyDescent="0.25">
      <c r="U55" s="231" t="str">
        <f ca="1">_xlfn.FORMULATEXT(U44)</f>
        <v>=AF56</v>
      </c>
      <c r="V55" s="231" t="str">
        <f ca="1">_xlfn.FORMULATEXT(V44)</f>
        <v>=U44 + $AF$58</v>
      </c>
      <c r="AE55" s="56" t="s">
        <v>69</v>
      </c>
      <c r="AF55" s="89">
        <v>4.5</v>
      </c>
    </row>
    <row r="56" spans="20:34" x14ac:dyDescent="0.25">
      <c r="T56" s="228" t="s">
        <v>178</v>
      </c>
      <c r="U56" s="230" t="s">
        <v>177</v>
      </c>
      <c r="V56" s="229"/>
      <c r="W56" s="229"/>
      <c r="X56" s="229"/>
      <c r="Y56" s="229"/>
      <c r="Z56" s="229"/>
      <c r="AA56" s="229"/>
      <c r="AB56" s="229"/>
      <c r="AC56" s="229"/>
      <c r="AE56" s="56" t="s">
        <v>70</v>
      </c>
      <c r="AF56" s="89">
        <v>3.5</v>
      </c>
    </row>
    <row r="57" spans="20:34" x14ac:dyDescent="0.25">
      <c r="T57" s="228" t="str">
        <f ca="1">_xlfn.FORMULATEXT(T45)</f>
        <v>=AF46</v>
      </c>
      <c r="U57" s="226" t="str">
        <f ca="1">_xlfn.FORMULATEXT(U45)</f>
        <v>=1/(U$44*SQRT(2*PI())*EXP(0.5*(($T$44-$T45)/U$44)^2))</v>
      </c>
      <c r="V57" s="227"/>
      <c r="W57" s="227"/>
      <c r="X57" s="227"/>
      <c r="Y57" s="227"/>
      <c r="Z57" s="227"/>
      <c r="AA57" s="227"/>
      <c r="AB57" s="227"/>
      <c r="AC57" s="225"/>
      <c r="AE57" s="56" t="s">
        <v>71</v>
      </c>
      <c r="AF57" s="89">
        <v>9</v>
      </c>
    </row>
    <row r="58" spans="20:34" x14ac:dyDescent="0.25">
      <c r="T58" s="228" t="s">
        <v>179</v>
      </c>
      <c r="U58" s="229"/>
      <c r="V58" s="229"/>
      <c r="W58" s="229"/>
      <c r="X58" s="229"/>
      <c r="Y58" s="229"/>
      <c r="Z58" s="229"/>
      <c r="AA58" s="229"/>
      <c r="AB58" s="229"/>
      <c r="AC58" s="229"/>
      <c r="AE58" s="56" t="s">
        <v>72</v>
      </c>
      <c r="AF58" s="89">
        <f>( AF55 - AF56 ) / (AF57-1)</f>
        <v>0.125</v>
      </c>
      <c r="AH58" s="79" t="str">
        <f ca="1">_xlfn.FORMULATEXT(AF58)</f>
        <v>=( AF55 - AF56 ) / (AF57-1)</v>
      </c>
    </row>
    <row r="59" spans="20:34" x14ac:dyDescent="0.25">
      <c r="T59" s="228" t="str">
        <f ca="1">_xlfn.FORMULATEXT(T46)</f>
        <v>=T45 + $AF$48</v>
      </c>
      <c r="U59" s="229"/>
      <c r="V59" s="229"/>
      <c r="W59" s="229"/>
      <c r="X59" s="229"/>
      <c r="Y59" s="229"/>
      <c r="Z59" s="229"/>
      <c r="AA59" s="229"/>
      <c r="AB59" s="229"/>
      <c r="AC59" s="229"/>
      <c r="AE59" s="6"/>
      <c r="AF59" s="6"/>
      <c r="AH59" s="6"/>
    </row>
    <row r="60" spans="20:34" x14ac:dyDescent="0.25">
      <c r="AE60" s="52" t="s">
        <v>62</v>
      </c>
      <c r="AF60" s="79">
        <f>MAX(AC56:AC63)</f>
        <v>0</v>
      </c>
      <c r="AH60" s="79" t="str">
        <f ca="1">_xlfn.FORMULATEXT(AF60)</f>
        <v>=MAX(AC56:AC63)</v>
      </c>
    </row>
    <row r="61" spans="20:34" x14ac:dyDescent="0.25">
      <c r="AE61" s="52" t="s">
        <v>78</v>
      </c>
      <c r="AF61" s="7" t="e">
        <f>INDEX( AB56:AB63, MATCH( AF60, AC56:AC63, 0 ) )</f>
        <v>#N/A</v>
      </c>
      <c r="AH61" s="79" t="str">
        <f ca="1">_xlfn.FORMULATEXT(AF61)</f>
        <v>=INDEX( AB56:AB63, MATCH( AF60, AC56:AC63, 0 ) )</v>
      </c>
    </row>
  </sheetData>
  <mergeCells count="5">
    <mergeCell ref="U6:AC6"/>
    <mergeCell ref="S8:S16"/>
    <mergeCell ref="U20:AC20"/>
    <mergeCell ref="U39:AC39"/>
    <mergeCell ref="U57:AC57"/>
  </mergeCells>
  <conditionalFormatting sqref="U8:AC16 U18">
    <cfRule type="colorScale" priority="6">
      <colorScale>
        <cfvo type="min"/>
        <cfvo type="percentile" val="50"/>
        <cfvo type="max"/>
        <color rgb="FFF8696B"/>
        <color rgb="FFFFEB84"/>
        <color rgb="FF63BE7B"/>
      </colorScale>
    </cfRule>
  </conditionalFormatting>
  <conditionalFormatting sqref="V18">
    <cfRule type="colorScale" priority="5">
      <colorScale>
        <cfvo type="min"/>
        <cfvo type="percentile" val="50"/>
        <cfvo type="max"/>
        <color rgb="FFF8696B"/>
        <color rgb="FFFFEB84"/>
        <color rgb="FF63BE7B"/>
      </colorScale>
    </cfRule>
  </conditionalFormatting>
  <conditionalFormatting sqref="U37">
    <cfRule type="colorScale" priority="4">
      <colorScale>
        <cfvo type="min"/>
        <cfvo type="percentile" val="50"/>
        <cfvo type="max"/>
        <color rgb="FFF8696B"/>
        <color rgb="FFFFEB84"/>
        <color rgb="FF63BE7B"/>
      </colorScale>
    </cfRule>
  </conditionalFormatting>
  <conditionalFormatting sqref="V37">
    <cfRule type="colorScale" priority="3">
      <colorScale>
        <cfvo type="min"/>
        <cfvo type="percentile" val="50"/>
        <cfvo type="max"/>
        <color rgb="FFF8696B"/>
        <color rgb="FFFFEB84"/>
        <color rgb="FF63BE7B"/>
      </colorScale>
    </cfRule>
  </conditionalFormatting>
  <conditionalFormatting sqref="U55">
    <cfRule type="colorScale" priority="2">
      <colorScale>
        <cfvo type="min"/>
        <cfvo type="percentile" val="50"/>
        <cfvo type="max"/>
        <color rgb="FFF8696B"/>
        <color rgb="FFFFEB84"/>
        <color rgb="FF63BE7B"/>
      </colorScale>
    </cfRule>
  </conditionalFormatting>
  <conditionalFormatting sqref="V55">
    <cfRule type="colorScale" priority="1">
      <colorScale>
        <cfvo type="min"/>
        <cfvo type="percentile" val="50"/>
        <cfvo type="max"/>
        <color rgb="FFF8696B"/>
        <color rgb="FFFFEB84"/>
        <color rgb="FF63BE7B"/>
      </colorScale>
    </cfRule>
  </conditionalFormatting>
  <printOptions headings="1" gridLines="1"/>
  <pageMargins left="0.75" right="0.75" top="1" bottom="1" header="0.5" footer="0.5"/>
  <pageSetup orientation="landscape" r:id="rId1"/>
  <headerFooter alignWithMargins="0">
    <oddHeader>&amp;F</oddHeader>
    <oddFooter>&amp;A&amp;RPage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49980-8807-4539-A540-89D4241FDE4E}">
  <sheetPr codeName="Sheet13"/>
  <dimension ref="A1:D22"/>
  <sheetViews>
    <sheetView showGridLines="0" zoomScaleNormal="100" workbookViewId="0">
      <selection activeCell="B4" sqref="B4"/>
    </sheetView>
  </sheetViews>
  <sheetFormatPr defaultColWidth="9.109375" defaultRowHeight="13.2" x14ac:dyDescent="0.25"/>
  <cols>
    <col min="1" max="1" width="50.88671875" style="10" customWidth="1"/>
    <col min="2" max="2" width="12.5546875" style="10" customWidth="1"/>
    <col min="3" max="3" width="19" style="10" customWidth="1"/>
    <col min="4" max="4" width="32.5546875" style="10" customWidth="1"/>
    <col min="5" max="16384" width="9.109375" style="10"/>
  </cols>
  <sheetData>
    <row r="1" spans="1:4" ht="17.399999999999999" x14ac:dyDescent="0.3">
      <c r="A1" s="2" t="s">
        <v>132</v>
      </c>
      <c r="B1" s="9"/>
      <c r="C1" s="9"/>
    </row>
    <row r="2" spans="1:4" x14ac:dyDescent="0.25">
      <c r="A2" s="11" t="s">
        <v>0</v>
      </c>
    </row>
    <row r="3" spans="1:4" x14ac:dyDescent="0.25">
      <c r="A3" s="14" t="s">
        <v>1</v>
      </c>
      <c r="B3" s="123">
        <v>9.2714179026679631</v>
      </c>
      <c r="D3" s="101" t="e">
        <f ca="1">_xlfn.FORMULATEXT(B3)</f>
        <v>#N/A</v>
      </c>
    </row>
    <row r="4" spans="1:4" x14ac:dyDescent="0.25">
      <c r="B4" s="13"/>
      <c r="C4" s="10">
        <v>-335544.32000000001</v>
      </c>
    </row>
    <row r="5" spans="1:4" x14ac:dyDescent="0.25">
      <c r="A5" s="11" t="s">
        <v>2</v>
      </c>
      <c r="B5" s="14"/>
    </row>
    <row r="6" spans="1:4" x14ac:dyDescent="0.25">
      <c r="A6" s="48" t="s">
        <v>77</v>
      </c>
      <c r="B6" s="124">
        <f>settings!K3</f>
        <v>3.5</v>
      </c>
      <c r="D6" s="101" t="str">
        <f t="shared" ref="D6:D8" ca="1" si="0">_xlfn.FORMULATEXT(B6)</f>
        <v>=settings!K3</v>
      </c>
    </row>
    <row r="7" spans="1:4" x14ac:dyDescent="0.25">
      <c r="A7" s="15" t="s">
        <v>4</v>
      </c>
      <c r="B7" s="124">
        <f>settings!K4</f>
        <v>0.26</v>
      </c>
      <c r="D7" s="101" t="str">
        <f t="shared" ca="1" si="0"/>
        <v>=settings!K4</v>
      </c>
    </row>
    <row r="8" spans="1:4" x14ac:dyDescent="0.25">
      <c r="A8" s="15" t="s">
        <v>5</v>
      </c>
      <c r="B8" s="124">
        <f>settings!K5</f>
        <v>13020</v>
      </c>
      <c r="D8" s="101" t="str">
        <f t="shared" ca="1" si="0"/>
        <v>=settings!K5</v>
      </c>
    </row>
    <row r="9" spans="1:4" x14ac:dyDescent="0.25">
      <c r="A9" s="15"/>
      <c r="B9" s="16"/>
    </row>
    <row r="10" spans="1:4" x14ac:dyDescent="0.25">
      <c r="A10" s="1" t="s">
        <v>45</v>
      </c>
    </row>
    <row r="11" spans="1:4" x14ac:dyDescent="0.25">
      <c r="A11" s="48" t="s">
        <v>56</v>
      </c>
      <c r="B11" s="129">
        <f>B12+B13*B3</f>
        <v>3278.6194379941662</v>
      </c>
      <c r="C11" s="99" t="s">
        <v>95</v>
      </c>
      <c r="D11" s="101" t="str">
        <f ca="1">_xlfn.FORMULATEXT(B11)</f>
        <v>=B12+B13*B3</v>
      </c>
    </row>
    <row r="12" spans="1:4" x14ac:dyDescent="0.25">
      <c r="A12" s="49" t="s">
        <v>32</v>
      </c>
      <c r="B12" s="115">
        <f>a_0</f>
        <v>45000</v>
      </c>
      <c r="D12" s="101" t="str">
        <f ca="1">_xlfn.FORMULATEXT(B12)</f>
        <v>=a_0</v>
      </c>
    </row>
    <row r="13" spans="1:4" x14ac:dyDescent="0.25">
      <c r="A13" s="49" t="s">
        <v>33</v>
      </c>
      <c r="B13" s="115">
        <f>a_1</f>
        <v>-4500</v>
      </c>
      <c r="D13" s="101" t="str">
        <f ca="1">_xlfn.FORMULATEXT(B13)</f>
        <v>=a_1</v>
      </c>
    </row>
    <row r="14" spans="1:4" x14ac:dyDescent="0.25">
      <c r="A14" s="48" t="s">
        <v>46</v>
      </c>
      <c r="B14" s="125">
        <f>B15*(B11/1000)^2+B16*(B11/1000)</f>
        <v>5.0170556709442042</v>
      </c>
      <c r="D14" s="101" t="str">
        <f ca="1">_xlfn.FORMULATEXT(B14)</f>
        <v>=B15*(B11/1000)^2+B16*(B11/1000)</v>
      </c>
    </row>
    <row r="15" spans="1:4" x14ac:dyDescent="0.25">
      <c r="A15" s="49" t="s">
        <v>34</v>
      </c>
      <c r="B15" s="115">
        <f>cost!K4</f>
        <v>4.1175804210560323E-2</v>
      </c>
      <c r="C15" s="51" t="s">
        <v>52</v>
      </c>
      <c r="D15" s="101" t="str">
        <f t="shared" ref="D15:D22" ca="1" si="1">_xlfn.FORMULATEXT(B15)</f>
        <v>=cost!K4</v>
      </c>
    </row>
    <row r="16" spans="1:4" x14ac:dyDescent="0.25">
      <c r="A16" s="49" t="s">
        <v>35</v>
      </c>
      <c r="B16" s="115">
        <f>cost!L4</f>
        <v>1.3952344317736463</v>
      </c>
      <c r="C16" s="100" t="s">
        <v>53</v>
      </c>
      <c r="D16" s="101" t="str">
        <f t="shared" ca="1" si="1"/>
        <v>=cost!L4</v>
      </c>
    </row>
    <row r="17" spans="1:4" x14ac:dyDescent="0.25">
      <c r="A17" s="20" t="s">
        <v>6</v>
      </c>
      <c r="B17" s="128">
        <f>B11*B3</f>
        <v>30397.450953454289</v>
      </c>
      <c r="D17" s="101" t="str">
        <f t="shared" ca="1" si="1"/>
        <v>=B11*B3</v>
      </c>
    </row>
    <row r="18" spans="1:4" x14ac:dyDescent="0.25">
      <c r="A18" s="15" t="s">
        <v>7</v>
      </c>
      <c r="B18" s="125">
        <f>B11*(B6+B7)</f>
        <v>12327.609086858065</v>
      </c>
      <c r="D18" s="101" t="str">
        <f t="shared" ca="1" si="1"/>
        <v>=B11*(B6+B7)</v>
      </c>
    </row>
    <row r="19" spans="1:4" x14ac:dyDescent="0.25">
      <c r="A19" s="15" t="s">
        <v>10</v>
      </c>
      <c r="B19" s="124">
        <f>B14*1000</f>
        <v>5017.0556709442044</v>
      </c>
      <c r="D19" s="101" t="str">
        <f t="shared" ca="1" si="1"/>
        <v>=B14*1000</v>
      </c>
    </row>
    <row r="20" spans="1:4" x14ac:dyDescent="0.25">
      <c r="A20" s="15" t="s">
        <v>5</v>
      </c>
      <c r="B20" s="125">
        <f>B8</f>
        <v>13020</v>
      </c>
      <c r="D20" s="101" t="str">
        <f t="shared" ca="1" si="1"/>
        <v>=B8</v>
      </c>
    </row>
    <row r="21" spans="1:4" x14ac:dyDescent="0.25">
      <c r="A21" s="20" t="s">
        <v>8</v>
      </c>
      <c r="B21" s="126">
        <f>SUM(B18:B20)</f>
        <v>30364.664757802268</v>
      </c>
      <c r="D21" s="101" t="str">
        <f t="shared" ca="1" si="1"/>
        <v>=SUM(B18:B20)</v>
      </c>
    </row>
    <row r="22" spans="1:4" x14ac:dyDescent="0.25">
      <c r="A22" s="98" t="s">
        <v>9</v>
      </c>
      <c r="B22" s="127">
        <f>B17-B21</f>
        <v>32.786195652020979</v>
      </c>
      <c r="D22" s="101" t="str">
        <f t="shared" ca="1" si="1"/>
        <v>=B17-B21</v>
      </c>
    </row>
  </sheetData>
  <pageMargins left="0.75" right="0.75" top="1" bottom="1" header="0.5" footer="0.5"/>
  <pageSetup orientation="landscape" horizontalDpi="300" verticalDpi="300" r:id="rId1"/>
  <headerFooter alignWithMargins="0">
    <oddFooter>&amp;A&amp;RPage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F3F4F-004A-42DA-B99F-DC9F46DD3DA7}">
  <sheetPr codeName="Sheet12"/>
  <dimension ref="A1:K30"/>
  <sheetViews>
    <sheetView showGridLines="0" topLeftCell="C1" zoomScaleNormal="100" workbookViewId="0">
      <selection activeCell="H17" sqref="H17"/>
    </sheetView>
  </sheetViews>
  <sheetFormatPr defaultColWidth="9.109375" defaultRowHeight="13.2" x14ac:dyDescent="0.25"/>
  <cols>
    <col min="1" max="1" width="6.77734375" style="10" customWidth="1"/>
    <col min="2" max="2" width="21.5546875" style="10" customWidth="1"/>
    <col min="3" max="3" width="34" style="10" customWidth="1"/>
    <col min="4" max="4" width="17.109375" style="10" customWidth="1"/>
    <col min="5" max="5" width="17" style="10" customWidth="1"/>
    <col min="6" max="6" width="18.5546875" style="10" customWidth="1"/>
    <col min="7" max="7" width="9.109375" style="10"/>
    <col min="8" max="8" width="11" style="14" customWidth="1"/>
    <col min="9" max="9" width="9.109375" style="10"/>
    <col min="10" max="10" width="34.88671875" style="10" customWidth="1"/>
    <col min="11" max="11" width="13.109375" style="10" customWidth="1"/>
    <col min="12" max="15" width="9.109375" style="10"/>
    <col min="16" max="16" width="12.33203125" style="10" bestFit="1" customWidth="1"/>
    <col min="17" max="16384" width="9.109375" style="10"/>
  </cols>
  <sheetData>
    <row r="1" spans="1:11" ht="17.399999999999999" x14ac:dyDescent="0.3">
      <c r="A1" s="2" t="s">
        <v>102</v>
      </c>
      <c r="B1" s="9"/>
      <c r="C1" s="9"/>
    </row>
    <row r="2" spans="1:11" x14ac:dyDescent="0.25">
      <c r="A2" s="8"/>
      <c r="B2" s="53" t="s">
        <v>43</v>
      </c>
      <c r="C2" s="54">
        <v>0</v>
      </c>
      <c r="D2" s="54">
        <v>1</v>
      </c>
      <c r="E2" s="54">
        <v>2</v>
      </c>
      <c r="F2" s="54">
        <v>3</v>
      </c>
      <c r="H2" s="21" t="s">
        <v>47</v>
      </c>
      <c r="J2" s="8" t="s">
        <v>57</v>
      </c>
    </row>
    <row r="3" spans="1:11" x14ac:dyDescent="0.25">
      <c r="B3" s="11" t="s">
        <v>0</v>
      </c>
    </row>
    <row r="4" spans="1:11" x14ac:dyDescent="0.25">
      <c r="B4" s="8" t="s">
        <v>103</v>
      </c>
      <c r="D4" s="234">
        <v>8.6849999999997713</v>
      </c>
      <c r="E4" s="235">
        <f>D4*(1+$H4)</f>
        <v>8.8586999999997662</v>
      </c>
      <c r="F4" s="235">
        <f>E4*(1+$H4)</f>
        <v>9.0358739999997617</v>
      </c>
      <c r="H4" s="65">
        <f>settings!S3</f>
        <v>0.02</v>
      </c>
      <c r="J4" s="101" t="e">
        <f ca="1">_xlfn.FORMULATEXT(D4)</f>
        <v>#N/A</v>
      </c>
      <c r="K4" s="101" t="str">
        <f ca="1">_xlfn.FORMULATEXT(H4)</f>
        <v>=settings!S3</v>
      </c>
    </row>
    <row r="5" spans="1:11" x14ac:dyDescent="0.25">
      <c r="D5" s="13"/>
      <c r="E5" s="13"/>
      <c r="F5" s="13"/>
    </row>
    <row r="6" spans="1:11" x14ac:dyDescent="0.25">
      <c r="B6" s="11" t="s">
        <v>2</v>
      </c>
      <c r="D6" s="14"/>
      <c r="E6" s="14"/>
      <c r="F6" s="14"/>
    </row>
    <row r="7" spans="1:11" x14ac:dyDescent="0.25">
      <c r="B7" s="15" t="s">
        <v>3</v>
      </c>
      <c r="C7" s="126">
        <f>settings!K3</f>
        <v>3.5</v>
      </c>
      <c r="D7" s="16">
        <f>C7*(1+$H7)</f>
        <v>3.7450000000000001</v>
      </c>
      <c r="E7" s="16">
        <f t="shared" ref="E7:F7" si="0">D7*(1+$H7)</f>
        <v>4.0071500000000002</v>
      </c>
      <c r="F7" s="16">
        <f t="shared" si="0"/>
        <v>4.2876505000000007</v>
      </c>
      <c r="H7" s="66">
        <f>settings!S4</f>
        <v>7.0000000000000007E-2</v>
      </c>
      <c r="J7" s="101" t="str">
        <f t="shared" ref="J7:J9" ca="1" si="1">_xlfn.FORMULATEXT(D7)</f>
        <v>=C7*(1+$H7)</v>
      </c>
      <c r="K7" s="101" t="str">
        <f t="shared" ref="K7:K9" ca="1" si="2">_xlfn.FORMULATEXT(H7)</f>
        <v>=settings!S4</v>
      </c>
    </row>
    <row r="8" spans="1:11" x14ac:dyDescent="0.25">
      <c r="B8" s="15" t="s">
        <v>4</v>
      </c>
      <c r="C8" s="126">
        <f>settings!K4</f>
        <v>0.26</v>
      </c>
      <c r="D8" s="16">
        <f>C8*(1+$H8)</f>
        <v>0.27300000000000002</v>
      </c>
      <c r="E8" s="16">
        <f>D8*(1+$H8)</f>
        <v>0.28665000000000002</v>
      </c>
      <c r="F8" s="16">
        <f>E8*(1+$H8)</f>
        <v>0.30098250000000004</v>
      </c>
      <c r="H8" s="65">
        <f>settings!S5</f>
        <v>0.05</v>
      </c>
      <c r="J8" s="101" t="str">
        <f t="shared" ca="1" si="1"/>
        <v>=C8*(1+$H8)</v>
      </c>
      <c r="K8" s="101" t="str">
        <f t="shared" ca="1" si="2"/>
        <v>=settings!S5</v>
      </c>
    </row>
    <row r="9" spans="1:11" x14ac:dyDescent="0.25">
      <c r="B9" s="15" t="s">
        <v>5</v>
      </c>
      <c r="C9" s="10">
        <f>settings!K5 * 52</f>
        <v>677040</v>
      </c>
      <c r="D9" s="16">
        <f>C9*(1+$H9)</f>
        <v>690580.8</v>
      </c>
      <c r="E9" s="16">
        <f>D9*(1+$H9)</f>
        <v>704392.41600000008</v>
      </c>
      <c r="F9" s="16">
        <f>E9*(1+$H9)</f>
        <v>718480.26432000007</v>
      </c>
      <c r="H9" s="65">
        <f>settings!S6</f>
        <v>0.02</v>
      </c>
      <c r="J9" s="101" t="str">
        <f t="shared" ca="1" si="1"/>
        <v>=C9*(1+$H9)</v>
      </c>
      <c r="K9" s="101" t="str">
        <f t="shared" ca="1" si="2"/>
        <v>=settings!S6</v>
      </c>
    </row>
    <row r="10" spans="1:11" x14ac:dyDescent="0.25">
      <c r="B10" s="15"/>
      <c r="D10" s="16"/>
      <c r="E10" s="16"/>
      <c r="F10" s="16"/>
    </row>
    <row r="11" spans="1:11" x14ac:dyDescent="0.25">
      <c r="B11" s="1" t="s">
        <v>45</v>
      </c>
    </row>
    <row r="12" spans="1:11" x14ac:dyDescent="0.25">
      <c r="B12" s="48" t="s">
        <v>56</v>
      </c>
      <c r="D12" s="17">
        <f>((D13+D14*D4)*52)</f>
        <v>307710.00000005332</v>
      </c>
      <c r="E12" s="17">
        <f t="shared" ref="E12:F12" si="3">((E13+E14*E4)*52)</f>
        <v>653390.40000004868</v>
      </c>
      <c r="F12" s="17">
        <f t="shared" si="3"/>
        <v>616538.20800004958</v>
      </c>
      <c r="J12" s="101" t="str">
        <f t="shared" ref="J12:J23" ca="1" si="4">_xlfn.FORMULATEXT(D12)</f>
        <v>=((D13+D14*D4)*52)</v>
      </c>
    </row>
    <row r="13" spans="1:11" x14ac:dyDescent="0.25">
      <c r="B13" s="49" t="s">
        <v>32</v>
      </c>
      <c r="D13" s="18">
        <f>a_0</f>
        <v>45000</v>
      </c>
      <c r="E13" s="18">
        <v>48000</v>
      </c>
      <c r="F13" s="18">
        <v>48000</v>
      </c>
      <c r="J13" s="101" t="str">
        <f t="shared" ca="1" si="4"/>
        <v>=a_0</v>
      </c>
    </row>
    <row r="14" spans="1:11" x14ac:dyDescent="0.25">
      <c r="B14" s="49" t="s">
        <v>33</v>
      </c>
      <c r="D14" s="18">
        <f>a_1</f>
        <v>-4500</v>
      </c>
      <c r="E14" s="18">
        <v>-4000</v>
      </c>
      <c r="F14" s="18">
        <v>-4000</v>
      </c>
      <c r="J14" s="101" t="str">
        <f t="shared" ca="1" si="4"/>
        <v>=a_1</v>
      </c>
    </row>
    <row r="15" spans="1:11" x14ac:dyDescent="0.25">
      <c r="B15" s="48" t="s">
        <v>46</v>
      </c>
      <c r="D15" s="19">
        <f>D16*(D12/52000)^2+D17*(D12/52000)</f>
        <v>9.6981449082516065</v>
      </c>
      <c r="E15" s="19">
        <f t="shared" ref="E15:F15" si="5">E16*(E12/52000)^2+E17*(E12/52000)</f>
        <v>24.032410690878493</v>
      </c>
      <c r="F15" s="19">
        <f t="shared" si="5"/>
        <v>22.330960765946038</v>
      </c>
      <c r="J15" s="101" t="str">
        <f t="shared" ca="1" si="4"/>
        <v>=D16*(D12/52000)^2+D17*(D12/52000)</v>
      </c>
    </row>
    <row r="16" spans="1:11" x14ac:dyDescent="0.25">
      <c r="B16" s="49" t="s">
        <v>34</v>
      </c>
      <c r="D16" s="18">
        <f>cost!$K$4</f>
        <v>4.1175804210560323E-2</v>
      </c>
      <c r="E16" s="18">
        <f>cost!$K$4</f>
        <v>4.1175804210560323E-2</v>
      </c>
      <c r="F16" s="18">
        <f>cost!$K$4</f>
        <v>4.1175804210560323E-2</v>
      </c>
      <c r="J16" s="101" t="str">
        <f t="shared" ca="1" si="4"/>
        <v>=cost!$K$4</v>
      </c>
    </row>
    <row r="17" spans="2:11" x14ac:dyDescent="0.25">
      <c r="B17" s="49" t="s">
        <v>35</v>
      </c>
      <c r="D17" s="18">
        <f>cost!$L$4</f>
        <v>1.3952344317736463</v>
      </c>
      <c r="E17" s="18">
        <f>cost!$L$4</f>
        <v>1.3952344317736463</v>
      </c>
      <c r="F17" s="18">
        <f>cost!$L$4</f>
        <v>1.3952344317736463</v>
      </c>
      <c r="J17" s="101" t="str">
        <f t="shared" ca="1" si="4"/>
        <v>=cost!$L$4</v>
      </c>
    </row>
    <row r="18" spans="2:11" x14ac:dyDescent="0.25">
      <c r="B18" s="20" t="s">
        <v>6</v>
      </c>
      <c r="D18" s="62">
        <f>D12*D4</f>
        <v>2672461.3500003926</v>
      </c>
      <c r="E18" s="62">
        <f>E12*E4</f>
        <v>5788189.5364802787</v>
      </c>
      <c r="F18" s="62">
        <f>F12*F4</f>
        <v>5570961.5636740932</v>
      </c>
      <c r="J18" s="101" t="str">
        <f t="shared" ca="1" si="4"/>
        <v>=D12*D4</v>
      </c>
    </row>
    <row r="19" spans="2:11" x14ac:dyDescent="0.25">
      <c r="B19" s="15" t="s">
        <v>7</v>
      </c>
      <c r="D19" s="61">
        <f>(D7+D8)*D12</f>
        <v>1236378.7800002142</v>
      </c>
      <c r="E19" s="61">
        <f t="shared" ref="E19:F19" si="6">(E7+E8)*E12</f>
        <v>2805527.6995202089</v>
      </c>
      <c r="F19" s="61">
        <f t="shared" si="6"/>
        <v>2829067.5669898917</v>
      </c>
      <c r="J19" s="101" t="str">
        <f t="shared" ca="1" si="4"/>
        <v>=(D7+D8)*D12</v>
      </c>
    </row>
    <row r="20" spans="2:11" x14ac:dyDescent="0.25">
      <c r="B20" s="15" t="s">
        <v>10</v>
      </c>
      <c r="D20" s="61">
        <f>D15*52000</f>
        <v>504303.53522908356</v>
      </c>
      <c r="E20" s="61">
        <f t="shared" ref="E20:F20" si="7">E15*52000</f>
        <v>1249685.3559256815</v>
      </c>
      <c r="F20" s="61">
        <f t="shared" si="7"/>
        <v>1161209.959829194</v>
      </c>
      <c r="J20" s="101" t="str">
        <f t="shared" ca="1" si="4"/>
        <v>=D15*52000</v>
      </c>
    </row>
    <row r="21" spans="2:11" x14ac:dyDescent="0.25">
      <c r="B21" s="15" t="s">
        <v>5</v>
      </c>
      <c r="D21" s="61">
        <f>D9</f>
        <v>690580.8</v>
      </c>
      <c r="E21" s="61">
        <f t="shared" ref="E21:F21" si="8">E9</f>
        <v>704392.41600000008</v>
      </c>
      <c r="F21" s="61">
        <f t="shared" si="8"/>
        <v>718480.26432000007</v>
      </c>
      <c r="J21" s="101" t="str">
        <f t="shared" ca="1" si="4"/>
        <v>=D9</v>
      </c>
    </row>
    <row r="22" spans="2:11" x14ac:dyDescent="0.25">
      <c r="B22" s="11" t="s">
        <v>8</v>
      </c>
      <c r="D22" s="61">
        <f>SUM(D19:D21)</f>
        <v>2431263.1152292979</v>
      </c>
      <c r="E22" s="61">
        <f t="shared" ref="E22:F22" si="9">SUM(E19:E21)</f>
        <v>4759605.4714458901</v>
      </c>
      <c r="F22" s="61">
        <f t="shared" si="9"/>
        <v>4708757.7911390858</v>
      </c>
      <c r="J22" s="101" t="str">
        <f t="shared" ca="1" si="4"/>
        <v>=SUM(D19:D21)</v>
      </c>
    </row>
    <row r="23" spans="2:11" x14ac:dyDescent="0.25">
      <c r="B23" s="11" t="s">
        <v>9</v>
      </c>
      <c r="D23" s="63">
        <f>D18-D22</f>
        <v>241198.23477109475</v>
      </c>
      <c r="E23" s="63">
        <f>E18-E22</f>
        <v>1028584.0650343886</v>
      </c>
      <c r="F23" s="63">
        <f>F18-F22</f>
        <v>862203.77253500745</v>
      </c>
      <c r="J23" s="101" t="str">
        <f t="shared" ca="1" si="4"/>
        <v>=D18-D22</v>
      </c>
    </row>
    <row r="25" spans="2:11" x14ac:dyDescent="0.25">
      <c r="B25" s="1" t="s">
        <v>50</v>
      </c>
      <c r="C25" s="61">
        <v>-2500000</v>
      </c>
      <c r="D25" s="61">
        <f>D23</f>
        <v>241198.23477109475</v>
      </c>
      <c r="E25" s="61">
        <f t="shared" ref="E25:F25" si="10">E23</f>
        <v>1028584.0650343886</v>
      </c>
      <c r="F25" s="61">
        <f t="shared" si="10"/>
        <v>862203.77253500745</v>
      </c>
      <c r="J25" s="101" t="str">
        <f t="shared" ref="J25:J26" ca="1" si="11">_xlfn.FORMULATEXT(D25)</f>
        <v>=D23</v>
      </c>
    </row>
    <row r="26" spans="2:11" x14ac:dyDescent="0.25">
      <c r="B26" s="55" t="s">
        <v>49</v>
      </c>
      <c r="C26" s="61">
        <f>C25/(1+$H$26)^C2</f>
        <v>-2500000</v>
      </c>
      <c r="D26" s="61">
        <f t="shared" ref="D26:F26" si="12">D25/(1+$H$26)^D2</f>
        <v>219271.12251917704</v>
      </c>
      <c r="E26" s="61">
        <f t="shared" si="12"/>
        <v>850069.47523503168</v>
      </c>
      <c r="F26" s="61">
        <f t="shared" si="12"/>
        <v>647786.45569872821</v>
      </c>
      <c r="H26" s="60">
        <v>0.1</v>
      </c>
      <c r="J26" s="101" t="str">
        <f t="shared" ca="1" si="11"/>
        <v>=D25/(1+$H$26)^D2</v>
      </c>
      <c r="K26" s="101" t="e">
        <f t="shared" ref="K26" ca="1" si="13">_xlfn.FORMULATEXT(H26)</f>
        <v>#N/A</v>
      </c>
    </row>
    <row r="27" spans="2:11" x14ac:dyDescent="0.25">
      <c r="B27" s="55" t="s">
        <v>44</v>
      </c>
      <c r="C27" s="158">
        <f>SUM(D26:F26) + C26</f>
        <v>-782872.94654706307</v>
      </c>
      <c r="D27" s="61"/>
      <c r="E27" s="61"/>
      <c r="F27" s="61"/>
    </row>
    <row r="30" spans="2:11" x14ac:dyDescent="0.25">
      <c r="D30" s="132"/>
    </row>
  </sheetData>
  <pageMargins left="0.75" right="0.75" top="1" bottom="1" header="0.5" footer="0.5"/>
  <pageSetup orientation="landscape" horizontalDpi="300" verticalDpi="300" r:id="rId1"/>
  <headerFooter alignWithMargins="0">
    <oddFooter>&amp;A&amp;RPage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B3:G9"/>
  <sheetViews>
    <sheetView workbookViewId="0">
      <selection activeCell="H25" sqref="H25"/>
    </sheetView>
  </sheetViews>
  <sheetFormatPr defaultRowHeight="13.2" x14ac:dyDescent="0.25"/>
  <cols>
    <col min="1" max="1" width="15.5546875" customWidth="1"/>
    <col min="4" max="4" width="12.44140625" customWidth="1"/>
    <col min="7" max="7" width="20.109375" customWidth="1"/>
  </cols>
  <sheetData>
    <row r="3" spans="2:7" x14ac:dyDescent="0.25">
      <c r="B3" s="42" t="s">
        <v>25</v>
      </c>
      <c r="C3" s="43" t="s">
        <v>9</v>
      </c>
      <c r="D3" s="44">
        <f>'profit-breakeven'!B22</f>
        <v>32.786195652020979</v>
      </c>
      <c r="E3" t="s">
        <v>26</v>
      </c>
      <c r="G3" s="7" t="str">
        <f ca="1">_xlfn.FORMULATEXT(D3)</f>
        <v>='profit-breakeven'!B22</v>
      </c>
    </row>
    <row r="4" spans="2:7" ht="15.6" x14ac:dyDescent="0.25">
      <c r="B4" s="45" t="s">
        <v>27</v>
      </c>
      <c r="C4" s="46" t="s">
        <v>28</v>
      </c>
      <c r="D4" s="44">
        <v>0</v>
      </c>
      <c r="E4" t="s">
        <v>29</v>
      </c>
      <c r="G4" s="52" t="s">
        <v>30</v>
      </c>
    </row>
    <row r="5" spans="2:7" x14ac:dyDescent="0.25">
      <c r="B5" s="42"/>
      <c r="C5" s="47" t="s">
        <v>11</v>
      </c>
      <c r="D5" s="44">
        <f>'profit-breakeven'!B3</f>
        <v>9.2714179026679631</v>
      </c>
      <c r="E5" t="s">
        <v>31</v>
      </c>
      <c r="G5" s="7" t="str">
        <f ca="1">_xlfn.FORMULATEXT(D5)</f>
        <v>='profit-breakeven'!B3</v>
      </c>
    </row>
    <row r="7" spans="2:7" x14ac:dyDescent="0.25">
      <c r="B7" s="42" t="s">
        <v>25</v>
      </c>
      <c r="C7" s="43" t="s">
        <v>51</v>
      </c>
      <c r="D7" s="176">
        <f>'npv-breakeven'!C27</f>
        <v>-782872.94654706307</v>
      </c>
      <c r="E7" t="s">
        <v>26</v>
      </c>
      <c r="G7" s="7" t="str">
        <f ca="1">_xlfn.FORMULATEXT(D7)</f>
        <v>='npv-breakeven'!C27</v>
      </c>
    </row>
    <row r="8" spans="2:7" ht="15.6" x14ac:dyDescent="0.25">
      <c r="B8" s="45" t="s">
        <v>27</v>
      </c>
      <c r="C8" s="46" t="s">
        <v>54</v>
      </c>
      <c r="D8" s="44">
        <v>0</v>
      </c>
      <c r="E8" t="s">
        <v>29</v>
      </c>
      <c r="G8" s="8" t="s">
        <v>30</v>
      </c>
    </row>
    <row r="9" spans="2:7" x14ac:dyDescent="0.25">
      <c r="B9" s="42"/>
      <c r="C9" s="47" t="s">
        <v>11</v>
      </c>
      <c r="D9" s="64">
        <f>'npv-breakeven'!D4</f>
        <v>8.6849999999997713</v>
      </c>
      <c r="E9" t="s">
        <v>31</v>
      </c>
      <c r="G9" s="7" t="str">
        <f ca="1">_xlfn.FORMULATEXT(D9)</f>
        <v>='npv-breakeven'!D4</v>
      </c>
    </row>
  </sheetData>
  <pageMargins left="0.75" right="0.75" top="1" bottom="1" header="0.5" footer="0.5"/>
  <pageSetup orientation="portrait" r:id="rId1"/>
  <headerFooter alignWithMargins="0">
    <oddHeader>&amp;F</oddHeader>
    <oddFooter>&amp;A&amp;RPage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2C3F6-ABBF-44F7-B5A3-6F9CB305DBB6}">
  <sheetPr codeName="Sheet15"/>
  <dimension ref="B1:M22"/>
  <sheetViews>
    <sheetView workbookViewId="0">
      <selection activeCell="D25" sqref="D25"/>
    </sheetView>
  </sheetViews>
  <sheetFormatPr defaultRowHeight="13.2" x14ac:dyDescent="0.25"/>
  <sheetData>
    <row r="1" spans="2:13" ht="13.8" thickBot="1" x14ac:dyDescent="0.3"/>
    <row r="2" spans="2:13" x14ac:dyDescent="0.25">
      <c r="B2" s="215" t="s">
        <v>142</v>
      </c>
      <c r="C2" s="216"/>
      <c r="D2" s="216"/>
      <c r="E2" s="216"/>
      <c r="F2" s="216"/>
      <c r="G2" s="216"/>
      <c r="H2" s="216"/>
      <c r="I2" s="216"/>
      <c r="J2" s="216"/>
      <c r="K2" s="216"/>
      <c r="L2" s="216"/>
      <c r="M2" s="217"/>
    </row>
    <row r="3" spans="2:13" x14ac:dyDescent="0.25">
      <c r="B3" s="218" t="s">
        <v>143</v>
      </c>
      <c r="C3" s="219"/>
      <c r="D3" s="219"/>
      <c r="E3" s="219"/>
      <c r="F3" s="219"/>
      <c r="G3" s="219"/>
      <c r="H3" s="219"/>
      <c r="I3" s="219"/>
      <c r="J3" s="219"/>
      <c r="K3" s="219"/>
      <c r="L3" s="219"/>
      <c r="M3" s="220"/>
    </row>
    <row r="4" spans="2:13" x14ac:dyDescent="0.25">
      <c r="B4" s="218" t="s">
        <v>144</v>
      </c>
      <c r="C4" s="219"/>
      <c r="D4" s="219"/>
      <c r="E4" s="219"/>
      <c r="F4" s="219"/>
      <c r="G4" s="219"/>
      <c r="H4" s="219"/>
      <c r="I4" s="219"/>
      <c r="J4" s="219"/>
      <c r="K4" s="219"/>
      <c r="L4" s="219"/>
      <c r="M4" s="220"/>
    </row>
    <row r="5" spans="2:13" x14ac:dyDescent="0.25">
      <c r="B5" s="218" t="s">
        <v>145</v>
      </c>
      <c r="C5" s="219"/>
      <c r="D5" s="219"/>
      <c r="E5" s="219"/>
      <c r="F5" s="219"/>
      <c r="G5" s="219"/>
      <c r="H5" s="219"/>
      <c r="I5" s="219"/>
      <c r="J5" s="219"/>
      <c r="K5" s="219"/>
      <c r="L5" s="219"/>
      <c r="M5" s="220"/>
    </row>
    <row r="6" spans="2:13" x14ac:dyDescent="0.25">
      <c r="B6" s="218" t="s">
        <v>146</v>
      </c>
      <c r="C6" s="219"/>
      <c r="D6" s="219"/>
      <c r="E6" s="219"/>
      <c r="F6" s="219"/>
      <c r="G6" s="219"/>
      <c r="H6" s="219"/>
      <c r="I6" s="219"/>
      <c r="J6" s="219"/>
      <c r="K6" s="219"/>
      <c r="L6" s="219"/>
      <c r="M6" s="220"/>
    </row>
    <row r="7" spans="2:13" x14ac:dyDescent="0.25">
      <c r="B7" s="218" t="s">
        <v>144</v>
      </c>
      <c r="C7" s="219"/>
      <c r="D7" s="219"/>
      <c r="E7" s="219"/>
      <c r="F7" s="219"/>
      <c r="G7" s="219"/>
      <c r="H7" s="219"/>
      <c r="I7" s="219"/>
      <c r="J7" s="219"/>
      <c r="K7" s="219"/>
      <c r="L7" s="219"/>
      <c r="M7" s="220"/>
    </row>
    <row r="8" spans="2:13" x14ac:dyDescent="0.25">
      <c r="B8" s="218" t="s">
        <v>147</v>
      </c>
      <c r="C8" s="219"/>
      <c r="D8" s="219"/>
      <c r="E8" s="219"/>
      <c r="F8" s="219"/>
      <c r="G8" s="219"/>
      <c r="H8" s="219"/>
      <c r="I8" s="219"/>
      <c r="J8" s="219"/>
      <c r="K8" s="219"/>
      <c r="L8" s="219"/>
      <c r="M8" s="220"/>
    </row>
    <row r="9" spans="2:13" x14ac:dyDescent="0.25">
      <c r="B9" s="218" t="s">
        <v>148</v>
      </c>
      <c r="C9" s="219"/>
      <c r="D9" s="219"/>
      <c r="E9" s="219"/>
      <c r="F9" s="219"/>
      <c r="G9" s="219"/>
      <c r="H9" s="219"/>
      <c r="I9" s="219"/>
      <c r="J9" s="219"/>
      <c r="K9" s="219"/>
      <c r="L9" s="219"/>
      <c r="M9" s="220"/>
    </row>
    <row r="10" spans="2:13" x14ac:dyDescent="0.25">
      <c r="B10" s="218" t="s">
        <v>149</v>
      </c>
      <c r="C10" s="219"/>
      <c r="D10" s="219"/>
      <c r="E10" s="219"/>
      <c r="F10" s="219"/>
      <c r="G10" s="219"/>
      <c r="H10" s="219"/>
      <c r="I10" s="219"/>
      <c r="J10" s="219"/>
      <c r="K10" s="219"/>
      <c r="L10" s="219"/>
      <c r="M10" s="220"/>
    </row>
    <row r="11" spans="2:13" x14ac:dyDescent="0.25">
      <c r="B11" s="218" t="s">
        <v>150</v>
      </c>
      <c r="C11" s="219"/>
      <c r="D11" s="219"/>
      <c r="E11" s="219"/>
      <c r="F11" s="219"/>
      <c r="G11" s="219"/>
      <c r="H11" s="219"/>
      <c r="I11" s="219"/>
      <c r="J11" s="219"/>
      <c r="K11" s="219"/>
      <c r="L11" s="219"/>
      <c r="M11" s="220"/>
    </row>
    <row r="12" spans="2:13" x14ac:dyDescent="0.25">
      <c r="B12" s="218" t="s">
        <v>151</v>
      </c>
      <c r="C12" s="219"/>
      <c r="D12" s="219"/>
      <c r="E12" s="219"/>
      <c r="F12" s="219"/>
      <c r="G12" s="219"/>
      <c r="H12" s="219"/>
      <c r="I12" s="219"/>
      <c r="J12" s="219"/>
      <c r="K12" s="219"/>
      <c r="L12" s="219"/>
      <c r="M12" s="220"/>
    </row>
    <row r="13" spans="2:13" x14ac:dyDescent="0.25">
      <c r="B13" s="218" t="s">
        <v>152</v>
      </c>
      <c r="C13" s="219"/>
      <c r="D13" s="219"/>
      <c r="E13" s="219"/>
      <c r="F13" s="219"/>
      <c r="G13" s="219"/>
      <c r="H13" s="219"/>
      <c r="I13" s="219"/>
      <c r="J13" s="219"/>
      <c r="K13" s="219"/>
      <c r="L13" s="219"/>
      <c r="M13" s="220"/>
    </row>
    <row r="14" spans="2:13" x14ac:dyDescent="0.25">
      <c r="B14" s="218" t="s">
        <v>153</v>
      </c>
      <c r="C14" s="219"/>
      <c r="D14" s="219"/>
      <c r="E14" s="219"/>
      <c r="F14" s="219"/>
      <c r="G14" s="219"/>
      <c r="H14" s="219"/>
      <c r="I14" s="219"/>
      <c r="J14" s="219"/>
      <c r="K14" s="219"/>
      <c r="L14" s="219"/>
      <c r="M14" s="220"/>
    </row>
    <row r="15" spans="2:13" x14ac:dyDescent="0.25">
      <c r="B15" s="218" t="s">
        <v>154</v>
      </c>
      <c r="C15" s="219"/>
      <c r="D15" s="219"/>
      <c r="E15" s="219"/>
      <c r="F15" s="219"/>
      <c r="G15" s="219"/>
      <c r="H15" s="219"/>
      <c r="I15" s="219"/>
      <c r="J15" s="219"/>
      <c r="K15" s="219"/>
      <c r="L15" s="219"/>
      <c r="M15" s="220"/>
    </row>
    <row r="16" spans="2:13" x14ac:dyDescent="0.25">
      <c r="B16" s="218" t="s">
        <v>155</v>
      </c>
      <c r="C16" s="219"/>
      <c r="D16" s="219"/>
      <c r="E16" s="219"/>
      <c r="F16" s="219"/>
      <c r="G16" s="219"/>
      <c r="H16" s="219"/>
      <c r="I16" s="219"/>
      <c r="J16" s="219"/>
      <c r="K16" s="219"/>
      <c r="L16" s="219"/>
      <c r="M16" s="220"/>
    </row>
    <row r="17" spans="2:13" x14ac:dyDescent="0.25">
      <c r="B17" s="218" t="s">
        <v>156</v>
      </c>
      <c r="C17" s="219"/>
      <c r="D17" s="219"/>
      <c r="E17" s="219"/>
      <c r="F17" s="219"/>
      <c r="G17" s="219"/>
      <c r="H17" s="219"/>
      <c r="I17" s="219"/>
      <c r="J17" s="219"/>
      <c r="K17" s="219"/>
      <c r="L17" s="219"/>
      <c r="M17" s="220"/>
    </row>
    <row r="18" spans="2:13" x14ac:dyDescent="0.25">
      <c r="B18" s="218" t="s">
        <v>157</v>
      </c>
      <c r="C18" s="219"/>
      <c r="D18" s="219"/>
      <c r="E18" s="219"/>
      <c r="F18" s="219"/>
      <c r="G18" s="219"/>
      <c r="H18" s="219"/>
      <c r="I18" s="219"/>
      <c r="J18" s="219"/>
      <c r="K18" s="219"/>
      <c r="L18" s="219"/>
      <c r="M18" s="220"/>
    </row>
    <row r="19" spans="2:13" x14ac:dyDescent="0.25">
      <c r="B19" s="218" t="s">
        <v>158</v>
      </c>
      <c r="C19" s="219"/>
      <c r="D19" s="219"/>
      <c r="E19" s="219"/>
      <c r="F19" s="219"/>
      <c r="G19" s="219"/>
      <c r="H19" s="219"/>
      <c r="I19" s="219"/>
      <c r="J19" s="219"/>
      <c r="K19" s="219"/>
      <c r="L19" s="219"/>
      <c r="M19" s="220"/>
    </row>
    <row r="20" spans="2:13" x14ac:dyDescent="0.25">
      <c r="B20" s="218" t="s">
        <v>159</v>
      </c>
      <c r="C20" s="219"/>
      <c r="D20" s="219"/>
      <c r="E20" s="219"/>
      <c r="F20" s="219"/>
      <c r="G20" s="219"/>
      <c r="H20" s="219"/>
      <c r="I20" s="219"/>
      <c r="J20" s="219"/>
      <c r="K20" s="219"/>
      <c r="L20" s="219"/>
      <c r="M20" s="220"/>
    </row>
    <row r="21" spans="2:13" x14ac:dyDescent="0.25">
      <c r="B21" s="218" t="s">
        <v>160</v>
      </c>
      <c r="C21" s="219"/>
      <c r="D21" s="219"/>
      <c r="E21" s="219"/>
      <c r="F21" s="219"/>
      <c r="G21" s="219"/>
      <c r="H21" s="219"/>
      <c r="I21" s="219"/>
      <c r="J21" s="219"/>
      <c r="K21" s="219"/>
      <c r="L21" s="219"/>
      <c r="M21" s="220"/>
    </row>
    <row r="22" spans="2:13" ht="13.8" thickBot="1" x14ac:dyDescent="0.3">
      <c r="B22" s="221" t="s">
        <v>161</v>
      </c>
      <c r="C22" s="222"/>
      <c r="D22" s="222"/>
      <c r="E22" s="222"/>
      <c r="F22" s="222"/>
      <c r="G22" s="222"/>
      <c r="H22" s="222"/>
      <c r="I22" s="222"/>
      <c r="J22" s="222"/>
      <c r="K22" s="222"/>
      <c r="L22" s="222"/>
      <c r="M22" s="2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vt:i4>
      </vt:variant>
    </vt:vector>
  </HeadingPairs>
  <TitlesOfParts>
    <vt:vector size="24" baseType="lpstr">
      <vt:lpstr>dashboard</vt:lpstr>
      <vt:lpstr>settings</vt:lpstr>
      <vt:lpstr>questions</vt:lpstr>
      <vt:lpstr>influence-diagram</vt:lpstr>
      <vt:lpstr>data</vt:lpstr>
      <vt:lpstr>cost</vt:lpstr>
      <vt:lpstr>demand</vt:lpstr>
      <vt:lpstr>profit</vt:lpstr>
      <vt:lpstr>npv</vt:lpstr>
      <vt:lpstr>npv-sensitivity</vt:lpstr>
      <vt:lpstr>npv-sensitivity (2)</vt:lpstr>
      <vt:lpstr>sensitivity</vt:lpstr>
      <vt:lpstr>profit-breakeven</vt:lpstr>
      <vt:lpstr>npv-breakeven</vt:lpstr>
      <vt:lpstr>goal-seek</vt:lpstr>
      <vt:lpstr>NPV_pie()</vt:lpstr>
      <vt:lpstr>a_0</vt:lpstr>
      <vt:lpstr>a_1</vt:lpstr>
      <vt:lpstr>se_e</vt:lpstr>
      <vt:lpstr>tolerance</vt:lpstr>
      <vt:lpstr>X_1</vt:lpstr>
      <vt:lpstr>X_2</vt:lpstr>
      <vt:lpstr>Y</vt:lpstr>
      <vt:lpstr>Y_hat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2017-12-20T16:53:07Z</dcterms:created>
  <dcterms:modified xsi:type="dcterms:W3CDTF">2021-03-28T17:58:37Z</dcterms:modified>
</cp:coreProperties>
</file>