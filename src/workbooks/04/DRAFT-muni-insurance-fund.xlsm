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wgfoo\OneDrive\Documents\0-decision-optimization\mbac617\00021S\week4\3-workbook\"/>
    </mc:Choice>
  </mc:AlternateContent>
  <xr:revisionPtr revIDLastSave="0" documentId="8_{78491C77-4134-41C2-8665-8CBC7B066E3F}" xr6:coauthVersionLast="45" xr6:coauthVersionMax="45" xr10:uidLastSave="{00000000-0000-0000-0000-000000000000}"/>
  <bookViews>
    <workbookView xWindow="-108" yWindow="-108" windowWidth="23256" windowHeight="12576" activeTab="1" xr2:uid="{4D41E0FB-9D62-424F-AC44-F0029F4470F2}"/>
  </bookViews>
  <sheets>
    <sheet name="Muni-Insurance-Fund" sheetId="1" r:id="rId1"/>
    <sheet name="Funding Claims" sheetId="2" r:id="rId2"/>
    <sheet name="Funding Claims with Risk" sheetId="3" r:id="rId3"/>
  </sheets>
  <externalReferences>
    <externalReference r:id="rId4"/>
  </externalReferences>
  <definedNames>
    <definedName name="_Key1" localSheetId="2" hidden="1">#REF!</definedName>
    <definedName name="_Key1" hidden="1">#REF!</definedName>
    <definedName name="_Order1" hidden="1">255</definedName>
    <definedName name="coin_cuttype" localSheetId="1" hidden="1">1</definedName>
    <definedName name="coin_cuttype" localSheetId="2" hidden="1">1</definedName>
    <definedName name="coin_dualtol" localSheetId="1" hidden="1">0.0000001</definedName>
    <definedName name="coin_dualtol" localSheetId="2" hidden="1">0.0000001</definedName>
    <definedName name="coin_heurs" localSheetId="1" hidden="1">1</definedName>
    <definedName name="coin_heurs" localSheetId="2" hidden="1">1</definedName>
    <definedName name="coin_integerpresolve" localSheetId="1" hidden="1">1</definedName>
    <definedName name="coin_integerpresolve" localSheetId="2" hidden="1">1</definedName>
    <definedName name="coin_presolve1" localSheetId="1" hidden="1">1</definedName>
    <definedName name="coin_presolve1" localSheetId="2" hidden="1">1</definedName>
    <definedName name="coin_primaltol" localSheetId="1" hidden="1">0.0000001</definedName>
    <definedName name="coin_primaltol" localSheetId="2" hidden="1">0.0000001</definedName>
    <definedName name="DATA" localSheetId="2">#REF!</definedName>
    <definedName name="DATA">#REF!</definedName>
    <definedName name="grb_bariter" localSheetId="1" hidden="1">1E+100</definedName>
    <definedName name="grb_bartol" localSheetId="1" hidden="1">0.00000001</definedName>
    <definedName name="grb_crossover" localSheetId="1" hidden="1">-1</definedName>
    <definedName name="grb_cutoff" localSheetId="1" hidden="1">1E+100</definedName>
    <definedName name="grb_cutoff" localSheetId="2" hidden="1">1E+100</definedName>
    <definedName name="grb_cuts" localSheetId="1" hidden="1">-1</definedName>
    <definedName name="grb_cuts" localSheetId="2" hidden="1">-1</definedName>
    <definedName name="grb_focus" localSheetId="1" hidden="1">0</definedName>
    <definedName name="grb_heur" localSheetId="1" hidden="1">0.05</definedName>
    <definedName name="grb_heur" localSheetId="2" hidden="1">0.05</definedName>
    <definedName name="grb_infeas" localSheetId="1" hidden="1">0.000001</definedName>
    <definedName name="grb_infeas" localSheetId="2" hidden="1">0.000001</definedName>
    <definedName name="grb_inttol" localSheetId="1" hidden="1">0.00001</definedName>
    <definedName name="grb_inttol" localSheetId="2" hidden="1">0.00001</definedName>
    <definedName name="grb_method" localSheetId="1" hidden="1">1</definedName>
    <definedName name="grb_method" localSheetId="2" hidden="1">1</definedName>
    <definedName name="grb_nodefilestart" localSheetId="1" hidden="1">1E+100</definedName>
    <definedName name="grb_nodefilestart" localSheetId="2" hidden="1">1E+100</definedName>
    <definedName name="grb_optimal" localSheetId="1" hidden="1">0.000001</definedName>
    <definedName name="grb_optimal" localSheetId="2" hidden="1">0.000001</definedName>
    <definedName name="grb_order" localSheetId="1" hidden="1">-1</definedName>
    <definedName name="grb_presolve" localSheetId="1" hidden="1">-1</definedName>
    <definedName name="grb_presolve" localSheetId="2" hidden="1">-1</definedName>
    <definedName name="grb_pricing" localSheetId="1" hidden="1">-1</definedName>
    <definedName name="grb_pricing" localSheetId="2" hidden="1">-1</definedName>
    <definedName name="grb_relmip" localSheetId="1" hidden="1">0.0001</definedName>
    <definedName name="grb_relmip" localSheetId="2" hidden="1">0.0001</definedName>
    <definedName name="grb_rootmethod" localSheetId="1" hidden="1">1</definedName>
    <definedName name="grb_rootmethod" localSheetId="2" hidden="1">1</definedName>
    <definedName name="grb_submip" localSheetId="1" hidden="1">500</definedName>
    <definedName name="grb_submip" localSheetId="2" hidden="1">500</definedName>
    <definedName name="grb_symmetry" localSheetId="1" hidden="1">-1</definedName>
    <definedName name="grb_threads" localSheetId="1" hidden="1">0</definedName>
    <definedName name="grb_threads" localSheetId="2" hidden="1">0</definedName>
    <definedName name="grb_var" localSheetId="1" hidden="1">-1</definedName>
    <definedName name="grb_var" localSheetId="2" hidden="1">-1</definedName>
    <definedName name="param_cuthi" localSheetId="1" hidden="1">2E+30</definedName>
    <definedName name="param_cutlo" localSheetId="1" hidden="1">-2E+30</definedName>
    <definedName name="param_epstep" localSheetId="1" hidden="1">0.000001</definedName>
    <definedName name="param_iisbnd" localSheetId="1" hidden="1">0</definedName>
    <definedName name="solver_acc" localSheetId="1" hidden="1">0.001</definedName>
    <definedName name="solver_acc" localSheetId="2" hidden="1">0.001</definedName>
    <definedName name="solver_adj" localSheetId="1" hidden="1">'Funding Claims'!$E$7:$E$18</definedName>
    <definedName name="solver_adj" localSheetId="2" hidden="1">'Funding Claims with Risk'!$D$6:$D$17</definedName>
    <definedName name="solver_adj_ob" localSheetId="1" hidden="1">1</definedName>
    <definedName name="solver_adj_ob" localSheetId="2" hidden="1">1</definedName>
    <definedName name="solver_adj_ob1" localSheetId="1" hidden="1">1</definedName>
    <definedName name="solver_ars" localSheetId="1" hidden="1">1</definedName>
    <definedName name="solver_ars" localSheetId="2" hidden="1">1</definedName>
    <definedName name="solver_bigm" localSheetId="1" hidden="1">1000000</definedName>
    <definedName name="solver_bigm" localSheetId="2" hidden="1">1000000</definedName>
    <definedName name="solver_bnd" localSheetId="1" hidden="1">1</definedName>
    <definedName name="solver_bnd" localSheetId="2" hidden="1">1</definedName>
    <definedName name="solver_cha" localSheetId="1" hidden="1">0</definedName>
    <definedName name="solver_cha" localSheetId="2" hidden="1">0</definedName>
    <definedName name="solver_chc1" localSheetId="1" hidden="1">0</definedName>
    <definedName name="solver_chc1" localSheetId="2" hidden="1">0</definedName>
    <definedName name="solver_chc2" localSheetId="1" hidden="1">0</definedName>
    <definedName name="solver_chc2" localSheetId="2" hidden="1">0</definedName>
    <definedName name="solver_chc3" localSheetId="2" hidden="1">0</definedName>
    <definedName name="solver_chc5" localSheetId="1" hidden="1">0</definedName>
    <definedName name="solver_chc6" localSheetId="1" hidden="1">0</definedName>
    <definedName name="solver_chn" localSheetId="1" hidden="1">4</definedName>
    <definedName name="solver_chn" localSheetId="2" hidden="1">4</definedName>
    <definedName name="solver_chp1" localSheetId="1" hidden="1">0</definedName>
    <definedName name="solver_chp1" localSheetId="2" hidden="1">0</definedName>
    <definedName name="solver_chp2" localSheetId="1" hidden="1">0</definedName>
    <definedName name="solver_chp2" localSheetId="2" hidden="1">0</definedName>
    <definedName name="solver_chp3" localSheetId="2" hidden="1">0</definedName>
    <definedName name="solver_chp5" localSheetId="1" hidden="1">0</definedName>
    <definedName name="solver_chp6" localSheetId="1" hidden="1">0</definedName>
    <definedName name="solver_cht" localSheetId="1" hidden="1">0</definedName>
    <definedName name="solver_cht" localSheetId="2" hidden="1">0</definedName>
    <definedName name="solver_cir1" localSheetId="1" hidden="1">1</definedName>
    <definedName name="solver_cir1" localSheetId="2" hidden="1">1</definedName>
    <definedName name="solver_cir2" localSheetId="1" hidden="1">1</definedName>
    <definedName name="solver_cir2" localSheetId="2" hidden="1">1</definedName>
    <definedName name="solver_cir3" localSheetId="2" hidden="1">1</definedName>
    <definedName name="solver_cir5" localSheetId="1" hidden="1">1</definedName>
    <definedName name="solver_cir6" localSheetId="1" hidden="1">1</definedName>
    <definedName name="solver_con1" localSheetId="1" hidden="1">" "</definedName>
    <definedName name="solver_con1" localSheetId="2" hidden="1">" "</definedName>
    <definedName name="solver_con2" localSheetId="1" hidden="1">" "</definedName>
    <definedName name="solver_con2" localSheetId="2" hidden="1">" "</definedName>
    <definedName name="solver_con3" localSheetId="2" hidden="1">" "</definedName>
    <definedName name="solver_con5" localSheetId="1" hidden="1">" "</definedName>
    <definedName name="solver_con6" localSheetId="1" hidden="1">" "</definedName>
    <definedName name="solver_corr" hidden="1">1</definedName>
    <definedName name="solver_ctp1" hidden="1">0</definedName>
    <definedName name="solver_ctp2" hidden="1">0</definedName>
    <definedName name="solver_cvg" localSheetId="1" hidden="1">0.0001</definedName>
    <definedName name="solver_cvg" localSheetId="2" hidden="1">0.0001</definedName>
    <definedName name="solver_dia" localSheetId="1" hidden="1">5</definedName>
    <definedName name="solver_dia" localSheetId="2" hidden="1">5</definedName>
    <definedName name="solver_disp" hidden="1">0</definedName>
    <definedName name="solver_drv" localSheetId="1" hidden="1">1</definedName>
    <definedName name="solver_drv" localSheetId="2" hidden="1">1</definedName>
    <definedName name="solver_eng" localSheetId="1" hidden="1">2</definedName>
    <definedName name="solver_eng" localSheetId="2" hidden="1">2</definedName>
    <definedName name="solver_est" localSheetId="1" hidden="1">1</definedName>
    <definedName name="solver_est" localSheetId="2" hidden="1">1</definedName>
    <definedName name="solver_eval" hidden="1">0</definedName>
    <definedName name="solver_fea" localSheetId="1" hidden="1">0.000001</definedName>
    <definedName name="solver_fea" localSheetId="2" hidden="1">0.000001</definedName>
    <definedName name="solver_fns" localSheetId="1" hidden="1">0</definedName>
    <definedName name="solver_fns" localSheetId="2" hidden="1">0</definedName>
    <definedName name="solver_gap" localSheetId="1" hidden="1">0.0000001</definedName>
    <definedName name="solver_gap" localSheetId="2" hidden="1">0.0000001</definedName>
    <definedName name="solver_glb" localSheetId="1" hidden="1">-1E+30</definedName>
    <definedName name="solver_glb" localSheetId="2" hidden="1">-1E+30</definedName>
    <definedName name="solver_gub" localSheetId="1" hidden="1">1E+30</definedName>
    <definedName name="solver_gub" localSheetId="2" hidden="1">1E+30</definedName>
    <definedName name="solver_iao" localSheetId="1" hidden="1">0</definedName>
    <definedName name="solver_iao" localSheetId="2" hidden="1">0</definedName>
    <definedName name="solver_ibd" localSheetId="1" hidden="1">2</definedName>
    <definedName name="solver_ibd" localSheetId="2" hidden="1">2</definedName>
    <definedName name="solver_inc" localSheetId="1" hidden="1">0</definedName>
    <definedName name="solver_inc" localSheetId="2" hidden="1">0</definedName>
    <definedName name="solver_int" localSheetId="1" hidden="1">0</definedName>
    <definedName name="solver_int" localSheetId="2" hidden="1">0</definedName>
    <definedName name="solver_ipd" localSheetId="1" hidden="1">3</definedName>
    <definedName name="solver_ipd" localSheetId="2" hidden="1">3</definedName>
    <definedName name="solver_ipi" localSheetId="1" hidden="1">1</definedName>
    <definedName name="solver_ipi" localSheetId="2" hidden="1">1</definedName>
    <definedName name="solver_ips" localSheetId="1" hidden="1">0.99</definedName>
    <definedName name="solver_ips" localSheetId="2" hidden="1">0.99</definedName>
    <definedName name="solver_irs" localSheetId="1" hidden="1">0</definedName>
    <definedName name="solver_irs" localSheetId="2" hidden="1">0</definedName>
    <definedName name="solver_ism" localSheetId="1" hidden="1">0</definedName>
    <definedName name="solver_ism" localSheetId="2" hidden="1">0</definedName>
    <definedName name="solver_itr" localSheetId="1" hidden="1">2147483647</definedName>
    <definedName name="solver_itr" localSheetId="2" hidden="1">2147483647</definedName>
    <definedName name="solver_lcens" hidden="1">-1E+30</definedName>
    <definedName name="solver_lcut" hidden="1">-1E+30</definedName>
    <definedName name="solver_lhs_ob1" localSheetId="1" hidden="1">0</definedName>
    <definedName name="solver_lhs_ob1" localSheetId="2" hidden="1">0</definedName>
    <definedName name="solver_lhs_ob2" localSheetId="1" hidden="1">0</definedName>
    <definedName name="solver_lhs_ob2" localSheetId="2" hidden="1">0</definedName>
    <definedName name="solver_lhs_ob3" localSheetId="2" hidden="1">0</definedName>
    <definedName name="solver_lhs_ob5" localSheetId="1" hidden="1">0</definedName>
    <definedName name="solver_lhs_ob6" localSheetId="1" hidden="1">0</definedName>
    <definedName name="solver_lhs1" localSheetId="1" hidden="1">'Funding Claims'!$H$19:$M$19</definedName>
    <definedName name="solver_lhs1" localSheetId="2" hidden="1">'Funding Claims with Risk'!$D$6:$D$17</definedName>
    <definedName name="solver_lhs2" localSheetId="1" hidden="1">'Funding Claims'!$H$19:$M$19</definedName>
    <definedName name="solver_lhs2" localSheetId="2" hidden="1">'Funding Claims with Risk'!$G$18:$L$18</definedName>
    <definedName name="solver_lhs3" localSheetId="2" hidden="1">'Funding Claims with Risk'!$N$18:$S$18</definedName>
    <definedName name="solver_lhs5" localSheetId="1" hidden="1">'Funding Claims'!$E$7:$E$18</definedName>
    <definedName name="solver_lhs6" localSheetId="1" hidden="1">'Funding Claims'!$H$19:$M$19</definedName>
    <definedName name="solver_lin" localSheetId="1" hidden="1">2</definedName>
    <definedName name="solver_lin" localSheetId="2" hidden="1">2</definedName>
    <definedName name="solver_loc" localSheetId="1" hidden="1">4</definedName>
    <definedName name="solver_loc" localSheetId="2" hidden="1">4</definedName>
    <definedName name="solver_log" localSheetId="1" hidden="1">1</definedName>
    <definedName name="solver_log" localSheetId="2" hidden="1">1</definedName>
    <definedName name="solver_lpp" localSheetId="1" hidden="1">0</definedName>
    <definedName name="solver_lpp" localSheetId="2" hidden="1">0</definedName>
    <definedName name="solver_lpt" localSheetId="1" hidden="1">0</definedName>
    <definedName name="solver_lpt" localSheetId="2" hidden="1">0</definedName>
    <definedName name="solver_lva" localSheetId="1" hidden="1">0</definedName>
    <definedName name="solver_lva" localSheetId="2" hidden="1">0</definedName>
    <definedName name="solver_mda" localSheetId="1" hidden="1">4</definedName>
    <definedName name="solver_mda" localSheetId="2" hidden="1">4</definedName>
    <definedName name="solver_met" localSheetId="1" hidden="1">1</definedName>
    <definedName name="solver_met" localSheetId="2" hidden="1">1</definedName>
    <definedName name="solver_mip" localSheetId="1" hidden="1">2147483647</definedName>
    <definedName name="solver_mip" localSheetId="2" hidden="1">2147483647</definedName>
    <definedName name="solver_mni" localSheetId="1" hidden="1">30</definedName>
    <definedName name="solver_mni" localSheetId="2" hidden="1">30</definedName>
    <definedName name="solver_mod" localSheetId="1" hidden="1">1</definedName>
    <definedName name="solver_mod" localSheetId="2" hidden="1">1</definedName>
    <definedName name="solver_mrt" localSheetId="1" hidden="1">0.075</definedName>
    <definedName name="solver_mrt" localSheetId="2" hidden="1">0.075</definedName>
    <definedName name="solver_msl" localSheetId="1" hidden="1">2</definedName>
    <definedName name="solver_msl" localSheetId="2" hidden="1">2</definedName>
    <definedName name="solver_neg" localSheetId="1" hidden="1">1</definedName>
    <definedName name="solver_neg" localSheetId="2" hidden="1">1</definedName>
    <definedName name="solver_nod" localSheetId="1" hidden="1">2147483647</definedName>
    <definedName name="solver_nod" localSheetId="2" hidden="1">2147483647</definedName>
    <definedName name="solver_nopt" localSheetId="1" hidden="1">1</definedName>
    <definedName name="solver_nopt" localSheetId="2" hidden="1">1</definedName>
    <definedName name="solver_nsim" hidden="1">1</definedName>
    <definedName name="solver_ntr" localSheetId="1" hidden="1">0</definedName>
    <definedName name="solver_ntr" localSheetId="2" hidden="1">0</definedName>
    <definedName name="solver_ntri" hidden="1">1000</definedName>
    <definedName name="solver_num" localSheetId="1" hidden="1">1</definedName>
    <definedName name="solver_num" localSheetId="2" hidden="1">3</definedName>
    <definedName name="solver_nwt" localSheetId="1" hidden="1">1</definedName>
    <definedName name="solver_nwt" localSheetId="2" hidden="1">1</definedName>
    <definedName name="solver_ofx" localSheetId="1" hidden="1">2</definedName>
    <definedName name="solver_ofx" localSheetId="2" hidden="1">2</definedName>
    <definedName name="solver_opt" localSheetId="1" hidden="1">'Funding Claims'!$E$19</definedName>
    <definedName name="solver_opt" localSheetId="2" hidden="1">'Funding Claims with Risk'!$D$18</definedName>
    <definedName name="solver_piv" localSheetId="1" hidden="1">0.000001</definedName>
    <definedName name="solver_piv" localSheetId="2" hidden="1">0.000001</definedName>
    <definedName name="solver_pre" localSheetId="1" hidden="1">0.000001</definedName>
    <definedName name="solver_pre" localSheetId="2" hidden="1">0.000001</definedName>
    <definedName name="solver_pro" localSheetId="1" hidden="1">2</definedName>
    <definedName name="solver_pro" localSheetId="2" hidden="1">2</definedName>
    <definedName name="solver_psi" localSheetId="1" hidden="1">0</definedName>
    <definedName name="solver_psi" localSheetId="2" hidden="1">0</definedName>
    <definedName name="solver_rbv" localSheetId="1" hidden="1">1</definedName>
    <definedName name="solver_rbv" localSheetId="2" hidden="1">1</definedName>
    <definedName name="solver_rdp" localSheetId="1" hidden="1">1</definedName>
    <definedName name="solver_rdp" localSheetId="2" hidden="1">1</definedName>
    <definedName name="solver_red" localSheetId="1" hidden="1">0.000001</definedName>
    <definedName name="solver_red" localSheetId="2" hidden="1">0.000001</definedName>
    <definedName name="solver_rel1" localSheetId="1" hidden="1">2</definedName>
    <definedName name="solver_rel1" localSheetId="2" hidden="1">3</definedName>
    <definedName name="solver_rel2" localSheetId="1" hidden="1">2</definedName>
    <definedName name="solver_rel2" localSheetId="2" hidden="1">2</definedName>
    <definedName name="solver_rel3" localSheetId="2" hidden="1">1</definedName>
    <definedName name="solver_rel5" localSheetId="1" hidden="1">3</definedName>
    <definedName name="solver_rel6" localSheetId="1" hidden="1">2</definedName>
    <definedName name="solver_reo" localSheetId="1" hidden="1">2</definedName>
    <definedName name="solver_reo" localSheetId="2" hidden="1">2</definedName>
    <definedName name="solver_rep" localSheetId="1" hidden="1">0</definedName>
    <definedName name="solver_rep" localSheetId="2" hidden="1">0</definedName>
    <definedName name="solver_res" localSheetId="1" hidden="1">0.05</definedName>
    <definedName name="solver_res" localSheetId="2" hidden="1">0.05</definedName>
    <definedName name="solver_rhs1" localSheetId="1" hidden="1">'Funding Claims'!$H$20:$M$20</definedName>
    <definedName name="solver_rhs1" localSheetId="2" hidden="1">0</definedName>
    <definedName name="solver_rhs2" localSheetId="1" hidden="1">'Funding Claims'!$H$20:$M$20</definedName>
    <definedName name="solver_rhs2" localSheetId="2" hidden="1">'Funding Claims with Risk'!$G$19:$L$19</definedName>
    <definedName name="solver_rhs3" localSheetId="2" hidden="1">0</definedName>
    <definedName name="solver_rhs5" localSheetId="1" hidden="1">0</definedName>
    <definedName name="solver_rhs6" localSheetId="1" hidden="1">'Funding Claims'!$H$20:$M$20</definedName>
    <definedName name="solver_rlx" localSheetId="1" hidden="1">2</definedName>
    <definedName name="solver_rlx" localSheetId="2" hidden="1">2</definedName>
    <definedName name="solver_rsd" localSheetId="1" hidden="1">0</definedName>
    <definedName name="solver_rsd" localSheetId="2" hidden="1">0</definedName>
    <definedName name="solver_rsmp" hidden="1">2</definedName>
    <definedName name="solver_rtr" localSheetId="1" hidden="1">0</definedName>
    <definedName name="solver_rtr" localSheetId="2" hidden="1">0</definedName>
    <definedName name="solver_rxc1" localSheetId="1" hidden="1">1</definedName>
    <definedName name="solver_rxc1" localSheetId="2" hidden="1">1</definedName>
    <definedName name="solver_rxc2" localSheetId="1" hidden="1">1</definedName>
    <definedName name="solver_rxc2" localSheetId="2" hidden="1">1</definedName>
    <definedName name="solver_rxc3" localSheetId="2" hidden="1">1</definedName>
    <definedName name="solver_rxc5" localSheetId="1" hidden="1">1</definedName>
    <definedName name="solver_rxc6" localSheetId="1" hidden="1">1</definedName>
    <definedName name="solver_scl" localSheetId="1" hidden="1">1</definedName>
    <definedName name="solver_scl" localSheetId="2" hidden="1">2</definedName>
    <definedName name="solver_seed" hidden="1">0</definedName>
    <definedName name="solver_sel" localSheetId="1" hidden="1">1</definedName>
    <definedName name="solver_sel" localSheetId="2" hidden="1">1</definedName>
    <definedName name="solver_sho" localSheetId="1" hidden="1">2</definedName>
    <definedName name="solver_sho" localSheetId="2" hidden="1">2</definedName>
    <definedName name="solver_slv" localSheetId="1" hidden="1">0</definedName>
    <definedName name="solver_slv" localSheetId="2" hidden="1">0</definedName>
    <definedName name="solver_slvu" localSheetId="1" hidden="1">0</definedName>
    <definedName name="solver_slvu" localSheetId="2" hidden="1">0</definedName>
    <definedName name="solver_soc" localSheetId="1" hidden="1">0</definedName>
    <definedName name="solver_soc" localSheetId="2" hidden="1">0</definedName>
    <definedName name="solver_ssz" localSheetId="1" hidden="1">100</definedName>
    <definedName name="solver_ssz" localSheetId="2" hidden="1">0</definedName>
    <definedName name="solver_sta" localSheetId="1" hidden="1">0</definedName>
    <definedName name="solver_sta" localSheetId="2" hidden="1">0</definedName>
    <definedName name="solver_std" localSheetId="1" hidden="1">0</definedName>
    <definedName name="solver_std" localSheetId="2" hidden="1">0</definedName>
    <definedName name="solver_sthr" hidden="1">0</definedName>
    <definedName name="solver_thr" localSheetId="1" hidden="1">0</definedName>
    <definedName name="solver_thr" localSheetId="2" hidden="1">0</definedName>
    <definedName name="solver_tim" localSheetId="1" hidden="1">2147483647</definedName>
    <definedName name="solver_tim" localSheetId="2" hidden="1">2147483647</definedName>
    <definedName name="solver_tms" localSheetId="1" hidden="1">0</definedName>
    <definedName name="solver_tms" localSheetId="2" hidden="1">0</definedName>
    <definedName name="solver_tol" localSheetId="1" hidden="1">0.01</definedName>
    <definedName name="solver_tol" localSheetId="2" hidden="1">0</definedName>
    <definedName name="solver_tree_a" localSheetId="1" hidden="1">1</definedName>
    <definedName name="solver_tree_a" localSheetId="2" hidden="1">1</definedName>
    <definedName name="solver_tree_b" localSheetId="1" hidden="1">1</definedName>
    <definedName name="solver_tree_b" localSheetId="2" hidden="1">1</definedName>
    <definedName name="solver_tree_ce" localSheetId="1" hidden="1">1</definedName>
    <definedName name="solver_tree_ce" localSheetId="2" hidden="1">1</definedName>
    <definedName name="solver_tree_dn" localSheetId="1" hidden="1">1</definedName>
    <definedName name="solver_tree_dn" localSheetId="2" hidden="1">1</definedName>
    <definedName name="solver_tree_rt" localSheetId="1" hidden="1">999999999999</definedName>
    <definedName name="solver_tree_rt" localSheetId="2" hidden="1">999999999999</definedName>
    <definedName name="solver_typ" localSheetId="1" hidden="1">2</definedName>
    <definedName name="solver_typ" localSheetId="2" hidden="1">2</definedName>
    <definedName name="solver_ubigm" localSheetId="1" hidden="1">1000000</definedName>
    <definedName name="solver_ubigm" localSheetId="2" hidden="1">1000000</definedName>
    <definedName name="solver_ucens" hidden="1">1E+30</definedName>
    <definedName name="solver_ucut" hidden="1">1E+30</definedName>
    <definedName name="solver_umod" localSheetId="1" hidden="1">1</definedName>
    <definedName name="solver_umod" localSheetId="2" hidden="1">1</definedName>
    <definedName name="solver_urs" localSheetId="1" hidden="1">0</definedName>
    <definedName name="solver_urs" localSheetId="2" hidden="1">0</definedName>
    <definedName name="solver_val" localSheetId="1" hidden="1">0</definedName>
    <definedName name="solver_val" localSheetId="2" hidden="1">0</definedName>
    <definedName name="solver_ver" localSheetId="1" hidden="1">3</definedName>
    <definedName name="solver_ver" localSheetId="2" hidden="1">3</definedName>
    <definedName name="solver_vol" localSheetId="1" hidden="1">0</definedName>
    <definedName name="solver_vol" localSheetId="2" hidden="1">0</definedName>
    <definedName name="Toggle">[1]!Toggle</definedName>
  </definedNames>
  <calcPr calcId="191029"/>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6" i="2" l="1"/>
  <c r="D18" i="3" l="1"/>
  <c r="R17" i="3"/>
  <c r="P17" i="3"/>
  <c r="N17" i="3"/>
  <c r="L17" i="3"/>
  <c r="K17" i="3"/>
  <c r="S17" i="3" s="1"/>
  <c r="J17" i="3"/>
  <c r="I17" i="3"/>
  <c r="Q17" i="3" s="1"/>
  <c r="H17" i="3"/>
  <c r="G17" i="3"/>
  <c r="O17" i="3" s="1"/>
  <c r="F17" i="3"/>
  <c r="S16" i="3"/>
  <c r="O16" i="3"/>
  <c r="L16" i="3"/>
  <c r="K16" i="3"/>
  <c r="J16" i="3"/>
  <c r="R16" i="3" s="1"/>
  <c r="I16" i="3"/>
  <c r="Q16" i="3" s="1"/>
  <c r="H16" i="3"/>
  <c r="P16" i="3" s="1"/>
  <c r="G16" i="3"/>
  <c r="F16" i="3"/>
  <c r="N16" i="3" s="1"/>
  <c r="R15" i="3"/>
  <c r="P15" i="3"/>
  <c r="N15" i="3"/>
  <c r="L15" i="3"/>
  <c r="K15" i="3"/>
  <c r="S15" i="3" s="1"/>
  <c r="J15" i="3"/>
  <c r="I15" i="3"/>
  <c r="Q15" i="3" s="1"/>
  <c r="H15" i="3"/>
  <c r="G15" i="3"/>
  <c r="O15" i="3" s="1"/>
  <c r="F15" i="3"/>
  <c r="S14" i="3"/>
  <c r="Q14" i="3"/>
  <c r="O14" i="3"/>
  <c r="L14" i="3"/>
  <c r="K14" i="3"/>
  <c r="J14" i="3"/>
  <c r="R14" i="3" s="1"/>
  <c r="I14" i="3"/>
  <c r="H14" i="3"/>
  <c r="P14" i="3" s="1"/>
  <c r="G14" i="3"/>
  <c r="F14" i="3"/>
  <c r="N14" i="3" s="1"/>
  <c r="R13" i="3"/>
  <c r="P13" i="3"/>
  <c r="N13" i="3"/>
  <c r="L13" i="3"/>
  <c r="K13" i="3"/>
  <c r="S13" i="3" s="1"/>
  <c r="J13" i="3"/>
  <c r="I13" i="3"/>
  <c r="Q13" i="3" s="1"/>
  <c r="H13" i="3"/>
  <c r="G13" i="3"/>
  <c r="O13" i="3" s="1"/>
  <c r="F13" i="3"/>
  <c r="S12" i="3"/>
  <c r="Q12" i="3"/>
  <c r="O12" i="3"/>
  <c r="L12" i="3"/>
  <c r="K12" i="3"/>
  <c r="J12" i="3"/>
  <c r="R12" i="3" s="1"/>
  <c r="I12" i="3"/>
  <c r="H12" i="3"/>
  <c r="P12" i="3" s="1"/>
  <c r="G12" i="3"/>
  <c r="F12" i="3"/>
  <c r="N12" i="3" s="1"/>
  <c r="R11" i="3"/>
  <c r="P11" i="3"/>
  <c r="N11" i="3"/>
  <c r="L11" i="3"/>
  <c r="K11" i="3"/>
  <c r="S11" i="3" s="1"/>
  <c r="J11" i="3"/>
  <c r="I11" i="3"/>
  <c r="Q11" i="3" s="1"/>
  <c r="H11" i="3"/>
  <c r="G11" i="3"/>
  <c r="O11" i="3" s="1"/>
  <c r="F11" i="3"/>
  <c r="S10" i="3"/>
  <c r="Q10" i="3"/>
  <c r="O10" i="3"/>
  <c r="L10" i="3"/>
  <c r="K10" i="3"/>
  <c r="J10" i="3"/>
  <c r="R10" i="3" s="1"/>
  <c r="I10" i="3"/>
  <c r="H10" i="3"/>
  <c r="H18" i="3" s="1"/>
  <c r="G10" i="3"/>
  <c r="F10" i="3"/>
  <c r="N10" i="3" s="1"/>
  <c r="R9" i="3"/>
  <c r="P9" i="3"/>
  <c r="N9" i="3"/>
  <c r="L9" i="3"/>
  <c r="K9" i="3"/>
  <c r="S9" i="3" s="1"/>
  <c r="J9" i="3"/>
  <c r="I9" i="3"/>
  <c r="Q9" i="3" s="1"/>
  <c r="H9" i="3"/>
  <c r="G9" i="3"/>
  <c r="O9" i="3" s="1"/>
  <c r="F9" i="3"/>
  <c r="S8" i="3"/>
  <c r="Q8" i="3"/>
  <c r="O8" i="3"/>
  <c r="L8" i="3"/>
  <c r="K8" i="3"/>
  <c r="J8" i="3"/>
  <c r="R8" i="3" s="1"/>
  <c r="I8" i="3"/>
  <c r="H8" i="3"/>
  <c r="P8" i="3" s="1"/>
  <c r="G8" i="3"/>
  <c r="F8" i="3"/>
  <c r="N8" i="3" s="1"/>
  <c r="R7" i="3"/>
  <c r="P7" i="3"/>
  <c r="N7" i="3"/>
  <c r="L7" i="3"/>
  <c r="K7" i="3"/>
  <c r="S7" i="3" s="1"/>
  <c r="J7" i="3"/>
  <c r="I7" i="3"/>
  <c r="I18" i="3" s="1"/>
  <c r="H7" i="3"/>
  <c r="G7" i="3"/>
  <c r="G18" i="3" s="1"/>
  <c r="F7" i="3"/>
  <c r="S6" i="3"/>
  <c r="Q6" i="3"/>
  <c r="O6" i="3"/>
  <c r="L6" i="3"/>
  <c r="L18" i="3" s="1"/>
  <c r="K6" i="3"/>
  <c r="K18" i="3" s="1"/>
  <c r="J6" i="3"/>
  <c r="R6" i="3" s="1"/>
  <c r="I6" i="3"/>
  <c r="H6" i="3"/>
  <c r="P6" i="3" s="1"/>
  <c r="G6" i="3"/>
  <c r="F6" i="3"/>
  <c r="N6" i="3" s="1"/>
  <c r="N18" i="3" s="1"/>
  <c r="E19" i="2"/>
  <c r="M18" i="2"/>
  <c r="L18" i="2"/>
  <c r="K18" i="2"/>
  <c r="J18" i="2"/>
  <c r="I18" i="2"/>
  <c r="H18" i="2"/>
  <c r="G18" i="2"/>
  <c r="M17" i="2"/>
  <c r="L17" i="2"/>
  <c r="K17" i="2"/>
  <c r="J17" i="2"/>
  <c r="I17" i="2"/>
  <c r="H17" i="2"/>
  <c r="G17" i="2"/>
  <c r="M16" i="2"/>
  <c r="L16" i="2"/>
  <c r="K16" i="2"/>
  <c r="J16" i="2"/>
  <c r="I16" i="2"/>
  <c r="H16" i="2"/>
  <c r="G16" i="2"/>
  <c r="M15" i="2"/>
  <c r="L15" i="2"/>
  <c r="K15" i="2"/>
  <c r="J15" i="2"/>
  <c r="I15" i="2"/>
  <c r="H15" i="2"/>
  <c r="G15" i="2"/>
  <c r="M14" i="2"/>
  <c r="L14" i="2"/>
  <c r="K14" i="2"/>
  <c r="J14" i="2"/>
  <c r="I14" i="2"/>
  <c r="H14" i="2"/>
  <c r="G14" i="2"/>
  <c r="M13" i="2"/>
  <c r="L13" i="2"/>
  <c r="K13" i="2"/>
  <c r="J13" i="2"/>
  <c r="I13" i="2"/>
  <c r="H13" i="2"/>
  <c r="G13" i="2"/>
  <c r="M12" i="2"/>
  <c r="L12" i="2"/>
  <c r="K12" i="2"/>
  <c r="J12" i="2"/>
  <c r="I12" i="2"/>
  <c r="H12" i="2"/>
  <c r="G12" i="2"/>
  <c r="M11" i="2"/>
  <c r="L11" i="2"/>
  <c r="K11" i="2"/>
  <c r="J11" i="2"/>
  <c r="I11" i="2"/>
  <c r="H11" i="2"/>
  <c r="G11" i="2"/>
  <c r="M10" i="2"/>
  <c r="L10" i="2"/>
  <c r="K10" i="2"/>
  <c r="J10" i="2"/>
  <c r="I10" i="2"/>
  <c r="H10" i="2"/>
  <c r="G10" i="2"/>
  <c r="M9" i="2"/>
  <c r="L9" i="2"/>
  <c r="K9" i="2"/>
  <c r="J9" i="2"/>
  <c r="I9" i="2"/>
  <c r="H9" i="2"/>
  <c r="G9" i="2"/>
  <c r="M8" i="2"/>
  <c r="L8" i="2"/>
  <c r="K8" i="2"/>
  <c r="J8" i="2"/>
  <c r="I8" i="2"/>
  <c r="H8" i="2"/>
  <c r="G8" i="2"/>
  <c r="M7" i="2"/>
  <c r="L7" i="2"/>
  <c r="K7" i="2"/>
  <c r="J7" i="2"/>
  <c r="I7" i="2"/>
  <c r="H7" i="2"/>
  <c r="G7" i="2"/>
  <c r="H19" i="2" l="1"/>
  <c r="L19" i="2"/>
  <c r="I19" i="2"/>
  <c r="J19" i="2"/>
  <c r="M19" i="2"/>
  <c r="K19" i="2"/>
  <c r="S18" i="3"/>
  <c r="R18" i="3"/>
  <c r="J18" i="3"/>
  <c r="O7" i="3"/>
  <c r="O18" i="3" s="1"/>
  <c r="P10" i="3"/>
  <c r="P18" i="3" s="1"/>
  <c r="Q7" i="3"/>
  <c r="Q18"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 satisfied Microsoft Office user</author>
  </authors>
  <commentList>
    <comment ref="E7" authorId="0" shapeId="0" xr:uid="{74544AA0-AFCC-4EAD-B83A-66CE34CF2EE3}">
      <text>
        <r>
          <rPr>
            <sz val="8"/>
            <color indexed="81"/>
            <rFont val="Tahoma"/>
            <family val="2"/>
          </rPr>
          <t>Variable cell</t>
        </r>
      </text>
    </comment>
    <comment ref="E8" authorId="0" shapeId="0" xr:uid="{FF6E9795-5D3E-4BDE-B08A-2174EF143E58}">
      <text>
        <r>
          <rPr>
            <sz val="8"/>
            <color indexed="81"/>
            <rFont val="Tahoma"/>
            <family val="2"/>
          </rPr>
          <t>Variable cell</t>
        </r>
      </text>
    </comment>
    <comment ref="E9" authorId="0" shapeId="0" xr:uid="{AD5A5BB5-CC34-4C4C-8C5C-952836D6B389}">
      <text>
        <r>
          <rPr>
            <sz val="8"/>
            <color indexed="81"/>
            <rFont val="Tahoma"/>
            <family val="2"/>
          </rPr>
          <t>Variable cell</t>
        </r>
      </text>
    </comment>
    <comment ref="E10" authorId="0" shapeId="0" xr:uid="{A70B7DF9-1667-4263-B951-201466B58DC8}">
      <text>
        <r>
          <rPr>
            <sz val="8"/>
            <color indexed="81"/>
            <rFont val="Tahoma"/>
            <family val="2"/>
          </rPr>
          <t>Variable cell</t>
        </r>
      </text>
    </comment>
    <comment ref="E11" authorId="0" shapeId="0" xr:uid="{1715F66E-7237-4177-B354-0FE12CA6DC24}">
      <text>
        <r>
          <rPr>
            <sz val="8"/>
            <color indexed="81"/>
            <rFont val="Tahoma"/>
            <family val="2"/>
          </rPr>
          <t>Variable cell</t>
        </r>
      </text>
    </comment>
    <comment ref="E12" authorId="0" shapeId="0" xr:uid="{C1C3FE66-3B46-46D0-B322-1B0C2BF3640E}">
      <text>
        <r>
          <rPr>
            <sz val="8"/>
            <color indexed="81"/>
            <rFont val="Tahoma"/>
            <family val="2"/>
          </rPr>
          <t>Variable cell</t>
        </r>
      </text>
    </comment>
    <comment ref="E13" authorId="0" shapeId="0" xr:uid="{07E87629-5015-4662-A333-094EA8DFF701}">
      <text>
        <r>
          <rPr>
            <sz val="8"/>
            <color indexed="81"/>
            <rFont val="Tahoma"/>
            <family val="2"/>
          </rPr>
          <t>Variable cell</t>
        </r>
      </text>
    </comment>
    <comment ref="E14" authorId="0" shapeId="0" xr:uid="{22DDAFD3-6D5E-4C54-A465-24F9E52E7141}">
      <text>
        <r>
          <rPr>
            <sz val="8"/>
            <color indexed="81"/>
            <rFont val="Tahoma"/>
            <family val="2"/>
          </rPr>
          <t>Variable cell</t>
        </r>
      </text>
    </comment>
    <comment ref="E15" authorId="0" shapeId="0" xr:uid="{D3B14C7C-141C-4D15-A41F-78DEBA724FDA}">
      <text>
        <r>
          <rPr>
            <sz val="8"/>
            <color indexed="81"/>
            <rFont val="Tahoma"/>
            <family val="2"/>
          </rPr>
          <t>Variable cell</t>
        </r>
      </text>
    </comment>
    <comment ref="E16" authorId="0" shapeId="0" xr:uid="{46CDB26D-875C-4DF5-889B-500EBD12B136}">
      <text>
        <r>
          <rPr>
            <sz val="8"/>
            <color indexed="81"/>
            <rFont val="Tahoma"/>
            <family val="2"/>
          </rPr>
          <t>Variable cell</t>
        </r>
      </text>
    </comment>
    <comment ref="E17" authorId="0" shapeId="0" xr:uid="{B7A621FB-50E9-49AD-AA51-CEACB9DA4D35}">
      <text>
        <r>
          <rPr>
            <sz val="8"/>
            <color indexed="81"/>
            <rFont val="Tahoma"/>
            <family val="2"/>
          </rPr>
          <t>Variable cell</t>
        </r>
      </text>
    </comment>
    <comment ref="E18" authorId="0" shapeId="0" xr:uid="{C1374AC0-C03C-4DF7-A278-D899353F6BE2}">
      <text>
        <r>
          <rPr>
            <sz val="8"/>
            <color indexed="81"/>
            <rFont val="Tahoma"/>
            <family val="2"/>
          </rPr>
          <t>Variable cell</t>
        </r>
      </text>
    </comment>
    <comment ref="E19" authorId="0" shapeId="0" xr:uid="{FA889902-1323-4228-8BDC-114695EF1097}">
      <text>
        <r>
          <rPr>
            <sz val="8"/>
            <color indexed="81"/>
            <rFont val="Tahoma"/>
            <family val="2"/>
          </rPr>
          <t>Objective cell</t>
        </r>
      </text>
    </comment>
    <comment ref="H19" authorId="0" shapeId="0" xr:uid="{265B35A5-FB4B-4BB8-9B78-D21C4236FBD1}">
      <text>
        <r>
          <rPr>
            <sz val="8"/>
            <color indexed="81"/>
            <rFont val="Tahoma"/>
            <family val="2"/>
          </rPr>
          <t>Constraint cell</t>
        </r>
      </text>
    </comment>
    <comment ref="I19" authorId="0" shapeId="0" xr:uid="{C5796F62-417C-419D-8A4B-00AE95EF906B}">
      <text>
        <r>
          <rPr>
            <sz val="8"/>
            <color indexed="81"/>
            <rFont val="Tahoma"/>
            <family val="2"/>
          </rPr>
          <t>Constraint cell</t>
        </r>
      </text>
    </comment>
    <comment ref="J19" authorId="0" shapeId="0" xr:uid="{F695A0DA-54E8-4F81-9BEB-BF80BBE6349A}">
      <text>
        <r>
          <rPr>
            <sz val="8"/>
            <color indexed="81"/>
            <rFont val="Tahoma"/>
            <family val="2"/>
          </rPr>
          <t>Constraint cell</t>
        </r>
      </text>
    </comment>
    <comment ref="K19" authorId="0" shapeId="0" xr:uid="{4054B3A1-D91E-4767-943B-0BDD507BDEA7}">
      <text>
        <r>
          <rPr>
            <sz val="8"/>
            <color indexed="81"/>
            <rFont val="Tahoma"/>
            <family val="2"/>
          </rPr>
          <t>Constraint cell</t>
        </r>
      </text>
    </comment>
    <comment ref="L19" authorId="0" shapeId="0" xr:uid="{1DCBC0A5-A595-4100-80CB-914CD9E3A022}">
      <text>
        <r>
          <rPr>
            <sz val="8"/>
            <color indexed="81"/>
            <rFont val="Tahoma"/>
            <family val="2"/>
          </rPr>
          <t>Constraint cell</t>
        </r>
      </text>
    </comment>
    <comment ref="M19" authorId="0" shapeId="0" xr:uid="{4393B0AA-E0C6-48FE-A1ED-D28F17511921}">
      <text>
        <r>
          <rPr>
            <sz val="8"/>
            <color indexed="81"/>
            <rFont val="Tahoma"/>
            <family val="2"/>
          </rPr>
          <t>Constraint cell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 satisfied Microsoft Office user</author>
  </authors>
  <commentList>
    <comment ref="D6" authorId="0" shapeId="0" xr:uid="{9C237EFE-F508-48AD-8981-9EC87DF92F9B}">
      <text>
        <r>
          <rPr>
            <sz val="8"/>
            <color indexed="81"/>
            <rFont val="Tahoma"/>
            <family val="2"/>
          </rPr>
          <t>Variable cell</t>
        </r>
      </text>
    </comment>
    <comment ref="D7" authorId="0" shapeId="0" xr:uid="{02941468-440E-4447-B4AA-CD6C470ECD19}">
      <text>
        <r>
          <rPr>
            <sz val="8"/>
            <color indexed="81"/>
            <rFont val="Tahoma"/>
            <family val="2"/>
          </rPr>
          <t>Variable cell</t>
        </r>
      </text>
    </comment>
    <comment ref="D8" authorId="0" shapeId="0" xr:uid="{3344924D-09CC-425B-85FD-D62F6C05376E}">
      <text>
        <r>
          <rPr>
            <sz val="8"/>
            <color indexed="81"/>
            <rFont val="Tahoma"/>
            <family val="2"/>
          </rPr>
          <t>Variable cell</t>
        </r>
      </text>
    </comment>
    <comment ref="D9" authorId="0" shapeId="0" xr:uid="{5E689477-AE8E-410B-9462-1E996E480796}">
      <text>
        <r>
          <rPr>
            <sz val="8"/>
            <color indexed="81"/>
            <rFont val="Tahoma"/>
            <family val="2"/>
          </rPr>
          <t>Variable cell</t>
        </r>
      </text>
    </comment>
    <comment ref="D10" authorId="0" shapeId="0" xr:uid="{75AAE43A-72DA-4249-9544-D18C97DD79BF}">
      <text>
        <r>
          <rPr>
            <sz val="8"/>
            <color indexed="81"/>
            <rFont val="Tahoma"/>
            <family val="2"/>
          </rPr>
          <t>Variable cell</t>
        </r>
      </text>
    </comment>
    <comment ref="D11" authorId="0" shapeId="0" xr:uid="{E551C6FF-966D-44BF-9902-193ABACD38AD}">
      <text>
        <r>
          <rPr>
            <sz val="8"/>
            <color indexed="81"/>
            <rFont val="Tahoma"/>
            <family val="2"/>
          </rPr>
          <t>Variable cell</t>
        </r>
      </text>
    </comment>
    <comment ref="D12" authorId="0" shapeId="0" xr:uid="{4401F447-27C5-449E-B9B4-3BBB1460C572}">
      <text>
        <r>
          <rPr>
            <sz val="8"/>
            <color indexed="81"/>
            <rFont val="Tahoma"/>
            <family val="2"/>
          </rPr>
          <t>Variable cell</t>
        </r>
      </text>
    </comment>
    <comment ref="D13" authorId="0" shapeId="0" xr:uid="{B874C703-6FF1-418D-9FA7-BF44ED82D6E7}">
      <text>
        <r>
          <rPr>
            <sz val="8"/>
            <color indexed="81"/>
            <rFont val="Tahoma"/>
            <family val="2"/>
          </rPr>
          <t>Variable cell</t>
        </r>
      </text>
    </comment>
    <comment ref="D14" authorId="0" shapeId="0" xr:uid="{8468F9B3-B2C7-4487-90CE-7CEED6F6E7B8}">
      <text>
        <r>
          <rPr>
            <sz val="8"/>
            <color indexed="81"/>
            <rFont val="Tahoma"/>
            <family val="2"/>
          </rPr>
          <t>Variable cell</t>
        </r>
      </text>
    </comment>
    <comment ref="D15" authorId="0" shapeId="0" xr:uid="{51AA8D48-DB0D-4E76-BA3B-D45D2970AA94}">
      <text>
        <r>
          <rPr>
            <sz val="8"/>
            <color indexed="81"/>
            <rFont val="Tahoma"/>
            <family val="2"/>
          </rPr>
          <t>Variable cell</t>
        </r>
      </text>
    </comment>
    <comment ref="D16" authorId="0" shapeId="0" xr:uid="{8DB9FD6D-C156-49F6-A6D3-FFF30562C71C}">
      <text>
        <r>
          <rPr>
            <sz val="8"/>
            <color indexed="81"/>
            <rFont val="Tahoma"/>
            <family val="2"/>
          </rPr>
          <t>Variable cell</t>
        </r>
      </text>
    </comment>
    <comment ref="D17" authorId="0" shapeId="0" xr:uid="{DAB76CFE-163C-4325-803E-915A1D6AFC07}">
      <text>
        <r>
          <rPr>
            <sz val="8"/>
            <color indexed="81"/>
            <rFont val="Tahoma"/>
            <family val="2"/>
          </rPr>
          <t>Variable cell</t>
        </r>
      </text>
    </comment>
    <comment ref="D18" authorId="0" shapeId="0" xr:uid="{E1935932-D266-47A5-9EB5-D261E40629A6}">
      <text>
        <r>
          <rPr>
            <sz val="8"/>
            <color indexed="81"/>
            <rFont val="Tahoma"/>
            <family val="2"/>
          </rPr>
          <t>Objective cell</t>
        </r>
      </text>
    </comment>
    <comment ref="G18" authorId="0" shapeId="0" xr:uid="{2C22A67D-5624-40E2-B840-B25427F5AC56}">
      <text>
        <r>
          <rPr>
            <sz val="8"/>
            <color indexed="81"/>
            <rFont val="Tahoma"/>
            <family val="2"/>
          </rPr>
          <t>Constraint cell</t>
        </r>
      </text>
    </comment>
    <comment ref="H18" authorId="0" shapeId="0" xr:uid="{AD322F60-F8C1-44D7-8BD4-F2C43E618BC2}">
      <text>
        <r>
          <rPr>
            <sz val="8"/>
            <color indexed="81"/>
            <rFont val="Tahoma"/>
            <family val="2"/>
          </rPr>
          <t>Constraint cell</t>
        </r>
      </text>
    </comment>
    <comment ref="I18" authorId="0" shapeId="0" xr:uid="{E3F66214-590A-4BA1-8A59-5B5FF38DC304}">
      <text>
        <r>
          <rPr>
            <sz val="8"/>
            <color indexed="81"/>
            <rFont val="Tahoma"/>
            <family val="2"/>
          </rPr>
          <t>Constraint cell</t>
        </r>
      </text>
    </comment>
    <comment ref="J18" authorId="0" shapeId="0" xr:uid="{C803D626-53B8-4EDE-8257-56FC6B9FF604}">
      <text>
        <r>
          <rPr>
            <sz val="8"/>
            <color indexed="81"/>
            <rFont val="Tahoma"/>
            <family val="2"/>
          </rPr>
          <t>Constraint cell</t>
        </r>
      </text>
    </comment>
    <comment ref="K18" authorId="0" shapeId="0" xr:uid="{33A045B5-30AE-4D5E-BDCC-DF2019EE2BDD}">
      <text>
        <r>
          <rPr>
            <sz val="8"/>
            <color indexed="81"/>
            <rFont val="Tahoma"/>
            <family val="2"/>
          </rPr>
          <t>Constraint cell</t>
        </r>
      </text>
    </comment>
    <comment ref="L18" authorId="0" shapeId="0" xr:uid="{A6774564-0494-42D7-8620-867D6E0C40F6}">
      <text>
        <r>
          <rPr>
            <sz val="8"/>
            <color indexed="81"/>
            <rFont val="Tahoma"/>
            <family val="2"/>
          </rPr>
          <t>Constraint cell</t>
        </r>
      </text>
    </comment>
    <comment ref="N18" authorId="0" shapeId="0" xr:uid="{58936F19-984E-470F-A75F-28D067F3CB19}">
      <text>
        <r>
          <rPr>
            <sz val="8"/>
            <color indexed="81"/>
            <rFont val="Tahoma"/>
            <family val="2"/>
          </rPr>
          <t>Constraint cell</t>
        </r>
      </text>
    </comment>
    <comment ref="O18" authorId="0" shapeId="0" xr:uid="{13CF6973-A6E1-4B13-A9F5-8BAAEA55F21E}">
      <text>
        <r>
          <rPr>
            <sz val="8"/>
            <color indexed="81"/>
            <rFont val="Tahoma"/>
            <family val="2"/>
          </rPr>
          <t>Constraint cell</t>
        </r>
      </text>
    </comment>
    <comment ref="P18" authorId="0" shapeId="0" xr:uid="{A333EDD5-5350-4BB6-9363-85FBCA2D996D}">
      <text>
        <r>
          <rPr>
            <sz val="8"/>
            <color indexed="81"/>
            <rFont val="Tahoma"/>
            <family val="2"/>
          </rPr>
          <t>Constraint cell</t>
        </r>
      </text>
    </comment>
    <comment ref="Q18" authorId="0" shapeId="0" xr:uid="{95520F62-6BF7-4AF2-A6FD-B66B5E1A9C55}">
      <text>
        <r>
          <rPr>
            <sz val="8"/>
            <color indexed="81"/>
            <rFont val="Tahoma"/>
            <family val="2"/>
          </rPr>
          <t>Constraint cell</t>
        </r>
      </text>
    </comment>
    <comment ref="R18" authorId="0" shapeId="0" xr:uid="{123809C6-2235-4BAE-9657-C7FFFC934705}">
      <text>
        <r>
          <rPr>
            <sz val="8"/>
            <color indexed="81"/>
            <rFont val="Tahoma"/>
            <family val="2"/>
          </rPr>
          <t>Constraint cell</t>
        </r>
      </text>
    </comment>
    <comment ref="S18" authorId="0" shapeId="0" xr:uid="{C4673CC3-A72A-4CB8-894C-2FC0EAD60E26}">
      <text>
        <r>
          <rPr>
            <sz val="8"/>
            <color indexed="81"/>
            <rFont val="Tahoma"/>
            <family val="2"/>
          </rPr>
          <t>Constraint cell</t>
        </r>
      </text>
    </comment>
  </commentList>
</comments>
</file>

<file path=xl/sharedStrings.xml><?xml version="1.0" encoding="utf-8"?>
<sst xmlns="http://schemas.openxmlformats.org/spreadsheetml/2006/main" count="71" uniqueCount="34">
  <si>
    <t>month</t>
  </si>
  <si>
    <t>Claims (000)</t>
  </si>
  <si>
    <t>month of cash</t>
  </si>
  <si>
    <t>fund</t>
  </si>
  <si>
    <t>inflow</t>
  </si>
  <si>
    <t>outflow</t>
  </si>
  <si>
    <t>return</t>
  </si>
  <si>
    <t>A</t>
  </si>
  <si>
    <t>B</t>
  </si>
  <si>
    <t>C</t>
  </si>
  <si>
    <t>D</t>
  </si>
  <si>
    <t>capital</t>
  </si>
  <si>
    <t>surplus</t>
  </si>
  <si>
    <t>claims</t>
  </si>
  <si>
    <t xml:space="preserve">Total Invested by the end of month 1 </t>
  </si>
  <si>
    <t>Month of Cash</t>
  </si>
  <si>
    <t>Cash Flow Summary For Month</t>
  </si>
  <si>
    <t>Risk Score</t>
  </si>
  <si>
    <t>Adjusted Risk Factors For Month:</t>
  </si>
  <si>
    <t>Investment</t>
  </si>
  <si>
    <t>Inflow</t>
  </si>
  <si>
    <t>Outflow</t>
  </si>
  <si>
    <t>Amount</t>
  </si>
  <si>
    <t>Return</t>
  </si>
  <si>
    <t>Total Invested in Month 1</t>
  </si>
  <si>
    <t xml:space="preserve">   Surplus Funds</t>
  </si>
  <si>
    <t>Claims</t>
  </si>
  <si>
    <t>Maximum Weighted Average Risk</t>
  </si>
  <si>
    <t>Municipal Insurance Fund -- With Risk</t>
  </si>
  <si>
    <t>Municipal Insurance Fund</t>
  </si>
  <si>
    <t xml:space="preserve">Vegan Workers Insurance Fund </t>
  </si>
  <si>
    <t>cash flow per year</t>
  </si>
  <si>
    <t>year of casl flow</t>
  </si>
  <si>
    <t>capital invested in year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</si>
</sst>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5" formatCode="&quot;$&quot;#,##0_);\(&quot;$&quot;#,##0\)"/>
    <numFmt numFmtId="43" formatCode="_(* #,##0.00_);_(* \(#,##0.00\);_(* &quot;-&quot;??_);_(@_)"/>
    <numFmt numFmtId="164" formatCode="General_)"/>
    <numFmt numFmtId="165" formatCode="0.0%"/>
    <numFmt numFmtId="166" formatCode="&quot;$&quot;#,##0.000_);\(&quot;$&quot;#,##0.000\)"/>
    <numFmt numFmtId="167" formatCode="0.000"/>
    <numFmt numFmtId="168" formatCode="0.0"/>
    <numFmt numFmtId="169" formatCode="&quot;$&quot;#,##0.000"/>
  </numFmts>
  <fonts count="9" x14ac:knownFonts="1">
    <font>
      <sz val="10"/>
      <name val="Arial"/>
      <family val="2"/>
    </font>
    <font>
      <sz val="10"/>
      <name val="Arial"/>
      <family val="2"/>
    </font>
    <font>
      <b/>
      <sz val="11"/>
      <name val="Arial"/>
      <family val="2"/>
    </font>
    <font>
      <sz val="9"/>
      <name val="Arial"/>
      <family val="2"/>
    </font>
    <font>
      <sz val="8"/>
      <color indexed="81"/>
      <name val="Tahoma"/>
      <family val="2"/>
    </font>
    <font>
      <sz val="10"/>
      <name val="Courier"/>
      <family val="3"/>
    </font>
    <font>
      <b/>
      <sz val="10"/>
      <name val="Arial"/>
      <family val="2"/>
    </font>
    <font>
      <b/>
      <sz val="14"/>
      <name val="Arial"/>
      <family val="2"/>
    </font>
    <font>
      <sz val="10"/>
      <color rgb="FF000000"/>
      <name val="Arial"/>
      <family val="2"/>
    </font>
  </fonts>
  <fills count="9">
    <fill>
      <patternFill patternType="none"/>
    </fill>
    <fill>
      <patternFill patternType="gray125"/>
    </fill>
    <fill>
      <patternFill patternType="solid">
        <fgColor theme="4" tint="0.79998168889431442"/>
        <bgColor indexed="64"/>
      </patternFill>
    </fill>
    <fill>
      <patternFill patternType="solid">
        <fgColor theme="9" tint="0.59999389629810485"/>
        <bgColor indexed="64"/>
      </patternFill>
    </fill>
    <fill>
      <patternFill patternType="solid">
        <fgColor theme="6" tint="0.59999389629810485"/>
        <bgColor indexed="64"/>
      </patternFill>
    </fill>
    <fill>
      <patternFill patternType="solid">
        <fgColor theme="0"/>
        <bgColor indexed="64"/>
      </patternFill>
    </fill>
    <fill>
      <patternFill patternType="solid">
        <fgColor theme="2" tint="-9.9978637043366805E-2"/>
        <bgColor indexed="64"/>
      </patternFill>
    </fill>
    <fill>
      <patternFill patternType="solid">
        <fgColor theme="7" tint="0.79998168889431442"/>
        <bgColor indexed="64"/>
      </patternFill>
    </fill>
    <fill>
      <patternFill patternType="solid">
        <fgColor theme="9" tint="0.79998168889431442"/>
        <bgColor indexed="64"/>
      </patternFill>
    </fill>
  </fills>
  <borders count="21">
    <border>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dotted">
        <color indexed="64"/>
      </bottom>
      <diagonal/>
    </border>
    <border>
      <left/>
      <right/>
      <top style="thin">
        <color indexed="64"/>
      </top>
      <bottom/>
      <diagonal/>
    </border>
    <border>
      <left style="thin">
        <color indexed="64"/>
      </left>
      <right style="thin">
        <color indexed="64"/>
      </right>
      <top style="dotted">
        <color indexed="64"/>
      </top>
      <bottom style="dotted">
        <color indexed="64"/>
      </bottom>
      <diagonal/>
    </border>
    <border>
      <left style="thin">
        <color indexed="64"/>
      </left>
      <right style="thin">
        <color indexed="64"/>
      </right>
      <top style="dotted">
        <color indexed="64"/>
      </top>
      <bottom style="thin">
        <color indexed="64"/>
      </bottom>
      <diagonal/>
    </border>
    <border>
      <left/>
      <right/>
      <top/>
      <bottom style="thin">
        <color indexed="64"/>
      </bottom>
      <diagonal/>
    </border>
    <border>
      <left/>
      <right/>
      <top/>
      <bottom style="double">
        <color indexed="64"/>
      </bottom>
      <diagonal/>
    </border>
    <border>
      <left style="double">
        <color indexed="64"/>
      </left>
      <right/>
      <top/>
      <bottom style="double">
        <color indexed="64"/>
      </bottom>
      <diagonal/>
    </border>
  </borders>
  <cellStyleXfs count="5">
    <xf numFmtId="0" fontId="0" fillId="0" borderId="0"/>
    <xf numFmtId="164" fontId="1" fillId="0" borderId="0"/>
    <xf numFmtId="9" fontId="1" fillId="0" borderId="0" applyFont="0" applyFill="0" applyBorder="0" applyAlignment="0" applyProtection="0"/>
    <xf numFmtId="164" fontId="5" fillId="0" borderId="0"/>
    <xf numFmtId="43" fontId="1" fillId="0" borderId="0" applyFont="0" applyFill="0" applyBorder="0" applyAlignment="0" applyProtection="0"/>
  </cellStyleXfs>
  <cellXfs count="79">
    <xf numFmtId="0" fontId="0" fillId="0" borderId="0" xfId="0"/>
    <xf numFmtId="164" fontId="1" fillId="0" borderId="0" xfId="1"/>
    <xf numFmtId="164" fontId="1" fillId="2" borderId="3" xfId="1" applyFill="1" applyBorder="1" applyAlignment="1">
      <alignment horizontal="center"/>
    </xf>
    <xf numFmtId="5" fontId="1" fillId="0" borderId="3" xfId="1" applyNumberFormat="1" applyBorder="1" applyAlignment="1">
      <alignment horizontal="center"/>
    </xf>
    <xf numFmtId="164" fontId="1" fillId="0" borderId="4" xfId="1" applyBorder="1" applyAlignment="1">
      <alignment horizontal="center"/>
    </xf>
    <xf numFmtId="164" fontId="1" fillId="0" borderId="5" xfId="1" applyBorder="1" applyAlignment="1">
      <alignment horizontal="center"/>
    </xf>
    <xf numFmtId="164" fontId="1" fillId="0" borderId="6" xfId="1" applyBorder="1" applyAlignment="1">
      <alignment horizontal="center"/>
    </xf>
    <xf numFmtId="165" fontId="1" fillId="0" borderId="4" xfId="2" applyNumberFormat="1" applyFont="1" applyBorder="1" applyAlignment="1" applyProtection="1">
      <alignment horizontal="center"/>
    </xf>
    <xf numFmtId="164" fontId="1" fillId="0" borderId="7" xfId="1" applyBorder="1" applyAlignment="1">
      <alignment horizontal="center"/>
    </xf>
    <xf numFmtId="164" fontId="1" fillId="0" borderId="8" xfId="1" applyBorder="1" applyAlignment="1">
      <alignment horizontal="center"/>
    </xf>
    <xf numFmtId="164" fontId="1" fillId="0" borderId="9" xfId="1" applyBorder="1" applyAlignment="1">
      <alignment horizontal="center"/>
    </xf>
    <xf numFmtId="165" fontId="1" fillId="0" borderId="7" xfId="2" applyNumberFormat="1" applyFont="1" applyBorder="1" applyAlignment="1" applyProtection="1">
      <alignment horizontal="center"/>
    </xf>
    <xf numFmtId="164" fontId="1" fillId="0" borderId="10" xfId="1" applyBorder="1" applyAlignment="1">
      <alignment horizontal="center"/>
    </xf>
    <xf numFmtId="164" fontId="1" fillId="0" borderId="11" xfId="1" applyBorder="1" applyAlignment="1">
      <alignment horizontal="center"/>
    </xf>
    <xf numFmtId="164" fontId="1" fillId="0" borderId="12" xfId="1" applyBorder="1" applyAlignment="1">
      <alignment horizontal="center"/>
    </xf>
    <xf numFmtId="165" fontId="1" fillId="0" borderId="10" xfId="2" applyNumberFormat="1" applyFont="1" applyBorder="1" applyAlignment="1" applyProtection="1">
      <alignment horizontal="center"/>
    </xf>
    <xf numFmtId="164" fontId="2" fillId="0" borderId="0" xfId="1" applyFont="1"/>
    <xf numFmtId="166" fontId="1" fillId="0" borderId="0" xfId="1" applyNumberFormat="1"/>
    <xf numFmtId="164" fontId="1" fillId="0" borderId="0" xfId="1" applyAlignment="1">
      <alignment horizontal="center"/>
    </xf>
    <xf numFmtId="164" fontId="1" fillId="0" borderId="3" xfId="1" applyBorder="1" applyAlignment="1">
      <alignment horizontal="center"/>
    </xf>
    <xf numFmtId="164" fontId="1" fillId="0" borderId="15" xfId="1" applyBorder="1" applyAlignment="1">
      <alignment horizontal="center"/>
    </xf>
    <xf numFmtId="164" fontId="1" fillId="0" borderId="18" xfId="1" applyBorder="1" applyAlignment="1">
      <alignment horizontal="center"/>
    </xf>
    <xf numFmtId="167" fontId="1" fillId="2" borderId="19" xfId="1" applyNumberFormat="1" applyFill="1" applyBorder="1" applyAlignment="1">
      <alignment horizontal="center"/>
    </xf>
    <xf numFmtId="168" fontId="1" fillId="4" borderId="7" xfId="1" applyNumberFormat="1" applyFill="1" applyBorder="1" applyAlignment="1">
      <alignment horizontal="center"/>
    </xf>
    <xf numFmtId="168" fontId="1" fillId="5" borderId="0" xfId="1" applyNumberFormat="1" applyFill="1" applyAlignment="1">
      <alignment horizontal="center"/>
    </xf>
    <xf numFmtId="5" fontId="1" fillId="0" borderId="0" xfId="1" applyNumberFormat="1" applyAlignment="1">
      <alignment horizontal="center"/>
    </xf>
    <xf numFmtId="164" fontId="5" fillId="0" borderId="0" xfId="3"/>
    <xf numFmtId="166" fontId="5" fillId="0" borderId="0" xfId="3" applyNumberFormat="1"/>
    <xf numFmtId="164" fontId="1" fillId="0" borderId="3" xfId="3" applyFont="1" applyBorder="1" applyAlignment="1">
      <alignment horizontal="center"/>
    </xf>
    <xf numFmtId="166" fontId="1" fillId="3" borderId="14" xfId="1" applyNumberFormat="1" applyFill="1" applyBorder="1" applyAlignment="1">
      <alignment horizontal="center"/>
    </xf>
    <xf numFmtId="0" fontId="1" fillId="0" borderId="4" xfId="4" applyNumberFormat="1" applyFont="1" applyBorder="1" applyAlignment="1" applyProtection="1">
      <alignment horizontal="center"/>
    </xf>
    <xf numFmtId="168" fontId="1" fillId="0" borderId="5" xfId="3" applyNumberFormat="1" applyFont="1" applyBorder="1" applyAlignment="1">
      <alignment horizontal="center"/>
    </xf>
    <xf numFmtId="168" fontId="1" fillId="0" borderId="15" xfId="3" applyNumberFormat="1" applyFont="1" applyBorder="1" applyAlignment="1">
      <alignment horizontal="center"/>
    </xf>
    <xf numFmtId="168" fontId="1" fillId="0" borderId="6" xfId="3" applyNumberFormat="1" applyFont="1" applyBorder="1" applyAlignment="1">
      <alignment horizontal="center"/>
    </xf>
    <xf numFmtId="166" fontId="1" fillId="3" borderId="16" xfId="1" applyNumberFormat="1" applyFill="1" applyBorder="1" applyAlignment="1">
      <alignment horizontal="center"/>
    </xf>
    <xf numFmtId="0" fontId="1" fillId="0" borderId="7" xfId="4" applyNumberFormat="1" applyFont="1" applyBorder="1" applyAlignment="1" applyProtection="1">
      <alignment horizontal="center"/>
    </xf>
    <xf numFmtId="168" fontId="1" fillId="0" borderId="8" xfId="3" applyNumberFormat="1" applyFont="1" applyBorder="1" applyAlignment="1">
      <alignment horizontal="center"/>
    </xf>
    <xf numFmtId="168" fontId="1" fillId="0" borderId="0" xfId="3" applyNumberFormat="1" applyFont="1" applyAlignment="1">
      <alignment horizontal="center"/>
    </xf>
    <xf numFmtId="168" fontId="1" fillId="0" borderId="9" xfId="3" applyNumberFormat="1" applyFont="1" applyBorder="1" applyAlignment="1">
      <alignment horizontal="center"/>
    </xf>
    <xf numFmtId="166" fontId="1" fillId="3" borderId="17" xfId="1" applyNumberFormat="1" applyFill="1" applyBorder="1" applyAlignment="1">
      <alignment horizontal="center"/>
    </xf>
    <xf numFmtId="168" fontId="1" fillId="0" borderId="11" xfId="3" applyNumberFormat="1" applyFont="1" applyBorder="1" applyAlignment="1">
      <alignment horizontal="center"/>
    </xf>
    <xf numFmtId="168" fontId="1" fillId="0" borderId="18" xfId="3" applyNumberFormat="1" applyFont="1" applyBorder="1" applyAlignment="1">
      <alignment horizontal="center"/>
    </xf>
    <xf numFmtId="168" fontId="1" fillId="0" borderId="12" xfId="3" applyNumberFormat="1" applyFont="1" applyBorder="1" applyAlignment="1">
      <alignment horizontal="center"/>
    </xf>
    <xf numFmtId="164" fontId="1" fillId="0" borderId="0" xfId="1" applyAlignment="1">
      <alignment horizontal="right"/>
    </xf>
    <xf numFmtId="169" fontId="1" fillId="2" borderId="20" xfId="1" applyNumberFormat="1" applyFill="1" applyBorder="1" applyAlignment="1">
      <alignment horizontal="center"/>
    </xf>
    <xf numFmtId="168" fontId="1" fillId="0" borderId="3" xfId="3" applyNumberFormat="1" applyFont="1" applyBorder="1" applyAlignment="1">
      <alignment horizontal="center" vertical="center"/>
    </xf>
    <xf numFmtId="1" fontId="1" fillId="4" borderId="3" xfId="3" applyNumberFormat="1" applyFont="1" applyFill="1" applyBorder="1" applyAlignment="1">
      <alignment horizontal="center"/>
    </xf>
    <xf numFmtId="164" fontId="1" fillId="0" borderId="10" xfId="1" applyBorder="1" applyAlignment="1">
      <alignment horizontal="right"/>
    </xf>
    <xf numFmtId="164" fontId="1" fillId="0" borderId="0" xfId="3" applyFont="1" applyAlignment="1">
      <alignment horizontal="right"/>
    </xf>
    <xf numFmtId="164" fontId="6" fillId="6" borderId="0" xfId="3" applyFont="1" applyFill="1" applyAlignment="1">
      <alignment horizontal="center"/>
    </xf>
    <xf numFmtId="164" fontId="3" fillId="0" borderId="1" xfId="1" applyFont="1" applyBorder="1" applyAlignment="1">
      <alignment horizontal="right"/>
    </xf>
    <xf numFmtId="164" fontId="3" fillId="0" borderId="13" xfId="1" applyFont="1" applyBorder="1" applyAlignment="1">
      <alignment horizontal="right"/>
    </xf>
    <xf numFmtId="164" fontId="3" fillId="0" borderId="2" xfId="1" applyFont="1" applyBorder="1" applyAlignment="1">
      <alignment horizontal="right"/>
    </xf>
    <xf numFmtId="0" fontId="7" fillId="0" borderId="0" xfId="0" applyFont="1"/>
    <xf numFmtId="0" fontId="0" fillId="2" borderId="0" xfId="0" applyFill="1"/>
    <xf numFmtId="164" fontId="1" fillId="2" borderId="0" xfId="1" applyFill="1"/>
    <xf numFmtId="167" fontId="1" fillId="7" borderId="14" xfId="1" applyNumberFormat="1" applyFill="1" applyBorder="1" applyAlignment="1">
      <alignment horizontal="center"/>
    </xf>
    <xf numFmtId="167" fontId="1" fillId="7" borderId="16" xfId="1" applyNumberFormat="1" applyFill="1" applyBorder="1" applyAlignment="1">
      <alignment horizontal="center"/>
    </xf>
    <xf numFmtId="167" fontId="1" fillId="7" borderId="17" xfId="1" applyNumberFormat="1" applyFill="1" applyBorder="1" applyAlignment="1">
      <alignment horizontal="center"/>
    </xf>
    <xf numFmtId="168" fontId="1" fillId="8" borderId="7" xfId="1" applyNumberFormat="1" applyFill="1" applyBorder="1" applyAlignment="1">
      <alignment horizontal="center"/>
    </xf>
    <xf numFmtId="164" fontId="1" fillId="2" borderId="1" xfId="1" applyFill="1" applyBorder="1" applyAlignment="1">
      <alignment horizontal="right"/>
    </xf>
    <xf numFmtId="164" fontId="1" fillId="2" borderId="2" xfId="1" applyFill="1" applyBorder="1" applyAlignment="1">
      <alignment horizontal="right"/>
    </xf>
    <xf numFmtId="164" fontId="1" fillId="2" borderId="1" xfId="1" applyFill="1" applyBorder="1" applyAlignment="1">
      <alignment horizontal="center"/>
    </xf>
    <xf numFmtId="164" fontId="1" fillId="2" borderId="2" xfId="1" applyFill="1" applyBorder="1" applyAlignment="1">
      <alignment horizontal="center"/>
    </xf>
    <xf numFmtId="164" fontId="1" fillId="0" borderId="1" xfId="1" applyBorder="1" applyAlignment="1">
      <alignment horizontal="center"/>
    </xf>
    <xf numFmtId="164" fontId="1" fillId="0" borderId="2" xfId="1" applyBorder="1" applyAlignment="1">
      <alignment horizontal="center"/>
    </xf>
    <xf numFmtId="164" fontId="1" fillId="0" borderId="13" xfId="1" applyBorder="1" applyAlignment="1">
      <alignment horizontal="center"/>
    </xf>
    <xf numFmtId="164" fontId="3" fillId="0" borderId="1" xfId="1" applyFont="1" applyBorder="1" applyAlignment="1">
      <alignment horizontal="right"/>
    </xf>
    <xf numFmtId="164" fontId="3" fillId="0" borderId="13" xfId="1" applyFont="1" applyBorder="1" applyAlignment="1">
      <alignment horizontal="right"/>
    </xf>
    <xf numFmtId="164" fontId="3" fillId="0" borderId="2" xfId="1" applyFont="1" applyBorder="1" applyAlignment="1">
      <alignment horizontal="right"/>
    </xf>
    <xf numFmtId="164" fontId="1" fillId="0" borderId="10" xfId="1" applyBorder="1" applyAlignment="1">
      <alignment horizontal="right"/>
    </xf>
    <xf numFmtId="164" fontId="1" fillId="0" borderId="1" xfId="1" applyBorder="1" applyAlignment="1">
      <alignment horizontal="right"/>
    </xf>
    <xf numFmtId="164" fontId="1" fillId="0" borderId="2" xfId="1" applyBorder="1" applyAlignment="1">
      <alignment horizontal="right"/>
    </xf>
    <xf numFmtId="164" fontId="1" fillId="0" borderId="4" xfId="3" applyFont="1" applyBorder="1" applyAlignment="1">
      <alignment horizontal="center" vertical="center"/>
    </xf>
    <xf numFmtId="164" fontId="1" fillId="0" borderId="10" xfId="3" applyFont="1" applyBorder="1" applyAlignment="1">
      <alignment horizontal="center" vertical="center"/>
    </xf>
    <xf numFmtId="164" fontId="1" fillId="0" borderId="1" xfId="3" applyFont="1" applyBorder="1" applyAlignment="1">
      <alignment horizontal="center"/>
    </xf>
    <xf numFmtId="164" fontId="1" fillId="0" borderId="13" xfId="3" applyFont="1" applyBorder="1" applyAlignment="1">
      <alignment horizontal="center"/>
    </xf>
    <xf numFmtId="164" fontId="1" fillId="0" borderId="2" xfId="3" applyFont="1" applyBorder="1" applyAlignment="1">
      <alignment horizontal="center"/>
    </xf>
    <xf numFmtId="164" fontId="1" fillId="0" borderId="10" xfId="1" applyBorder="1" applyAlignment="1">
      <alignment horizontal="center"/>
    </xf>
  </cellXfs>
  <cellStyles count="5">
    <cellStyle name="Comma 2" xfId="4" xr:uid="{9E509D74-AC10-40B7-9A17-B7D85F31116B}"/>
    <cellStyle name="Normal" xfId="0" builtinId="0"/>
    <cellStyle name="Normal 2 2" xfId="3" xr:uid="{AAE12719-B7D7-482C-B7AF-10081EA88D01}"/>
    <cellStyle name="Normal 3" xfId="1" xr:uid="{F0E35DCB-FE08-43DB-965B-01857149B692}"/>
    <cellStyle name="Percent 2" xfId="2" xr:uid="{18D7796F-67DD-4273-AA08-07E1A9C5003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oneCellAnchor>
    <xdr:from>
      <xdr:col>1</xdr:col>
      <xdr:colOff>17145</xdr:colOff>
      <xdr:row>3</xdr:row>
      <xdr:rowOff>165735</xdr:rowOff>
    </xdr:from>
    <xdr:ext cx="4876800" cy="3589020"/>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626745" y="727710"/>
          <a:ext cx="4876800" cy="3589020"/>
        </a:xfrm>
        <a:prstGeom prst="rect">
          <a:avLst/>
        </a:prstGeom>
        <a:solidFill>
          <a:schemeClr val="accent1">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a:t>The</a:t>
          </a:r>
          <a:r>
            <a:rPr lang="en-US" sz="1100" baseline="0"/>
            <a:t> Municipal Insurance Fund (MIF, Fund)</a:t>
          </a:r>
          <a:r>
            <a:rPr lang="en-US" sz="1100"/>
            <a:t> is a monoline</a:t>
          </a:r>
          <a:r>
            <a:rPr lang="en-US" sz="1100" baseline="0"/>
            <a:t> insurance fund Federally chartered, operating in New York State, with strategic partners chartered in Bermuda. The  fund specializes in municipal worker compensation risk. </a:t>
          </a:r>
        </a:p>
        <a:p>
          <a:endParaRPr lang="en-US" sz="1100" baseline="0"/>
        </a:p>
        <a:p>
          <a:r>
            <a:rPr lang="en-US" sz="1100" baseline="0"/>
            <a:t>The Fund is expanding its claims services to municipal employees working in homeless shelters and various community disaster facilities. As an insurance fund it considers the matching of claims exposures with investments needed to fund claims over a several month period. Premiums charged will depend on the riskiness of the funding, and the variability and size of claims over time. </a:t>
          </a:r>
        </a:p>
        <a:p>
          <a:endParaRPr lang="en-US" sz="1100" baseline="0"/>
        </a:p>
        <a:p>
          <a:r>
            <a:rPr lang="en-US" sz="1100" baseline="0"/>
            <a:t>As a first step, Fund investment analysts propose a slate of potential funding opportunities while claims analysts determine potential exposures over time. The slate of potential investments reflect the monthly timing of expected cash flow in along with annual annual returns. At the same time, claims are cash flows out determined by analysis of various risk drivers and exposures.</a:t>
          </a:r>
        </a:p>
        <a:p>
          <a:endParaRPr lang="en-US" sz="1100" baseline="0"/>
        </a:p>
        <a:p>
          <a:r>
            <a:rPr lang="en-US" sz="1100"/>
            <a:t>The</a:t>
          </a:r>
          <a:r>
            <a:rPr lang="en-US" sz="1100" baseline="0"/>
            <a:t> fund has a 6 month mandate to meet claims. A 7th month is required to manage overlaps in coverage among participants and restart the investment allocations. This is the expected claims schedule that analysts produced from months 2 to 7. The first month is the funding period for this tranche of exposures.</a:t>
          </a:r>
        </a:p>
        <a:p>
          <a:endParaRPr lang="en-US" sz="1100" baseline="0"/>
        </a:p>
        <a:p>
          <a:endParaRPr lang="en-US" sz="1100" baseline="0"/>
        </a:p>
        <a:p>
          <a:endParaRPr lang="en-US" sz="1100" b="0" i="0" u="none" strike="noStrike" baseline="0">
            <a:solidFill>
              <a:schemeClr val="tx1"/>
            </a:solidFill>
            <a:effectLst/>
            <a:latin typeface="+mn-lt"/>
            <a:ea typeface="+mn-ea"/>
            <a:cs typeface="+mn-cs"/>
          </a:endParaRPr>
        </a:p>
      </xdr:txBody>
    </xdr:sp>
    <xdr:clientData/>
  </xdr:oneCellAnchor>
  <xdr:oneCellAnchor>
    <xdr:from>
      <xdr:col>1</xdr:col>
      <xdr:colOff>381000</xdr:colOff>
      <xdr:row>27</xdr:row>
      <xdr:rowOff>91440</xdr:rowOff>
    </xdr:from>
    <xdr:ext cx="184731" cy="264560"/>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990600" y="461772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xdr:col>
      <xdr:colOff>0</xdr:colOff>
      <xdr:row>27</xdr:row>
      <xdr:rowOff>0</xdr:rowOff>
    </xdr:from>
    <xdr:ext cx="4876800" cy="478972"/>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609600" y="4526280"/>
          <a:ext cx="4876800" cy="478972"/>
        </a:xfrm>
        <a:prstGeom prst="rect">
          <a:avLst/>
        </a:prstGeom>
        <a:solidFill>
          <a:schemeClr val="accent1">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0" i="0" u="none" strike="noStrike" baseline="0">
              <a:solidFill>
                <a:schemeClr val="tx1"/>
              </a:solidFill>
              <a:effectLst/>
              <a:latin typeface="+mn-lt"/>
              <a:ea typeface="+mn-ea"/>
              <a:cs typeface="+mn-cs"/>
            </a:rPr>
            <a:t>In the month prior to the 6 month funding mandate, month 1, the Fund allocates capital across a slate of investment opportunities. </a:t>
          </a:r>
        </a:p>
      </xdr:txBody>
    </xdr:sp>
    <xdr:clientData/>
  </xdr:oneCellAnchor>
  <xdr:oneCellAnchor>
    <xdr:from>
      <xdr:col>1</xdr:col>
      <xdr:colOff>10885</xdr:colOff>
      <xdr:row>44</xdr:row>
      <xdr:rowOff>10886</xdr:rowOff>
    </xdr:from>
    <xdr:ext cx="4876800" cy="2340430"/>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620485" y="7387046"/>
          <a:ext cx="4876800" cy="2340430"/>
        </a:xfrm>
        <a:prstGeom prst="rect">
          <a:avLst/>
        </a:prstGeom>
        <a:solidFill>
          <a:schemeClr val="accent1">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0" i="0" u="none" strike="noStrike" baseline="0">
              <a:solidFill>
                <a:schemeClr val="tx1"/>
              </a:solidFill>
              <a:effectLst/>
              <a:latin typeface="+mn-lt"/>
              <a:ea typeface="+mn-ea"/>
              <a:cs typeface="+mn-cs"/>
            </a:rPr>
            <a:t>In the month prior to the 6 month funding mandate, month 1, the Fund allocates capital across a slate of investment opportunities. </a:t>
          </a:r>
        </a:p>
        <a:p>
          <a:endParaRPr lang="en-US" sz="1100" b="0" i="0" u="none" strike="noStrike" baseline="0">
            <a:solidFill>
              <a:schemeClr val="tx1"/>
            </a:solidFill>
            <a:effectLst/>
            <a:latin typeface="+mn-lt"/>
            <a:ea typeface="+mn-ea"/>
            <a:cs typeface="+mn-cs"/>
          </a:endParaRPr>
        </a:p>
        <a:p>
          <a:r>
            <a:rPr lang="en-US" sz="1100" b="0" i="0" u="none" strike="noStrike" baseline="0">
              <a:solidFill>
                <a:schemeClr val="tx1"/>
              </a:solidFill>
              <a:effectLst/>
              <a:latin typeface="+mn-lt"/>
              <a:ea typeface="+mn-ea"/>
              <a:cs typeface="+mn-cs"/>
            </a:rPr>
            <a:t>In this market there are four investment vehicles, each with a different holding period over which an investment of $1 returns a per period rate. For example, vehicle A is a one month maturity investment with a cash inflow at month 1 for a return of invested principal and initerest by the end of month 2. Vehicle C has a 5 month holding period during which a $1 invested earns compount returns at the end of the holding perior.</a:t>
          </a:r>
        </a:p>
        <a:p>
          <a:endParaRPr lang="en-US" sz="1100" b="0" i="0" u="none" strike="noStrike" baseline="0">
            <a:solidFill>
              <a:schemeClr val="tx1"/>
            </a:solidFill>
            <a:effectLst/>
            <a:latin typeface="+mn-lt"/>
            <a:ea typeface="+mn-ea"/>
            <a:cs typeface="+mn-cs"/>
          </a:endParaRPr>
        </a:p>
        <a:p>
          <a:r>
            <a:rPr lang="en-US" sz="1100" b="0" i="0" u="none" strike="noStrike" baseline="0">
              <a:solidFill>
                <a:schemeClr val="tx1"/>
              </a:solidFill>
              <a:effectLst/>
              <a:latin typeface="+mn-lt"/>
              <a:ea typeface="+mn-ea"/>
              <a:cs typeface="+mn-cs"/>
            </a:rPr>
            <a:t>The Fund needs to know the total amount of invested capital it needs to raise to meet these claims. Once known,  the Fund can source capital in bond markets and by requiring premiums from governmental agencies to insure workers.</a:t>
          </a:r>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1</xdr:col>
      <xdr:colOff>485775</xdr:colOff>
      <xdr:row>21</xdr:row>
      <xdr:rowOff>0</xdr:rowOff>
    </xdr:from>
    <xdr:to>
      <xdr:col>6</xdr:col>
      <xdr:colOff>95250</xdr:colOff>
      <xdr:row>25</xdr:row>
      <xdr:rowOff>104775</xdr:rowOff>
    </xdr:to>
    <xdr:sp macro="" textlink="">
      <xdr:nvSpPr>
        <xdr:cNvPr id="2" name="Note">
          <a:extLst>
            <a:ext uri="{FF2B5EF4-FFF2-40B4-BE49-F238E27FC236}">
              <a16:creationId xmlns:a16="http://schemas.microsoft.com/office/drawing/2014/main" id="{00000000-0008-0000-0100-000002000000}"/>
            </a:ext>
          </a:extLst>
        </xdr:cNvPr>
        <xdr:cNvSpPr txBox="1">
          <a:spLocks noChangeArrowheads="1"/>
        </xdr:cNvSpPr>
      </xdr:nvSpPr>
      <xdr:spPr bwMode="auto">
        <a:xfrm>
          <a:off x="1110615" y="3543300"/>
          <a:ext cx="3152775" cy="775335"/>
        </a:xfrm>
        <a:prstGeom prst="rect">
          <a:avLst/>
        </a:prstGeom>
        <a:solidFill>
          <a:schemeClr val="accent3">
            <a:lumMod val="20000"/>
            <a:lumOff val="80000"/>
          </a:schemeClr>
        </a:solidFill>
        <a:ln w="9525">
          <a:solidFill>
            <a:srgbClr val="000000"/>
          </a:solidFill>
          <a:miter lim="800000"/>
          <a:headEnd/>
          <a:tailEnd/>
        </a:ln>
        <a:effectLst>
          <a:outerShdw blurRad="63500" dist="35921" dir="2700000" algn="ctr" rotWithShape="0">
            <a:srgbClr val="000000"/>
          </a:outerShdw>
        </a:effectLst>
      </xdr:spPr>
      <xdr:txBody>
        <a:bodyPr vertOverflow="clip" wrap="square" lIns="27432" tIns="22860" rIns="0" bIns="0" anchor="t" upright="1"/>
        <a:lstStyle/>
        <a:p>
          <a:pPr algn="l" rtl="0">
            <a:defRPr sz="1000"/>
          </a:pPr>
          <a:r>
            <a:rPr lang="en-US" sz="1000" b="0" i="0" u="none" strike="noStrike" baseline="0">
              <a:solidFill>
                <a:srgbClr val="000000"/>
              </a:solidFill>
              <a:latin typeface="Fixedsys"/>
            </a:rPr>
            <a:t>Minimize:       D18</a:t>
          </a:r>
        </a:p>
        <a:p>
          <a:pPr algn="l" rtl="0">
            <a:defRPr sz="1000"/>
          </a:pPr>
          <a:r>
            <a:rPr lang="en-US" sz="1000" b="0" i="0" u="none" strike="noStrike" baseline="0">
              <a:solidFill>
                <a:srgbClr val="000000"/>
              </a:solidFill>
              <a:latin typeface="Fixedsys"/>
            </a:rPr>
            <a:t>By changing:  D6:D17</a:t>
          </a:r>
        </a:p>
        <a:p>
          <a:pPr algn="l" rtl="0">
            <a:defRPr sz="1000"/>
          </a:pPr>
          <a:r>
            <a:rPr lang="en-US" sz="1000" b="0" i="0" u="none" strike="noStrike" baseline="0">
              <a:solidFill>
                <a:srgbClr val="000000"/>
              </a:solidFill>
              <a:latin typeface="Fixedsys"/>
            </a:rPr>
            <a:t>Subject to:     G18:L18=G19:L19</a:t>
          </a:r>
        </a:p>
        <a:p>
          <a:pPr algn="l" rtl="0">
            <a:defRPr sz="1000"/>
          </a:pPr>
          <a:r>
            <a:rPr lang="en-US" sz="1000" b="0" i="0" u="none" strike="noStrike" baseline="0">
              <a:solidFill>
                <a:srgbClr val="000000"/>
              </a:solidFill>
              <a:latin typeface="Fixedsys"/>
            </a:rPr>
            <a:t>                      D6:D17&gt;=0</a:t>
          </a:r>
        </a:p>
      </xdr:txBody>
    </xdr:sp>
    <xdr:clientData/>
  </xdr:twoCellAnchor>
  <mc:AlternateContent xmlns:mc="http://schemas.openxmlformats.org/markup-compatibility/2006">
    <mc:Choice xmlns:a14="http://schemas.microsoft.com/office/drawing/2010/main" Requires="a14">
      <xdr:twoCellAnchor>
        <xdr:from>
          <xdr:col>8</xdr:col>
          <xdr:colOff>15240</xdr:colOff>
          <xdr:row>21</xdr:row>
          <xdr:rowOff>129540</xdr:rowOff>
        </xdr:from>
        <xdr:to>
          <xdr:col>11</xdr:col>
          <xdr:colOff>91440</xdr:colOff>
          <xdr:row>24</xdr:row>
          <xdr:rowOff>83820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Run Solver Model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762000</xdr:colOff>
      <xdr:row>20</xdr:row>
      <xdr:rowOff>95250</xdr:rowOff>
    </xdr:from>
    <xdr:to>
      <xdr:col>4</xdr:col>
      <xdr:colOff>495300</xdr:colOff>
      <xdr:row>25</xdr:row>
      <xdr:rowOff>161925</xdr:rowOff>
    </xdr:to>
    <xdr:sp macro="" textlink="">
      <xdr:nvSpPr>
        <xdr:cNvPr id="2" name="Note">
          <a:extLst>
            <a:ext uri="{FF2B5EF4-FFF2-40B4-BE49-F238E27FC236}">
              <a16:creationId xmlns:a16="http://schemas.microsoft.com/office/drawing/2014/main" id="{00000000-0008-0000-0200-000002000000}"/>
            </a:ext>
          </a:extLst>
        </xdr:cNvPr>
        <xdr:cNvSpPr txBox="1">
          <a:spLocks noChangeArrowheads="1"/>
        </xdr:cNvSpPr>
      </xdr:nvSpPr>
      <xdr:spPr bwMode="auto">
        <a:xfrm>
          <a:off x="762000" y="3600450"/>
          <a:ext cx="2369820" cy="942975"/>
        </a:xfrm>
        <a:prstGeom prst="rect">
          <a:avLst/>
        </a:prstGeom>
        <a:solidFill>
          <a:schemeClr val="accent3">
            <a:lumMod val="20000"/>
            <a:lumOff val="80000"/>
          </a:schemeClr>
        </a:solidFill>
        <a:ln w="9525">
          <a:solidFill>
            <a:srgbClr val="000000"/>
          </a:solidFill>
          <a:miter lim="800000"/>
          <a:headEnd/>
          <a:tailEnd/>
        </a:ln>
        <a:effectLst>
          <a:outerShdw blurRad="63500" dist="35921" dir="2700000" algn="ctr" rotWithShape="0">
            <a:srgbClr val="000000"/>
          </a:outerShdw>
        </a:effectLst>
      </xdr:spPr>
      <xdr:txBody>
        <a:bodyPr vertOverflow="clip" wrap="square" lIns="36576" tIns="22860" rIns="0" bIns="0" anchor="t" upright="1"/>
        <a:lstStyle/>
        <a:p>
          <a:pPr algn="l" rtl="0">
            <a:defRPr sz="1000"/>
          </a:pPr>
          <a:r>
            <a:rPr lang="en-US" sz="1000" b="1" i="0" u="none" strike="noStrike" baseline="0">
              <a:solidFill>
                <a:srgbClr val="000000"/>
              </a:solidFill>
              <a:latin typeface="Fixedsys"/>
            </a:rPr>
            <a:t>Minimize:       D18</a:t>
          </a:r>
        </a:p>
        <a:p>
          <a:pPr algn="l" rtl="0">
            <a:defRPr sz="1000"/>
          </a:pPr>
          <a:r>
            <a:rPr lang="en-US" sz="1000" b="1" i="0" u="none" strike="noStrike" baseline="0">
              <a:solidFill>
                <a:srgbClr val="000000"/>
              </a:solidFill>
              <a:latin typeface="Fixedsys"/>
            </a:rPr>
            <a:t>By changing: D6:D17</a:t>
          </a:r>
        </a:p>
        <a:p>
          <a:pPr algn="l" rtl="0">
            <a:defRPr sz="1000"/>
          </a:pPr>
          <a:r>
            <a:rPr lang="en-US" sz="1000" b="1" i="0" u="none" strike="noStrike" baseline="0">
              <a:solidFill>
                <a:srgbClr val="000000"/>
              </a:solidFill>
              <a:latin typeface="Fixedsys"/>
            </a:rPr>
            <a:t>Subject to:     G18:L18=G19:L19</a:t>
          </a:r>
        </a:p>
        <a:p>
          <a:pPr algn="l" rtl="0">
            <a:defRPr sz="1000"/>
          </a:pPr>
          <a:r>
            <a:rPr lang="en-US" sz="1000" b="1" i="0" u="none" strike="noStrike" baseline="0">
              <a:solidFill>
                <a:srgbClr val="000000"/>
              </a:solidFill>
              <a:latin typeface="Fixedsys"/>
            </a:rPr>
            <a:t>                        N18:S18&lt;=0      </a:t>
          </a:r>
        </a:p>
        <a:p>
          <a:pPr algn="l" rtl="0">
            <a:defRPr sz="1000"/>
          </a:pPr>
          <a:r>
            <a:rPr lang="en-US" sz="1000" b="1" i="0" u="none" strike="noStrike" baseline="0">
              <a:solidFill>
                <a:srgbClr val="000000"/>
              </a:solidFill>
              <a:latin typeface="Fixedsys"/>
            </a:rPr>
            <a:t>                        D6:D17&gt;=0</a:t>
          </a:r>
        </a:p>
      </xdr:txBody>
    </xdr:sp>
    <xdr:clientData/>
  </xdr:twoCellAnchor>
  <mc:AlternateContent xmlns:mc="http://schemas.openxmlformats.org/markup-compatibility/2006">
    <mc:Choice xmlns:a14="http://schemas.microsoft.com/office/drawing/2010/main" Requires="a14">
      <xdr:twoCellAnchor>
        <xdr:from>
          <xdr:col>7</xdr:col>
          <xdr:colOff>99060</xdr:colOff>
          <xdr:row>21</xdr:row>
          <xdr:rowOff>60960</xdr:rowOff>
        </xdr:from>
        <xdr:to>
          <xdr:col>11</xdr:col>
          <xdr:colOff>441960</xdr:colOff>
          <xdr:row>25</xdr:row>
          <xdr:rowOff>121920</xdr:rowOff>
        </xdr:to>
        <xdr:sp macro="" textlink="">
          <xdr:nvSpPr>
            <xdr:cNvPr id="3098" name="Button 26" hidden="1">
              <a:extLst>
                <a:ext uri="{63B3BB69-23CF-44E3-9099-C40C66FF867C}">
                  <a14:compatExt spid="_x0000_s3098"/>
                </a:ext>
                <a:ext uri="{FF2B5EF4-FFF2-40B4-BE49-F238E27FC236}">
                  <a16:creationId xmlns:a16="http://schemas.microsoft.com/office/drawing/2014/main" id="{00000000-0008-0000-0200-00001A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Run Solver Model</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SMDA/Dropbox/SMDA/SMDA%207ed/SMDA%207ed%20Data%20Files/Chapter%2003/Taco-Viva.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co-Viva"/>
    </sheetNames>
    <definedNames>
      <definedName name="Toggle"/>
    </defined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3D2F05-8B4F-458F-A2F2-6F86546441FF}">
  <sheetPr codeName="Sheet8"/>
  <dimension ref="B2:R47"/>
  <sheetViews>
    <sheetView topLeftCell="A29" zoomScale="80" zoomScaleNormal="80" workbookViewId="0">
      <selection activeCell="D31" sqref="D31:G44"/>
    </sheetView>
  </sheetViews>
  <sheetFormatPr defaultRowHeight="13.2" x14ac:dyDescent="0.25"/>
  <sheetData>
    <row r="2" spans="2:18" ht="17.399999999999999" x14ac:dyDescent="0.3">
      <c r="B2" s="53" t="s">
        <v>29</v>
      </c>
    </row>
    <row r="7" spans="2:18" x14ac:dyDescent="0.25">
      <c r="K7" s="1"/>
      <c r="L7" s="1"/>
      <c r="M7" s="1"/>
      <c r="N7" s="1"/>
      <c r="O7" s="1"/>
      <c r="P7" s="1"/>
      <c r="Q7" s="1"/>
      <c r="R7" s="1"/>
    </row>
    <row r="8" spans="2:18" x14ac:dyDescent="0.25">
      <c r="O8" s="1"/>
      <c r="P8" s="1"/>
      <c r="Q8" s="1"/>
      <c r="R8" s="1"/>
    </row>
    <row r="9" spans="2:18" x14ac:dyDescent="0.25">
      <c r="O9" s="1"/>
      <c r="P9" s="1"/>
      <c r="Q9" s="1"/>
      <c r="R9" s="1"/>
    </row>
    <row r="10" spans="2:18" x14ac:dyDescent="0.25">
      <c r="O10" s="1"/>
      <c r="P10" s="1"/>
      <c r="Q10" s="1"/>
      <c r="R10" s="1"/>
    </row>
    <row r="11" spans="2:18" x14ac:dyDescent="0.25">
      <c r="O11" s="1"/>
      <c r="P11" s="1"/>
      <c r="Q11" s="1"/>
      <c r="R11" s="1"/>
    </row>
    <row r="12" spans="2:18" x14ac:dyDescent="0.25">
      <c r="O12" s="1"/>
      <c r="P12" s="1"/>
      <c r="Q12" s="1"/>
      <c r="R12" s="1"/>
    </row>
    <row r="13" spans="2:18" x14ac:dyDescent="0.25">
      <c r="O13" s="1"/>
      <c r="P13" s="1"/>
      <c r="Q13" s="1"/>
      <c r="R13" s="1"/>
    </row>
    <row r="14" spans="2:18" x14ac:dyDescent="0.25">
      <c r="O14" s="1"/>
      <c r="P14" s="1"/>
      <c r="Q14" s="1"/>
      <c r="R14" s="1"/>
    </row>
    <row r="15" spans="2:18" x14ac:dyDescent="0.25">
      <c r="O15" s="1"/>
      <c r="P15" s="1"/>
      <c r="Q15" s="1"/>
      <c r="R15" s="1"/>
    </row>
    <row r="16" spans="2:18" x14ac:dyDescent="0.25">
      <c r="O16" s="1"/>
      <c r="P16" s="1"/>
      <c r="Q16" s="1"/>
      <c r="R16" s="1"/>
    </row>
    <row r="17" spans="2:18" x14ac:dyDescent="0.25">
      <c r="O17" s="1"/>
      <c r="P17" s="1"/>
      <c r="Q17" s="1"/>
      <c r="R17" s="1"/>
    </row>
    <row r="18" spans="2:18" x14ac:dyDescent="0.25">
      <c r="O18" s="1"/>
      <c r="P18" s="1"/>
      <c r="Q18" s="1"/>
      <c r="R18" s="1"/>
    </row>
    <row r="19" spans="2:18" x14ac:dyDescent="0.25">
      <c r="O19" s="1"/>
      <c r="P19" s="1"/>
      <c r="Q19" s="1"/>
      <c r="R19" s="1"/>
    </row>
    <row r="20" spans="2:18" x14ac:dyDescent="0.25">
      <c r="O20" s="1"/>
      <c r="P20" s="1"/>
      <c r="Q20" s="1"/>
      <c r="R20" s="1"/>
    </row>
    <row r="21" spans="2:18" x14ac:dyDescent="0.25">
      <c r="O21" s="1"/>
      <c r="P21" s="1"/>
      <c r="Q21" s="1"/>
      <c r="R21" s="1"/>
    </row>
    <row r="26" spans="2:18" x14ac:dyDescent="0.25">
      <c r="B26" s="60" t="s">
        <v>0</v>
      </c>
      <c r="C26" s="61"/>
      <c r="D26" s="2">
        <v>2</v>
      </c>
      <c r="E26" s="2">
        <v>3</v>
      </c>
      <c r="F26" s="2">
        <v>4</v>
      </c>
      <c r="G26" s="2">
        <v>5</v>
      </c>
      <c r="H26" s="2">
        <v>6</v>
      </c>
      <c r="I26" s="2">
        <v>7</v>
      </c>
    </row>
    <row r="27" spans="2:18" x14ac:dyDescent="0.25">
      <c r="B27" s="60" t="s">
        <v>1</v>
      </c>
      <c r="C27" s="61"/>
      <c r="D27" s="3">
        <v>100</v>
      </c>
      <c r="E27" s="3">
        <v>75</v>
      </c>
      <c r="F27" s="3">
        <v>50</v>
      </c>
      <c r="G27" s="3">
        <v>250</v>
      </c>
      <c r="H27" s="3">
        <v>75</v>
      </c>
      <c r="I27" s="3">
        <v>300</v>
      </c>
    </row>
    <row r="30" spans="2:18" x14ac:dyDescent="0.25">
      <c r="B30" s="54"/>
      <c r="C30" s="54"/>
      <c r="D30" s="54"/>
      <c r="E30" s="54"/>
      <c r="F30" s="54"/>
      <c r="G30" s="54"/>
      <c r="H30" s="54"/>
      <c r="I30" s="54"/>
    </row>
    <row r="31" spans="2:18" x14ac:dyDescent="0.25">
      <c r="B31" s="54"/>
      <c r="C31" s="54"/>
      <c r="D31" s="55"/>
      <c r="E31" s="62" t="s">
        <v>2</v>
      </c>
      <c r="F31" s="63"/>
      <c r="G31" s="55"/>
      <c r="H31" s="54"/>
      <c r="I31" s="54"/>
    </row>
    <row r="32" spans="2:18" x14ac:dyDescent="0.25">
      <c r="B32" s="54"/>
      <c r="C32" s="54"/>
      <c r="D32" s="2" t="s">
        <v>3</v>
      </c>
      <c r="E32" s="2" t="s">
        <v>4</v>
      </c>
      <c r="F32" s="2" t="s">
        <v>5</v>
      </c>
      <c r="G32" s="2" t="s">
        <v>6</v>
      </c>
      <c r="H32" s="54"/>
      <c r="I32" s="54"/>
    </row>
    <row r="33" spans="2:9" x14ac:dyDescent="0.25">
      <c r="B33" s="54"/>
      <c r="C33" s="54"/>
      <c r="D33" s="4" t="s">
        <v>7</v>
      </c>
      <c r="E33" s="5">
        <v>1</v>
      </c>
      <c r="F33" s="6">
        <v>2</v>
      </c>
      <c r="G33" s="7">
        <v>1.7999999999999999E-2</v>
      </c>
      <c r="H33" s="54"/>
      <c r="I33" s="54"/>
    </row>
    <row r="34" spans="2:9" x14ac:dyDescent="0.25">
      <c r="B34" s="54"/>
      <c r="C34" s="54"/>
      <c r="D34" s="8" t="s">
        <v>8</v>
      </c>
      <c r="E34" s="9">
        <v>1</v>
      </c>
      <c r="F34" s="10">
        <v>3</v>
      </c>
      <c r="G34" s="11">
        <v>3.5000000000000003E-2</v>
      </c>
      <c r="H34" s="54"/>
      <c r="I34" s="54"/>
    </row>
    <row r="35" spans="2:9" x14ac:dyDescent="0.25">
      <c r="B35" s="54"/>
      <c r="C35" s="54"/>
      <c r="D35" s="8" t="s">
        <v>9</v>
      </c>
      <c r="E35" s="9">
        <v>1</v>
      </c>
      <c r="F35" s="10">
        <v>4</v>
      </c>
      <c r="G35" s="11">
        <v>5.8000000000000003E-2</v>
      </c>
      <c r="H35" s="54"/>
      <c r="I35" s="54"/>
    </row>
    <row r="36" spans="2:9" x14ac:dyDescent="0.25">
      <c r="B36" s="54"/>
      <c r="C36" s="54"/>
      <c r="D36" s="8" t="s">
        <v>10</v>
      </c>
      <c r="E36" s="9">
        <v>1</v>
      </c>
      <c r="F36" s="10">
        <v>7</v>
      </c>
      <c r="G36" s="11">
        <v>0.11</v>
      </c>
      <c r="H36" s="54"/>
      <c r="I36" s="54"/>
    </row>
    <row r="37" spans="2:9" x14ac:dyDescent="0.25">
      <c r="B37" s="54"/>
      <c r="C37" s="54"/>
      <c r="D37" s="8" t="s">
        <v>7</v>
      </c>
      <c r="E37" s="9">
        <v>2</v>
      </c>
      <c r="F37" s="10">
        <v>3</v>
      </c>
      <c r="G37" s="11">
        <v>2.1999999999999999E-2</v>
      </c>
      <c r="H37" s="54"/>
      <c r="I37" s="54"/>
    </row>
    <row r="38" spans="2:9" x14ac:dyDescent="0.25">
      <c r="B38" s="54"/>
      <c r="C38" s="54"/>
      <c r="D38" s="8" t="s">
        <v>7</v>
      </c>
      <c r="E38" s="9">
        <v>3</v>
      </c>
      <c r="F38" s="10">
        <v>4</v>
      </c>
      <c r="G38" s="11">
        <v>2.1000000000000001E-2</v>
      </c>
      <c r="H38" s="54"/>
      <c r="I38" s="54"/>
    </row>
    <row r="39" spans="2:9" x14ac:dyDescent="0.25">
      <c r="B39" s="54"/>
      <c r="C39" s="54"/>
      <c r="D39" s="8" t="s">
        <v>8</v>
      </c>
      <c r="E39" s="9">
        <v>3</v>
      </c>
      <c r="F39" s="10">
        <v>5</v>
      </c>
      <c r="G39" s="11">
        <v>3.6999999999999998E-2</v>
      </c>
      <c r="H39" s="54"/>
      <c r="I39" s="54"/>
    </row>
    <row r="40" spans="2:9" x14ac:dyDescent="0.25">
      <c r="B40" s="54"/>
      <c r="C40" s="54"/>
      <c r="D40" s="8" t="s">
        <v>7</v>
      </c>
      <c r="E40" s="9">
        <v>4</v>
      </c>
      <c r="F40" s="10">
        <v>5</v>
      </c>
      <c r="G40" s="11">
        <v>2.4E-2</v>
      </c>
      <c r="H40" s="54"/>
      <c r="I40" s="54"/>
    </row>
    <row r="41" spans="2:9" x14ac:dyDescent="0.25">
      <c r="B41" s="54"/>
      <c r="C41" s="54"/>
      <c r="D41" s="8" t="s">
        <v>9</v>
      </c>
      <c r="E41" s="9">
        <v>4</v>
      </c>
      <c r="F41" s="10">
        <v>7</v>
      </c>
      <c r="G41" s="11">
        <v>5.8000000000000003E-2</v>
      </c>
      <c r="H41" s="54"/>
      <c r="I41" s="54"/>
    </row>
    <row r="42" spans="2:9" x14ac:dyDescent="0.25">
      <c r="B42" s="54"/>
      <c r="C42" s="54"/>
      <c r="D42" s="8" t="s">
        <v>7</v>
      </c>
      <c r="E42" s="9">
        <v>5</v>
      </c>
      <c r="F42" s="10">
        <v>6</v>
      </c>
      <c r="G42" s="11">
        <v>2.5000000000000001E-2</v>
      </c>
      <c r="H42" s="54"/>
      <c r="I42" s="54"/>
    </row>
    <row r="43" spans="2:9" x14ac:dyDescent="0.25">
      <c r="B43" s="54"/>
      <c r="C43" s="54"/>
      <c r="D43" s="8" t="s">
        <v>8</v>
      </c>
      <c r="E43" s="9">
        <v>5</v>
      </c>
      <c r="F43" s="10">
        <v>7</v>
      </c>
      <c r="G43" s="11">
        <v>4.1000000000000002E-2</v>
      </c>
      <c r="H43" s="54"/>
      <c r="I43" s="54"/>
    </row>
    <row r="44" spans="2:9" x14ac:dyDescent="0.25">
      <c r="B44" s="54"/>
      <c r="C44" s="54"/>
      <c r="D44" s="12" t="s">
        <v>7</v>
      </c>
      <c r="E44" s="13">
        <v>6</v>
      </c>
      <c r="F44" s="14">
        <v>7</v>
      </c>
      <c r="G44" s="15">
        <v>1.7999999999999999E-2</v>
      </c>
      <c r="H44" s="54"/>
      <c r="I44" s="54"/>
    </row>
    <row r="45" spans="2:9" x14ac:dyDescent="0.25">
      <c r="B45" s="54"/>
      <c r="C45" s="54"/>
      <c r="H45" s="54"/>
      <c r="I45" s="54"/>
    </row>
    <row r="46" spans="2:9" x14ac:dyDescent="0.25">
      <c r="B46" s="54"/>
      <c r="C46" s="54"/>
    </row>
    <row r="47" spans="2:9" x14ac:dyDescent="0.25">
      <c r="B47" s="54"/>
      <c r="C47" s="54"/>
    </row>
  </sheetData>
  <mergeCells count="3">
    <mergeCell ref="B26:C26"/>
    <mergeCell ref="B27:C27"/>
    <mergeCell ref="E31:F31"/>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CBA8C6-29AE-42AA-8D2A-AD3914444D60}">
  <sheetPr codeName="Sheet7"/>
  <dimension ref="B2:Q40"/>
  <sheetViews>
    <sheetView tabSelected="1" workbookViewId="0">
      <selection activeCell="L28" sqref="L28"/>
    </sheetView>
  </sheetViews>
  <sheetFormatPr defaultColWidth="9.109375" defaultRowHeight="13.2" x14ac:dyDescent="0.25"/>
  <cols>
    <col min="1" max="1" width="9.109375" style="1"/>
    <col min="2" max="2" width="16.44140625" style="1" customWidth="1"/>
    <col min="3" max="4" width="8.109375" style="1" customWidth="1"/>
    <col min="5" max="5" width="10.88671875" style="1" customWidth="1"/>
    <col min="6" max="6" width="8.109375" style="1" customWidth="1"/>
    <col min="7" max="14" width="6.33203125" style="1" customWidth="1"/>
    <col min="15" max="16384" width="9.109375" style="1"/>
  </cols>
  <sheetData>
    <row r="2" spans="2:14" ht="13.8" x14ac:dyDescent="0.25">
      <c r="B2" s="16" t="s">
        <v>30</v>
      </c>
    </row>
    <row r="4" spans="2:14" x14ac:dyDescent="0.25">
      <c r="F4" s="17"/>
    </row>
    <row r="5" spans="2:14" x14ac:dyDescent="0.25">
      <c r="C5" s="64" t="s">
        <v>32</v>
      </c>
      <c r="D5" s="65"/>
      <c r="G5" s="64" t="s">
        <v>31</v>
      </c>
      <c r="H5" s="66"/>
      <c r="I5" s="66"/>
      <c r="J5" s="66"/>
      <c r="K5" s="66"/>
      <c r="L5" s="66"/>
      <c r="M5" s="65"/>
      <c r="N5" s="18"/>
    </row>
    <row r="6" spans="2:14" x14ac:dyDescent="0.25">
      <c r="B6" s="19" t="s">
        <v>3</v>
      </c>
      <c r="C6" s="19" t="s">
        <v>4</v>
      </c>
      <c r="D6" s="19" t="s">
        <v>5</v>
      </c>
      <c r="E6" s="19" t="s">
        <v>11</v>
      </c>
      <c r="F6" s="19" t="s">
        <v>6</v>
      </c>
      <c r="G6" s="19">
        <v>1</v>
      </c>
      <c r="H6" s="19">
        <f>G6+1</f>
        <v>2</v>
      </c>
      <c r="I6" s="19">
        <v>3</v>
      </c>
      <c r="J6" s="19">
        <v>4</v>
      </c>
      <c r="K6" s="19">
        <v>5</v>
      </c>
      <c r="L6" s="19">
        <v>6</v>
      </c>
      <c r="M6" s="19">
        <v>7</v>
      </c>
      <c r="N6" s="18"/>
    </row>
    <row r="7" spans="2:14" x14ac:dyDescent="0.25">
      <c r="B7" s="4" t="s">
        <v>7</v>
      </c>
      <c r="C7" s="5">
        <v>1</v>
      </c>
      <c r="D7" s="6">
        <v>2</v>
      </c>
      <c r="E7" s="56">
        <v>170.60301604517497</v>
      </c>
      <c r="F7" s="7">
        <v>1.7999999999999999E-2</v>
      </c>
      <c r="G7" s="20">
        <f t="shared" ref="G7:M18" si="0">IF($C7=G$6,-1,IF($D7=G$6,1+$F7,IF(AND($C7&lt;G$6,$D7&gt;G$6),"&lt;----&gt;","")))</f>
        <v>-1</v>
      </c>
      <c r="H7" s="20">
        <f t="shared" si="0"/>
        <v>1.018</v>
      </c>
      <c r="I7" s="20" t="str">
        <f t="shared" si="0"/>
        <v/>
      </c>
      <c r="J7" s="20" t="str">
        <f t="shared" si="0"/>
        <v/>
      </c>
      <c r="K7" s="20" t="str">
        <f t="shared" si="0"/>
        <v/>
      </c>
      <c r="L7" s="20" t="str">
        <f t="shared" si="0"/>
        <v/>
      </c>
      <c r="M7" s="6" t="str">
        <f t="shared" si="0"/>
        <v/>
      </c>
      <c r="N7" s="18"/>
    </row>
    <row r="8" spans="2:14" x14ac:dyDescent="0.25">
      <c r="B8" s="8" t="s">
        <v>8</v>
      </c>
      <c r="C8" s="9">
        <v>1</v>
      </c>
      <c r="D8" s="10">
        <v>3</v>
      </c>
      <c r="E8" s="57">
        <v>0</v>
      </c>
      <c r="F8" s="11">
        <v>3.5000000000000003E-2</v>
      </c>
      <c r="G8" s="18">
        <f t="shared" si="0"/>
        <v>-1</v>
      </c>
      <c r="H8" s="18" t="str">
        <f t="shared" si="0"/>
        <v>&lt;----&gt;</v>
      </c>
      <c r="I8" s="18">
        <f t="shared" si="0"/>
        <v>1.0349999999999999</v>
      </c>
      <c r="J8" s="18" t="str">
        <f t="shared" si="0"/>
        <v/>
      </c>
      <c r="K8" s="18" t="str">
        <f t="shared" si="0"/>
        <v/>
      </c>
      <c r="L8" s="18" t="str">
        <f t="shared" si="0"/>
        <v/>
      </c>
      <c r="M8" s="10" t="str">
        <f t="shared" si="0"/>
        <v/>
      </c>
      <c r="N8" s="18"/>
    </row>
    <row r="9" spans="2:14" x14ac:dyDescent="0.25">
      <c r="B9" s="8" t="s">
        <v>9</v>
      </c>
      <c r="C9" s="9">
        <v>1</v>
      </c>
      <c r="D9" s="10">
        <v>4</v>
      </c>
      <c r="E9" s="57">
        <v>615.78887707887179</v>
      </c>
      <c r="F9" s="11">
        <v>5.8000000000000003E-2</v>
      </c>
      <c r="G9" s="18">
        <f t="shared" si="0"/>
        <v>-1</v>
      </c>
      <c r="H9" s="18" t="str">
        <f t="shared" si="0"/>
        <v>&lt;----&gt;</v>
      </c>
      <c r="I9" s="18" t="str">
        <f t="shared" si="0"/>
        <v>&lt;----&gt;</v>
      </c>
      <c r="J9" s="18">
        <f t="shared" si="0"/>
        <v>1.0580000000000001</v>
      </c>
      <c r="K9" s="18" t="str">
        <f t="shared" si="0"/>
        <v/>
      </c>
      <c r="L9" s="18" t="str">
        <f t="shared" si="0"/>
        <v/>
      </c>
      <c r="M9" s="10" t="str">
        <f t="shared" si="0"/>
        <v/>
      </c>
      <c r="N9" s="18"/>
    </row>
    <row r="10" spans="2:14" x14ac:dyDescent="0.25">
      <c r="B10" s="8" t="s">
        <v>10</v>
      </c>
      <c r="C10" s="9">
        <v>1</v>
      </c>
      <c r="D10" s="10">
        <v>7</v>
      </c>
      <c r="E10" s="57">
        <v>0</v>
      </c>
      <c r="F10" s="11">
        <v>0.11</v>
      </c>
      <c r="G10" s="18">
        <f t="shared" si="0"/>
        <v>-1</v>
      </c>
      <c r="H10" s="18" t="str">
        <f t="shared" si="0"/>
        <v>&lt;----&gt;</v>
      </c>
      <c r="I10" s="18" t="str">
        <f t="shared" si="0"/>
        <v>&lt;----&gt;</v>
      </c>
      <c r="J10" s="18" t="str">
        <f t="shared" si="0"/>
        <v>&lt;----&gt;</v>
      </c>
      <c r="K10" s="18" t="str">
        <f t="shared" si="0"/>
        <v>&lt;----&gt;</v>
      </c>
      <c r="L10" s="18" t="str">
        <f t="shared" si="0"/>
        <v>&lt;----&gt;</v>
      </c>
      <c r="M10" s="10">
        <f t="shared" si="0"/>
        <v>1.1100000000000001</v>
      </c>
      <c r="N10" s="18"/>
    </row>
    <row r="11" spans="2:14" x14ac:dyDescent="0.25">
      <c r="B11" s="8" t="s">
        <v>7</v>
      </c>
      <c r="C11" s="9">
        <v>2</v>
      </c>
      <c r="D11" s="10">
        <v>3</v>
      </c>
      <c r="E11" s="57">
        <v>73.67387033398812</v>
      </c>
      <c r="F11" s="11">
        <v>1.7999999999999999E-2</v>
      </c>
      <c r="G11" s="18" t="str">
        <f t="shared" si="0"/>
        <v/>
      </c>
      <c r="H11" s="18">
        <f t="shared" si="0"/>
        <v>-1</v>
      </c>
      <c r="I11" s="18">
        <f t="shared" si="0"/>
        <v>1.018</v>
      </c>
      <c r="J11" s="18" t="str">
        <f t="shared" si="0"/>
        <v/>
      </c>
      <c r="K11" s="18" t="str">
        <f t="shared" si="0"/>
        <v/>
      </c>
      <c r="L11" s="18" t="str">
        <f t="shared" si="0"/>
        <v/>
      </c>
      <c r="M11" s="10" t="str">
        <f t="shared" si="0"/>
        <v/>
      </c>
      <c r="N11" s="18"/>
    </row>
    <row r="12" spans="2:14" x14ac:dyDescent="0.25">
      <c r="B12" s="8" t="s">
        <v>7</v>
      </c>
      <c r="C12" s="9">
        <v>3</v>
      </c>
      <c r="D12" s="10">
        <v>4</v>
      </c>
      <c r="E12" s="57">
        <v>0</v>
      </c>
      <c r="F12" s="11">
        <v>1.7999999999999999E-2</v>
      </c>
      <c r="G12" s="18" t="str">
        <f t="shared" si="0"/>
        <v/>
      </c>
      <c r="H12" s="18" t="str">
        <f t="shared" si="0"/>
        <v/>
      </c>
      <c r="I12" s="18">
        <f t="shared" si="0"/>
        <v>-1</v>
      </c>
      <c r="J12" s="18">
        <f t="shared" si="0"/>
        <v>1.018</v>
      </c>
      <c r="K12" s="18" t="str">
        <f t="shared" si="0"/>
        <v/>
      </c>
      <c r="L12" s="18" t="str">
        <f t="shared" si="0"/>
        <v/>
      </c>
      <c r="M12" s="10" t="str">
        <f t="shared" si="0"/>
        <v/>
      </c>
      <c r="N12" s="18"/>
    </row>
    <row r="13" spans="2:14" x14ac:dyDescent="0.25">
      <c r="B13" s="8" t="s">
        <v>8</v>
      </c>
      <c r="C13" s="9">
        <v>3</v>
      </c>
      <c r="D13" s="10">
        <v>5</v>
      </c>
      <c r="E13" s="57">
        <v>0</v>
      </c>
      <c r="F13" s="11">
        <v>3.5000000000000003E-2</v>
      </c>
      <c r="G13" s="18" t="str">
        <f t="shared" si="0"/>
        <v/>
      </c>
      <c r="H13" s="18" t="str">
        <f t="shared" si="0"/>
        <v/>
      </c>
      <c r="I13" s="18">
        <f t="shared" si="0"/>
        <v>-1</v>
      </c>
      <c r="J13" s="18" t="str">
        <f t="shared" si="0"/>
        <v>&lt;----&gt;</v>
      </c>
      <c r="K13" s="18">
        <f t="shared" si="0"/>
        <v>1.0349999999999999</v>
      </c>
      <c r="L13" s="18" t="str">
        <f t="shared" si="0"/>
        <v/>
      </c>
      <c r="M13" s="10" t="str">
        <f t="shared" si="0"/>
        <v/>
      </c>
      <c r="N13" s="18"/>
    </row>
    <row r="14" spans="2:14" x14ac:dyDescent="0.25">
      <c r="B14" s="8" t="s">
        <v>7</v>
      </c>
      <c r="C14" s="9">
        <v>4</v>
      </c>
      <c r="D14" s="10">
        <v>5</v>
      </c>
      <c r="E14" s="57">
        <v>317.95075671315152</v>
      </c>
      <c r="F14" s="11">
        <v>1.7999999999999999E-2</v>
      </c>
      <c r="G14" s="18" t="str">
        <f t="shared" si="0"/>
        <v/>
      </c>
      <c r="H14" s="18" t="str">
        <f t="shared" si="0"/>
        <v/>
      </c>
      <c r="I14" s="18" t="str">
        <f t="shared" si="0"/>
        <v/>
      </c>
      <c r="J14" s="18">
        <f t="shared" si="0"/>
        <v>-1</v>
      </c>
      <c r="K14" s="18">
        <f t="shared" si="0"/>
        <v>1.018</v>
      </c>
      <c r="L14" s="18" t="str">
        <f t="shared" si="0"/>
        <v/>
      </c>
      <c r="M14" s="10" t="str">
        <f t="shared" si="0"/>
        <v/>
      </c>
      <c r="N14" s="18"/>
    </row>
    <row r="15" spans="2:14" x14ac:dyDescent="0.25">
      <c r="B15" s="8" t="s">
        <v>9</v>
      </c>
      <c r="C15" s="9">
        <v>4</v>
      </c>
      <c r="D15" s="10">
        <v>7</v>
      </c>
      <c r="E15" s="57">
        <v>283.55387523629491</v>
      </c>
      <c r="F15" s="11">
        <v>5.8000000000000003E-2</v>
      </c>
      <c r="G15" s="18" t="str">
        <f t="shared" si="0"/>
        <v/>
      </c>
      <c r="H15" s="18" t="str">
        <f t="shared" si="0"/>
        <v/>
      </c>
      <c r="I15" s="18" t="str">
        <f t="shared" si="0"/>
        <v/>
      </c>
      <c r="J15" s="18">
        <f t="shared" si="0"/>
        <v>-1</v>
      </c>
      <c r="K15" s="18" t="str">
        <f t="shared" si="0"/>
        <v>&lt;----&gt;</v>
      </c>
      <c r="L15" s="18" t="str">
        <f t="shared" si="0"/>
        <v>&lt;----&gt;</v>
      </c>
      <c r="M15" s="10">
        <f t="shared" si="0"/>
        <v>1.0580000000000001</v>
      </c>
      <c r="N15" s="18"/>
    </row>
    <row r="16" spans="2:14" x14ac:dyDescent="0.25">
      <c r="B16" s="8" t="s">
        <v>7</v>
      </c>
      <c r="C16" s="9">
        <v>5</v>
      </c>
      <c r="D16" s="10">
        <v>6</v>
      </c>
      <c r="E16" s="57">
        <v>73.673870333988205</v>
      </c>
      <c r="F16" s="11">
        <v>1.7999999999999999E-2</v>
      </c>
      <c r="G16" s="18" t="str">
        <f t="shared" si="0"/>
        <v/>
      </c>
      <c r="H16" s="18" t="str">
        <f t="shared" si="0"/>
        <v/>
      </c>
      <c r="I16" s="18" t="str">
        <f t="shared" si="0"/>
        <v/>
      </c>
      <c r="J16" s="18" t="str">
        <f t="shared" si="0"/>
        <v/>
      </c>
      <c r="K16" s="18">
        <f t="shared" si="0"/>
        <v>-1</v>
      </c>
      <c r="L16" s="18">
        <f t="shared" si="0"/>
        <v>1.018</v>
      </c>
      <c r="M16" s="10" t="str">
        <f t="shared" si="0"/>
        <v/>
      </c>
      <c r="N16" s="18"/>
    </row>
    <row r="17" spans="2:17" x14ac:dyDescent="0.25">
      <c r="B17" s="8" t="s">
        <v>8</v>
      </c>
      <c r="C17" s="9">
        <v>5</v>
      </c>
      <c r="D17" s="10">
        <v>7</v>
      </c>
      <c r="E17" s="57">
        <v>0</v>
      </c>
      <c r="F17" s="11">
        <v>3.5000000000000003E-2</v>
      </c>
      <c r="G17" s="18" t="str">
        <f t="shared" si="0"/>
        <v/>
      </c>
      <c r="H17" s="18" t="str">
        <f t="shared" si="0"/>
        <v/>
      </c>
      <c r="I17" s="18" t="str">
        <f t="shared" si="0"/>
        <v/>
      </c>
      <c r="J17" s="18" t="str">
        <f t="shared" si="0"/>
        <v/>
      </c>
      <c r="K17" s="18">
        <f t="shared" si="0"/>
        <v>-1</v>
      </c>
      <c r="L17" s="18" t="str">
        <f t="shared" si="0"/>
        <v>&lt;----&gt;</v>
      </c>
      <c r="M17" s="10">
        <f t="shared" si="0"/>
        <v>1.0349999999999999</v>
      </c>
      <c r="N17" s="18"/>
    </row>
    <row r="18" spans="2:17" x14ac:dyDescent="0.25">
      <c r="B18" s="12" t="s">
        <v>7</v>
      </c>
      <c r="C18" s="13">
        <v>6</v>
      </c>
      <c r="D18" s="14">
        <v>7</v>
      </c>
      <c r="E18" s="58">
        <v>0</v>
      </c>
      <c r="F18" s="15">
        <v>1.7999999999999999E-2</v>
      </c>
      <c r="G18" s="21" t="str">
        <f t="shared" si="0"/>
        <v/>
      </c>
      <c r="H18" s="21" t="str">
        <f t="shared" si="0"/>
        <v/>
      </c>
      <c r="I18" s="21" t="str">
        <f t="shared" si="0"/>
        <v/>
      </c>
      <c r="J18" s="21" t="str">
        <f t="shared" si="0"/>
        <v/>
      </c>
      <c r="K18" s="21" t="str">
        <f t="shared" si="0"/>
        <v/>
      </c>
      <c r="L18" s="21">
        <f t="shared" si="0"/>
        <v>-1</v>
      </c>
      <c r="M18" s="14">
        <f t="shared" si="0"/>
        <v>1.018</v>
      </c>
      <c r="N18" s="18"/>
    </row>
    <row r="19" spans="2:17" ht="13.8" thickBot="1" x14ac:dyDescent="0.3">
      <c r="B19" s="67" t="s">
        <v>33</v>
      </c>
      <c r="C19" s="68"/>
      <c r="D19" s="69"/>
      <c r="E19" s="22">
        <f>SUMIF(C7:C18,1,E7:E18)</f>
        <v>786.39189312404676</v>
      </c>
      <c r="F19" s="70" t="s">
        <v>12</v>
      </c>
      <c r="G19" s="70"/>
      <c r="H19" s="59">
        <f t="shared" ref="H19:M19" si="1">SUMPRODUCT(H7:H18,$E$7:$E$18)</f>
        <v>100.00000000000001</v>
      </c>
      <c r="I19" s="59">
        <f t="shared" si="1"/>
        <v>74.999999999999901</v>
      </c>
      <c r="J19" s="59">
        <f t="shared" si="1"/>
        <v>50</v>
      </c>
      <c r="K19" s="59">
        <f t="shared" si="1"/>
        <v>250.00000000000006</v>
      </c>
      <c r="L19" s="59">
        <f t="shared" si="1"/>
        <v>75</v>
      </c>
      <c r="M19" s="59">
        <f t="shared" si="1"/>
        <v>300.00000000000006</v>
      </c>
      <c r="N19" s="24"/>
    </row>
    <row r="20" spans="2:17" ht="13.8" thickTop="1" x14ac:dyDescent="0.25">
      <c r="B20" s="18"/>
      <c r="C20" s="18"/>
      <c r="D20" s="18"/>
      <c r="F20" s="71" t="s">
        <v>13</v>
      </c>
      <c r="G20" s="72"/>
      <c r="H20" s="3">
        <v>100</v>
      </c>
      <c r="I20" s="3">
        <v>75</v>
      </c>
      <c r="J20" s="3">
        <v>50</v>
      </c>
      <c r="K20" s="3">
        <v>250</v>
      </c>
      <c r="L20" s="3">
        <v>75</v>
      </c>
      <c r="M20" s="3">
        <v>300</v>
      </c>
      <c r="N20" s="25"/>
    </row>
    <row r="25" spans="2:17" x14ac:dyDescent="0.25">
      <c r="F25" s="17"/>
      <c r="P25" s="51"/>
      <c r="Q25" s="52"/>
    </row>
    <row r="40" spans="15:15" x14ac:dyDescent="0.25">
      <c r="O40" s="50" t="s">
        <v>14</v>
      </c>
    </row>
  </sheetData>
  <mergeCells count="5">
    <mergeCell ref="C5:D5"/>
    <mergeCell ref="G5:M5"/>
    <mergeCell ref="B19:D19"/>
    <mergeCell ref="F19:G19"/>
    <mergeCell ref="F20:G20"/>
  </mergeCells>
  <pageMargins left="0.75" right="0.75" top="1" bottom="1" header="0.5" footer="0.5"/>
  <pageSetup orientation="portrait" horizontalDpi="300" verticalDpi="30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cmdSolverNoRiskCapital">
                <anchor moveWithCells="1" sizeWithCells="1">
                  <from>
                    <xdr:col>8</xdr:col>
                    <xdr:colOff>15240</xdr:colOff>
                    <xdr:row>21</xdr:row>
                    <xdr:rowOff>129540</xdr:rowOff>
                  </from>
                  <to>
                    <xdr:col>11</xdr:col>
                    <xdr:colOff>91440</xdr:colOff>
                    <xdr:row>24</xdr:row>
                    <xdr:rowOff>83820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F27393-1DF5-4EDF-85C8-69C958C3E5E0}">
  <sheetPr codeName="Sheet11"/>
  <dimension ref="A1:S27"/>
  <sheetViews>
    <sheetView zoomScale="80" zoomScaleNormal="80" workbookViewId="0">
      <selection activeCell="G32" sqref="G32"/>
    </sheetView>
  </sheetViews>
  <sheetFormatPr defaultColWidth="9.109375" defaultRowHeight="12" x14ac:dyDescent="0.2"/>
  <cols>
    <col min="1" max="1" width="12.5546875" style="26" customWidth="1"/>
    <col min="2" max="2" width="6.5546875" style="26" customWidth="1"/>
    <col min="3" max="3" width="8" style="26" customWidth="1"/>
    <col min="4" max="4" width="11.33203125" style="26" customWidth="1"/>
    <col min="5" max="5" width="9.109375" style="26" customWidth="1"/>
    <col min="6" max="6" width="7.5546875" style="26" customWidth="1"/>
    <col min="7" max="7" width="6.6640625" style="26" customWidth="1"/>
    <col min="8" max="8" width="7.33203125" style="26" customWidth="1"/>
    <col min="9" max="9" width="6.6640625" style="26" customWidth="1"/>
    <col min="10" max="10" width="7.109375" style="26" customWidth="1"/>
    <col min="11" max="11" width="6.6640625" style="26" customWidth="1"/>
    <col min="12" max="12" width="7.109375" style="26" customWidth="1"/>
    <col min="13" max="13" width="11.33203125" style="26" customWidth="1"/>
    <col min="14" max="19" width="6.33203125" style="26" customWidth="1"/>
    <col min="20" max="16384" width="9.109375" style="26"/>
  </cols>
  <sheetData>
    <row r="1" spans="1:19" ht="14.25" customHeight="1" x14ac:dyDescent="0.25">
      <c r="A1" s="16" t="s">
        <v>28</v>
      </c>
    </row>
    <row r="2" spans="1:19" ht="14.25" customHeight="1" x14ac:dyDescent="0.2"/>
    <row r="3" spans="1:19" ht="14.25" customHeight="1" x14ac:dyDescent="0.2">
      <c r="E3" s="27"/>
    </row>
    <row r="4" spans="1:19" ht="14.25" customHeight="1" x14ac:dyDescent="0.25">
      <c r="A4" s="1"/>
      <c r="B4" s="64" t="s">
        <v>15</v>
      </c>
      <c r="C4" s="65"/>
      <c r="D4" s="1"/>
      <c r="E4" s="1"/>
      <c r="F4" s="64" t="s">
        <v>16</v>
      </c>
      <c r="G4" s="66"/>
      <c r="H4" s="66"/>
      <c r="I4" s="66"/>
      <c r="J4" s="66"/>
      <c r="K4" s="66"/>
      <c r="L4" s="65"/>
      <c r="M4" s="73" t="s">
        <v>17</v>
      </c>
      <c r="N4" s="75" t="s">
        <v>18</v>
      </c>
      <c r="O4" s="76"/>
      <c r="P4" s="76"/>
      <c r="Q4" s="76"/>
      <c r="R4" s="76"/>
      <c r="S4" s="77"/>
    </row>
    <row r="5" spans="1:19" ht="14.25" customHeight="1" x14ac:dyDescent="0.25">
      <c r="A5" s="19" t="s">
        <v>19</v>
      </c>
      <c r="B5" s="19" t="s">
        <v>20</v>
      </c>
      <c r="C5" s="19" t="s">
        <v>21</v>
      </c>
      <c r="D5" s="19" t="s">
        <v>22</v>
      </c>
      <c r="E5" s="19" t="s">
        <v>23</v>
      </c>
      <c r="F5" s="19">
        <v>1</v>
      </c>
      <c r="G5" s="19">
        <v>2</v>
      </c>
      <c r="H5" s="19">
        <v>3</v>
      </c>
      <c r="I5" s="19">
        <v>4</v>
      </c>
      <c r="J5" s="19">
        <v>5</v>
      </c>
      <c r="K5" s="19">
        <v>6</v>
      </c>
      <c r="L5" s="19">
        <v>7</v>
      </c>
      <c r="M5" s="74"/>
      <c r="N5" s="28">
        <v>1</v>
      </c>
      <c r="O5" s="28">
        <v>2</v>
      </c>
      <c r="P5" s="28">
        <v>3</v>
      </c>
      <c r="Q5" s="28">
        <v>4</v>
      </c>
      <c r="R5" s="28">
        <v>5</v>
      </c>
      <c r="S5" s="28">
        <v>6</v>
      </c>
    </row>
    <row r="6" spans="1:19" ht="14.25" customHeight="1" x14ac:dyDescent="0.25">
      <c r="A6" s="4" t="s">
        <v>7</v>
      </c>
      <c r="B6" s="5">
        <v>1</v>
      </c>
      <c r="C6" s="6">
        <v>2</v>
      </c>
      <c r="D6" s="29">
        <v>451.60739230946018</v>
      </c>
      <c r="E6" s="7">
        <v>1.7999999999999999E-2</v>
      </c>
      <c r="F6" s="20">
        <f t="shared" ref="F6:L17" si="0">IF($B6=F$5,-1,IF($C6=F$5,1+$E6,IF(AND($B6&lt;F$5,$C6&gt;F$5),"&lt;----&gt;","")))</f>
        <v>-1</v>
      </c>
      <c r="G6" s="20">
        <f t="shared" si="0"/>
        <v>1.018</v>
      </c>
      <c r="H6" s="20" t="str">
        <f t="shared" si="0"/>
        <v/>
      </c>
      <c r="I6" s="20" t="str">
        <f t="shared" si="0"/>
        <v/>
      </c>
      <c r="J6" s="20" t="str">
        <f t="shared" si="0"/>
        <v/>
      </c>
      <c r="K6" s="20" t="str">
        <f t="shared" si="0"/>
        <v/>
      </c>
      <c r="L6" s="20" t="str">
        <f t="shared" si="0"/>
        <v/>
      </c>
      <c r="M6" s="30">
        <v>1</v>
      </c>
      <c r="N6" s="31">
        <f t="shared" ref="N6:N17" si="1">IF(OR(F6=-1,LEFT(F6)="&lt;"),$M6-$R$19,"")</f>
        <v>-4</v>
      </c>
      <c r="O6" s="32" t="str">
        <f t="shared" ref="O6:O17" si="2">IF(OR(G6=-1,LEFT(G6)="&lt;"),$M6-$R$19,"")</f>
        <v/>
      </c>
      <c r="P6" s="32" t="str">
        <f t="shared" ref="P6:P17" si="3">IF(OR(H6=-1,LEFT(H6)="&lt;"),$M6-$R$19,"")</f>
        <v/>
      </c>
      <c r="Q6" s="32" t="str">
        <f t="shared" ref="Q6:Q17" si="4">IF(OR(I6=-1,LEFT(I6)="&lt;"),$M6-$R$19,"")</f>
        <v/>
      </c>
      <c r="R6" s="32" t="str">
        <f t="shared" ref="R6:R17" si="5">IF(OR(J6=-1,LEFT(J6)="&lt;"),$M6-$R$19,"")</f>
        <v/>
      </c>
      <c r="S6" s="33" t="str">
        <f t="shared" ref="S6:S17" si="6">IF(OR(K6=-1,LEFT(K6)="&lt;"),$M6-$R$19,"")</f>
        <v/>
      </c>
    </row>
    <row r="7" spans="1:19" ht="14.25" customHeight="1" x14ac:dyDescent="0.25">
      <c r="A7" s="8" t="s">
        <v>8</v>
      </c>
      <c r="B7" s="9">
        <v>1</v>
      </c>
      <c r="C7" s="10">
        <v>3</v>
      </c>
      <c r="D7" s="34">
        <v>0</v>
      </c>
      <c r="E7" s="11">
        <v>3.5000000000000003E-2</v>
      </c>
      <c r="F7" s="18">
        <f t="shared" si="0"/>
        <v>-1</v>
      </c>
      <c r="G7" s="18" t="str">
        <f t="shared" si="0"/>
        <v>&lt;----&gt;</v>
      </c>
      <c r="H7" s="18">
        <f t="shared" si="0"/>
        <v>1.0349999999999999</v>
      </c>
      <c r="I7" s="18" t="str">
        <f t="shared" si="0"/>
        <v/>
      </c>
      <c r="J7" s="18" t="str">
        <f t="shared" si="0"/>
        <v/>
      </c>
      <c r="K7" s="18" t="str">
        <f t="shared" si="0"/>
        <v/>
      </c>
      <c r="L7" s="18" t="str">
        <f t="shared" si="0"/>
        <v/>
      </c>
      <c r="M7" s="35">
        <v>3</v>
      </c>
      <c r="N7" s="36">
        <f t="shared" si="1"/>
        <v>-2</v>
      </c>
      <c r="O7" s="37">
        <f t="shared" si="2"/>
        <v>-2</v>
      </c>
      <c r="P7" s="37" t="str">
        <f t="shared" si="3"/>
        <v/>
      </c>
      <c r="Q7" s="37" t="str">
        <f t="shared" si="4"/>
        <v/>
      </c>
      <c r="R7" s="37" t="str">
        <f t="shared" si="5"/>
        <v/>
      </c>
      <c r="S7" s="38" t="str">
        <f t="shared" si="6"/>
        <v/>
      </c>
    </row>
    <row r="8" spans="1:19" ht="14.25" customHeight="1" x14ac:dyDescent="0.25">
      <c r="A8" s="8" t="s">
        <v>9</v>
      </c>
      <c r="B8" s="9">
        <v>1</v>
      </c>
      <c r="C8" s="10">
        <v>4</v>
      </c>
      <c r="D8" s="34">
        <v>290.68210563694652</v>
      </c>
      <c r="E8" s="11">
        <v>5.8000000000000003E-2</v>
      </c>
      <c r="F8" s="18">
        <f t="shared" si="0"/>
        <v>-1</v>
      </c>
      <c r="G8" s="18" t="str">
        <f t="shared" si="0"/>
        <v>&lt;----&gt;</v>
      </c>
      <c r="H8" s="18" t="str">
        <f t="shared" si="0"/>
        <v>&lt;----&gt;</v>
      </c>
      <c r="I8" s="18">
        <f t="shared" si="0"/>
        <v>1.0580000000000001</v>
      </c>
      <c r="J8" s="18" t="str">
        <f t="shared" si="0"/>
        <v/>
      </c>
      <c r="K8" s="18" t="str">
        <f t="shared" si="0"/>
        <v/>
      </c>
      <c r="L8" s="18" t="str">
        <f t="shared" si="0"/>
        <v/>
      </c>
      <c r="M8" s="35">
        <v>8</v>
      </c>
      <c r="N8" s="36">
        <f t="shared" si="1"/>
        <v>3</v>
      </c>
      <c r="O8" s="37">
        <f t="shared" si="2"/>
        <v>3</v>
      </c>
      <c r="P8" s="37">
        <f t="shared" si="3"/>
        <v>3</v>
      </c>
      <c r="Q8" s="37" t="str">
        <f t="shared" si="4"/>
        <v/>
      </c>
      <c r="R8" s="37" t="str">
        <f t="shared" si="5"/>
        <v/>
      </c>
      <c r="S8" s="38" t="str">
        <f t="shared" si="6"/>
        <v/>
      </c>
    </row>
    <row r="9" spans="1:19" ht="14.25" customHeight="1" x14ac:dyDescent="0.25">
      <c r="A9" s="8" t="s">
        <v>10</v>
      </c>
      <c r="B9" s="9">
        <v>1</v>
      </c>
      <c r="C9" s="10">
        <v>7</v>
      </c>
      <c r="D9" s="34">
        <v>0</v>
      </c>
      <c r="E9" s="11">
        <v>0.11</v>
      </c>
      <c r="F9" s="18">
        <f t="shared" si="0"/>
        <v>-1</v>
      </c>
      <c r="G9" s="18" t="str">
        <f t="shared" si="0"/>
        <v>&lt;----&gt;</v>
      </c>
      <c r="H9" s="18" t="str">
        <f t="shared" si="0"/>
        <v>&lt;----&gt;</v>
      </c>
      <c r="I9" s="18" t="str">
        <f t="shared" si="0"/>
        <v>&lt;----&gt;</v>
      </c>
      <c r="J9" s="18" t="str">
        <f t="shared" si="0"/>
        <v>&lt;----&gt;</v>
      </c>
      <c r="K9" s="18" t="str">
        <f t="shared" si="0"/>
        <v>&lt;----&gt;</v>
      </c>
      <c r="L9" s="18">
        <f t="shared" si="0"/>
        <v>1.1100000000000001</v>
      </c>
      <c r="M9" s="35">
        <v>6</v>
      </c>
      <c r="N9" s="36">
        <f t="shared" si="1"/>
        <v>1</v>
      </c>
      <c r="O9" s="37">
        <f t="shared" si="2"/>
        <v>1</v>
      </c>
      <c r="P9" s="37">
        <f t="shared" si="3"/>
        <v>1</v>
      </c>
      <c r="Q9" s="37">
        <f t="shared" si="4"/>
        <v>1</v>
      </c>
      <c r="R9" s="37">
        <f t="shared" si="5"/>
        <v>1</v>
      </c>
      <c r="S9" s="38">
        <f t="shared" si="6"/>
        <v>1</v>
      </c>
    </row>
    <row r="10" spans="1:19" ht="14.25" customHeight="1" x14ac:dyDescent="0.25">
      <c r="A10" s="8" t="s">
        <v>7</v>
      </c>
      <c r="B10" s="9">
        <v>2</v>
      </c>
      <c r="C10" s="10">
        <v>3</v>
      </c>
      <c r="D10" s="34">
        <v>459.73632537103191</v>
      </c>
      <c r="E10" s="11">
        <v>1.7999999999999999E-2</v>
      </c>
      <c r="F10" s="18" t="str">
        <f t="shared" si="0"/>
        <v/>
      </c>
      <c r="G10" s="18">
        <f t="shared" si="0"/>
        <v>-1</v>
      </c>
      <c r="H10" s="18">
        <f t="shared" si="0"/>
        <v>1.018</v>
      </c>
      <c r="I10" s="18" t="str">
        <f t="shared" si="0"/>
        <v/>
      </c>
      <c r="J10" s="18" t="str">
        <f t="shared" si="0"/>
        <v/>
      </c>
      <c r="K10" s="18" t="str">
        <f t="shared" si="0"/>
        <v/>
      </c>
      <c r="L10" s="18" t="str">
        <f t="shared" si="0"/>
        <v/>
      </c>
      <c r="M10" s="35">
        <v>1</v>
      </c>
      <c r="N10" s="36" t="str">
        <f t="shared" si="1"/>
        <v/>
      </c>
      <c r="O10" s="37">
        <f t="shared" si="2"/>
        <v>-4</v>
      </c>
      <c r="P10" s="37" t="str">
        <f t="shared" si="3"/>
        <v/>
      </c>
      <c r="Q10" s="37" t="str">
        <f t="shared" si="4"/>
        <v/>
      </c>
      <c r="R10" s="37" t="str">
        <f t="shared" si="5"/>
        <v/>
      </c>
      <c r="S10" s="38" t="str">
        <f t="shared" si="6"/>
        <v/>
      </c>
    </row>
    <row r="11" spans="1:19" ht="14.25" customHeight="1" x14ac:dyDescent="0.25">
      <c r="A11" s="8" t="s">
        <v>7</v>
      </c>
      <c r="B11" s="9">
        <v>3</v>
      </c>
      <c r="C11" s="10">
        <v>4</v>
      </c>
      <c r="D11" s="34">
        <v>218.01157922770986</v>
      </c>
      <c r="E11" s="11">
        <v>1.7999999999999999E-2</v>
      </c>
      <c r="F11" s="18" t="str">
        <f t="shared" si="0"/>
        <v/>
      </c>
      <c r="G11" s="18" t="str">
        <f t="shared" si="0"/>
        <v/>
      </c>
      <c r="H11" s="18">
        <f t="shared" si="0"/>
        <v>-1</v>
      </c>
      <c r="I11" s="18">
        <f t="shared" si="0"/>
        <v>1.018</v>
      </c>
      <c r="J11" s="18" t="str">
        <f t="shared" si="0"/>
        <v/>
      </c>
      <c r="K11" s="18" t="str">
        <f t="shared" si="0"/>
        <v/>
      </c>
      <c r="L11" s="18" t="str">
        <f t="shared" si="0"/>
        <v/>
      </c>
      <c r="M11" s="35">
        <v>1</v>
      </c>
      <c r="N11" s="36" t="str">
        <f t="shared" si="1"/>
        <v/>
      </c>
      <c r="O11" s="37" t="str">
        <f t="shared" si="2"/>
        <v/>
      </c>
      <c r="P11" s="37">
        <f t="shared" si="3"/>
        <v>-4</v>
      </c>
      <c r="Q11" s="37" t="str">
        <f t="shared" si="4"/>
        <v/>
      </c>
      <c r="R11" s="37" t="str">
        <f t="shared" si="5"/>
        <v/>
      </c>
      <c r="S11" s="38" t="str">
        <f t="shared" si="6"/>
        <v/>
      </c>
    </row>
    <row r="12" spans="1:19" ht="14.25" customHeight="1" x14ac:dyDescent="0.25">
      <c r="A12" s="8" t="s">
        <v>8</v>
      </c>
      <c r="B12" s="9">
        <v>3</v>
      </c>
      <c r="C12" s="10">
        <v>5</v>
      </c>
      <c r="D12" s="34">
        <v>0</v>
      </c>
      <c r="E12" s="11">
        <v>3.5000000000000003E-2</v>
      </c>
      <c r="F12" s="18" t="str">
        <f t="shared" si="0"/>
        <v/>
      </c>
      <c r="G12" s="18" t="str">
        <f t="shared" si="0"/>
        <v/>
      </c>
      <c r="H12" s="18">
        <f t="shared" si="0"/>
        <v>-1</v>
      </c>
      <c r="I12" s="18" t="str">
        <f t="shared" si="0"/>
        <v>&lt;----&gt;</v>
      </c>
      <c r="J12" s="18">
        <f t="shared" si="0"/>
        <v>1.0349999999999999</v>
      </c>
      <c r="K12" s="18" t="str">
        <f t="shared" si="0"/>
        <v/>
      </c>
      <c r="L12" s="18" t="str">
        <f t="shared" si="0"/>
        <v/>
      </c>
      <c r="M12" s="35">
        <v>3</v>
      </c>
      <c r="N12" s="36" t="str">
        <f t="shared" si="1"/>
        <v/>
      </c>
      <c r="O12" s="37" t="str">
        <f t="shared" si="2"/>
        <v/>
      </c>
      <c r="P12" s="37">
        <f t="shared" si="3"/>
        <v>-2</v>
      </c>
      <c r="Q12" s="37">
        <f t="shared" si="4"/>
        <v>-2</v>
      </c>
      <c r="R12" s="37" t="str">
        <f t="shared" si="5"/>
        <v/>
      </c>
      <c r="S12" s="38" t="str">
        <f t="shared" si="6"/>
        <v/>
      </c>
    </row>
    <row r="13" spans="1:19" ht="14.25" customHeight="1" x14ac:dyDescent="0.25">
      <c r="A13" s="8" t="s">
        <v>7</v>
      </c>
      <c r="B13" s="9">
        <v>4</v>
      </c>
      <c r="C13" s="10">
        <v>5</v>
      </c>
      <c r="D13" s="34">
        <v>366.01136400637603</v>
      </c>
      <c r="E13" s="11">
        <v>1.7999999999999999E-2</v>
      </c>
      <c r="F13" s="18" t="str">
        <f t="shared" si="0"/>
        <v/>
      </c>
      <c r="G13" s="18" t="str">
        <f t="shared" si="0"/>
        <v/>
      </c>
      <c r="H13" s="18" t="str">
        <f t="shared" si="0"/>
        <v/>
      </c>
      <c r="I13" s="18">
        <f t="shared" si="0"/>
        <v>-1</v>
      </c>
      <c r="J13" s="18">
        <f t="shared" si="0"/>
        <v>1.018</v>
      </c>
      <c r="K13" s="18" t="str">
        <f t="shared" si="0"/>
        <v/>
      </c>
      <c r="L13" s="18" t="str">
        <f t="shared" si="0"/>
        <v/>
      </c>
      <c r="M13" s="35">
        <v>1</v>
      </c>
      <c r="N13" s="36" t="str">
        <f t="shared" si="1"/>
        <v/>
      </c>
      <c r="O13" s="37" t="str">
        <f t="shared" si="2"/>
        <v/>
      </c>
      <c r="P13" s="37" t="str">
        <f t="shared" si="3"/>
        <v/>
      </c>
      <c r="Q13" s="37">
        <f t="shared" si="4"/>
        <v>-4</v>
      </c>
      <c r="R13" s="37" t="str">
        <f t="shared" si="5"/>
        <v/>
      </c>
      <c r="S13" s="38" t="str">
        <f t="shared" si="6"/>
        <v/>
      </c>
    </row>
    <row r="14" spans="1:19" ht="14.25" customHeight="1" x14ac:dyDescent="0.25">
      <c r="A14" s="8" t="s">
        <v>9</v>
      </c>
      <c r="B14" s="9">
        <v>4</v>
      </c>
      <c r="C14" s="10">
        <v>7</v>
      </c>
      <c r="D14" s="34">
        <v>163.4660914113216</v>
      </c>
      <c r="E14" s="11">
        <v>5.8000000000000003E-2</v>
      </c>
      <c r="F14" s="18" t="str">
        <f t="shared" si="0"/>
        <v/>
      </c>
      <c r="G14" s="18" t="str">
        <f t="shared" si="0"/>
        <v/>
      </c>
      <c r="H14" s="18" t="str">
        <f t="shared" si="0"/>
        <v/>
      </c>
      <c r="I14" s="18">
        <f t="shared" si="0"/>
        <v>-1</v>
      </c>
      <c r="J14" s="18" t="str">
        <f t="shared" si="0"/>
        <v>&lt;----&gt;</v>
      </c>
      <c r="K14" s="18" t="str">
        <f t="shared" si="0"/>
        <v>&lt;----&gt;</v>
      </c>
      <c r="L14" s="18">
        <f t="shared" si="0"/>
        <v>1.0580000000000001</v>
      </c>
      <c r="M14" s="35">
        <v>8</v>
      </c>
      <c r="N14" s="36" t="str">
        <f t="shared" si="1"/>
        <v/>
      </c>
      <c r="O14" s="37" t="str">
        <f t="shared" si="2"/>
        <v/>
      </c>
      <c r="P14" s="37" t="str">
        <f t="shared" si="3"/>
        <v/>
      </c>
      <c r="Q14" s="37">
        <f t="shared" si="4"/>
        <v>3</v>
      </c>
      <c r="R14" s="37">
        <f t="shared" si="5"/>
        <v>3</v>
      </c>
      <c r="S14" s="38">
        <f t="shared" si="6"/>
        <v>3</v>
      </c>
    </row>
    <row r="15" spans="1:19" ht="14.25" customHeight="1" x14ac:dyDescent="0.25">
      <c r="A15" s="8" t="s">
        <v>7</v>
      </c>
      <c r="B15" s="9">
        <v>5</v>
      </c>
      <c r="C15" s="10">
        <v>6</v>
      </c>
      <c r="D15" s="34">
        <v>122.59956855849086</v>
      </c>
      <c r="E15" s="11">
        <v>1.7999999999999999E-2</v>
      </c>
      <c r="F15" s="18" t="str">
        <f t="shared" si="0"/>
        <v/>
      </c>
      <c r="G15" s="18" t="str">
        <f t="shared" si="0"/>
        <v/>
      </c>
      <c r="H15" s="18" t="str">
        <f t="shared" si="0"/>
        <v/>
      </c>
      <c r="I15" s="18" t="str">
        <f t="shared" si="0"/>
        <v/>
      </c>
      <c r="J15" s="18">
        <f t="shared" si="0"/>
        <v>-1</v>
      </c>
      <c r="K15" s="18">
        <f t="shared" si="0"/>
        <v>1.018</v>
      </c>
      <c r="L15" s="18" t="str">
        <f t="shared" si="0"/>
        <v/>
      </c>
      <c r="M15" s="35">
        <v>1</v>
      </c>
      <c r="N15" s="36" t="str">
        <f t="shared" si="1"/>
        <v/>
      </c>
      <c r="O15" s="37" t="str">
        <f t="shared" si="2"/>
        <v/>
      </c>
      <c r="P15" s="37" t="str">
        <f t="shared" si="3"/>
        <v/>
      </c>
      <c r="Q15" s="37" t="str">
        <f t="shared" si="4"/>
        <v/>
      </c>
      <c r="R15" s="37">
        <f t="shared" si="5"/>
        <v>-4</v>
      </c>
      <c r="S15" s="38" t="str">
        <f t="shared" si="6"/>
        <v/>
      </c>
    </row>
    <row r="16" spans="1:19" ht="14.25" customHeight="1" x14ac:dyDescent="0.25">
      <c r="A16" s="8" t="s">
        <v>8</v>
      </c>
      <c r="B16" s="9">
        <v>5</v>
      </c>
      <c r="C16" s="10">
        <v>7</v>
      </c>
      <c r="D16" s="34">
        <v>0</v>
      </c>
      <c r="E16" s="11">
        <v>3.5000000000000003E-2</v>
      </c>
      <c r="F16" s="18" t="str">
        <f t="shared" si="0"/>
        <v/>
      </c>
      <c r="G16" s="18" t="str">
        <f t="shared" si="0"/>
        <v/>
      </c>
      <c r="H16" s="18" t="str">
        <f t="shared" si="0"/>
        <v/>
      </c>
      <c r="I16" s="18" t="str">
        <f t="shared" si="0"/>
        <v/>
      </c>
      <c r="J16" s="18">
        <f t="shared" si="0"/>
        <v>-1</v>
      </c>
      <c r="K16" s="18" t="str">
        <f t="shared" si="0"/>
        <v>&lt;----&gt;</v>
      </c>
      <c r="L16" s="18">
        <f t="shared" si="0"/>
        <v>1.0349999999999999</v>
      </c>
      <c r="M16" s="35">
        <v>3</v>
      </c>
      <c r="N16" s="36" t="str">
        <f t="shared" si="1"/>
        <v/>
      </c>
      <c r="O16" s="37" t="str">
        <f t="shared" si="2"/>
        <v/>
      </c>
      <c r="P16" s="37" t="str">
        <f t="shared" si="3"/>
        <v/>
      </c>
      <c r="Q16" s="37" t="str">
        <f t="shared" si="4"/>
        <v/>
      </c>
      <c r="R16" s="37">
        <f t="shared" si="5"/>
        <v>-2</v>
      </c>
      <c r="S16" s="38">
        <f t="shared" si="6"/>
        <v>-2</v>
      </c>
    </row>
    <row r="17" spans="1:19" ht="14.25" customHeight="1" x14ac:dyDescent="0.25">
      <c r="A17" s="12" t="s">
        <v>7</v>
      </c>
      <c r="B17" s="13">
        <v>6</v>
      </c>
      <c r="C17" s="14">
        <v>7</v>
      </c>
      <c r="D17" s="39">
        <v>124.80636079254124</v>
      </c>
      <c r="E17" s="15">
        <v>1.7999999999999999E-2</v>
      </c>
      <c r="F17" s="21" t="str">
        <f t="shared" si="0"/>
        <v/>
      </c>
      <c r="G17" s="21" t="str">
        <f t="shared" si="0"/>
        <v/>
      </c>
      <c r="H17" s="21" t="str">
        <f t="shared" si="0"/>
        <v/>
      </c>
      <c r="I17" s="21" t="str">
        <f t="shared" si="0"/>
        <v/>
      </c>
      <c r="J17" s="21" t="str">
        <f t="shared" si="0"/>
        <v/>
      </c>
      <c r="K17" s="21">
        <f t="shared" si="0"/>
        <v>-1</v>
      </c>
      <c r="L17" s="21">
        <f t="shared" si="0"/>
        <v>1.018</v>
      </c>
      <c r="M17" s="35">
        <v>1</v>
      </c>
      <c r="N17" s="40" t="str">
        <f t="shared" si="1"/>
        <v/>
      </c>
      <c r="O17" s="41" t="str">
        <f t="shared" si="2"/>
        <v/>
      </c>
      <c r="P17" s="41" t="str">
        <f t="shared" si="3"/>
        <v/>
      </c>
      <c r="Q17" s="41" t="str">
        <f t="shared" si="4"/>
        <v/>
      </c>
      <c r="R17" s="41" t="str">
        <f t="shared" si="5"/>
        <v/>
      </c>
      <c r="S17" s="42">
        <f t="shared" si="6"/>
        <v>-4</v>
      </c>
    </row>
    <row r="18" spans="1:19" ht="14.25" customHeight="1" thickBot="1" x14ac:dyDescent="0.3">
      <c r="A18" s="1"/>
      <c r="B18" s="18"/>
      <c r="C18" s="43" t="s">
        <v>24</v>
      </c>
      <c r="D18" s="44">
        <f>SUMIF(B6:B17,1,D6:D17)</f>
        <v>742.28949794640675</v>
      </c>
      <c r="E18" s="78" t="s">
        <v>25</v>
      </c>
      <c r="F18" s="78"/>
      <c r="G18" s="23">
        <f t="shared" ref="G18:L18" si="7">SUMPRODUCT(G6:G17,$D$6:$D$17)</f>
        <v>-1.4210854715202004E-12</v>
      </c>
      <c r="H18" s="23">
        <f t="shared" si="7"/>
        <v>250.00000000000065</v>
      </c>
      <c r="I18" s="23">
        <f t="shared" si="7"/>
        <v>5.1159076974727213E-13</v>
      </c>
      <c r="J18" s="23">
        <f t="shared" si="7"/>
        <v>249.99999999999991</v>
      </c>
      <c r="K18" s="23">
        <f t="shared" si="7"/>
        <v>2.4584778657299466E-12</v>
      </c>
      <c r="L18" s="23">
        <f t="shared" si="7"/>
        <v>299.99999999998522</v>
      </c>
      <c r="M18" s="45" t="s">
        <v>17</v>
      </c>
      <c r="N18" s="46">
        <f t="shared" ref="N18:S18" si="8">SUMPRODUCT(N6:N17,$D$6:$D$17)</f>
        <v>-934.38325232700117</v>
      </c>
      <c r="O18" s="46">
        <f t="shared" si="8"/>
        <v>-966.89898457328809</v>
      </c>
      <c r="P18" s="46">
        <f t="shared" si="8"/>
        <v>1.1368683772161603E-13</v>
      </c>
      <c r="Q18" s="46">
        <f t="shared" si="8"/>
        <v>-973.64718179153931</v>
      </c>
      <c r="R18" s="46">
        <f t="shared" si="8"/>
        <v>1.3642420526593924E-12</v>
      </c>
      <c r="S18" s="46">
        <f t="shared" si="8"/>
        <v>-8.8271689362001666</v>
      </c>
    </row>
    <row r="19" spans="1:19" ht="14.25" customHeight="1" thickTop="1" x14ac:dyDescent="0.25">
      <c r="A19" s="18"/>
      <c r="B19" s="18"/>
      <c r="C19" s="18"/>
      <c r="D19" s="1"/>
      <c r="E19" s="1"/>
      <c r="F19" s="47" t="s">
        <v>26</v>
      </c>
      <c r="G19" s="3">
        <v>0</v>
      </c>
      <c r="H19" s="3">
        <v>250</v>
      </c>
      <c r="I19" s="3">
        <v>0</v>
      </c>
      <c r="J19" s="3">
        <v>250</v>
      </c>
      <c r="K19" s="3">
        <v>0</v>
      </c>
      <c r="L19" s="3">
        <v>300</v>
      </c>
      <c r="Q19" s="48" t="s">
        <v>27</v>
      </c>
      <c r="R19" s="49">
        <v>5</v>
      </c>
    </row>
    <row r="20" spans="1:19" ht="14.25" customHeight="1" x14ac:dyDescent="0.2"/>
    <row r="21" spans="1:19" ht="14.25" customHeight="1" x14ac:dyDescent="0.2"/>
    <row r="22" spans="1:19" ht="14.25" customHeight="1" x14ac:dyDescent="0.2"/>
    <row r="23" spans="1:19" ht="14.25" customHeight="1" x14ac:dyDescent="0.2"/>
    <row r="24" spans="1:19" ht="14.25" customHeight="1" x14ac:dyDescent="0.2">
      <c r="E24" s="27"/>
    </row>
    <row r="25" spans="1:19" ht="14.25" customHeight="1" x14ac:dyDescent="0.2"/>
    <row r="26" spans="1:19" ht="14.25" customHeight="1" x14ac:dyDescent="0.2"/>
    <row r="27" spans="1:19" ht="14.25" customHeight="1" x14ac:dyDescent="0.2"/>
  </sheetData>
  <mergeCells count="5">
    <mergeCell ref="B4:C4"/>
    <mergeCell ref="F4:L4"/>
    <mergeCell ref="M4:M5"/>
    <mergeCell ref="N4:S4"/>
    <mergeCell ref="E18:F18"/>
  </mergeCells>
  <pageMargins left="0.75" right="0.75" top="1" bottom="1" header="0.5" footer="0.5"/>
  <pageSetup orientation="portrait" horizontalDpi="300" verticalDpi="30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098" r:id="rId4" name="Button 26">
              <controlPr defaultSize="0" print="0" autoFill="0" autoPict="0" macro="[0]!cmdSolverCapitalRisk">
                <anchor moveWithCells="1" sizeWithCells="1">
                  <from>
                    <xdr:col>7</xdr:col>
                    <xdr:colOff>99060</xdr:colOff>
                    <xdr:row>21</xdr:row>
                    <xdr:rowOff>60960</xdr:rowOff>
                  </from>
                  <to>
                    <xdr:col>11</xdr:col>
                    <xdr:colOff>441960</xdr:colOff>
                    <xdr:row>25</xdr:row>
                    <xdr:rowOff>121920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Muni-Insurance-Fund</vt:lpstr>
      <vt:lpstr>Funding Claims</vt:lpstr>
      <vt:lpstr>Funding Claims with Risk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Bill Foote</dc:creator>
  <cp:lastModifiedBy>Bill Foote</cp:lastModifiedBy>
  <dcterms:created xsi:type="dcterms:W3CDTF">2021-03-16T19:22:27Z</dcterms:created>
  <dcterms:modified xsi:type="dcterms:W3CDTF">2021-05-04T19:29:24Z</dcterms:modified>
</cp:coreProperties>
</file>