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workbookPr filterPrivacy="1" codeName="ThisWorkbook" defaultThemeVersion="124226"/>
  <xr:revisionPtr revIDLastSave="0" documentId="13_ncr:1_{19793FF9-C61E-47A6-91B2-884DA3F69583}" xr6:coauthVersionLast="45" xr6:coauthVersionMax="45" xr10:uidLastSave="{00000000-0000-0000-0000-000000000000}"/>
  <bookViews>
    <workbookView xWindow="-108" yWindow="-108" windowWidth="23256" windowHeight="12576" firstSheet="2" activeTab="2" xr2:uid="{00000000-000D-0000-FFFF-FFFF00000000}"/>
  </bookViews>
  <sheets>
    <sheet name="CB_DATA_" sheetId="8" state="veryHidden" r:id="rId1"/>
    <sheet name="Instructions" sheetId="19" r:id="rId2"/>
    <sheet name="tabletop" sheetId="6" r:id="rId3"/>
    <sheet name="ASSUMPTIONS" sheetId="9" r:id="rId4"/>
    <sheet name="Estimation Results" sheetId="14" r:id="rId5"/>
    <sheet name="Simulation" sheetId="10" r:id="rId6"/>
    <sheet name="Sim2" sheetId="18" r:id="rId7"/>
    <sheet name="MCSimulation" sheetId="17" r:id="rId8"/>
    <sheet name="2004US" sheetId="2" r:id="rId9"/>
    <sheet name="2013US" sheetId="5" r:id="rId10"/>
    <sheet name="NCHSData" sheetId="3" r:id="rId11"/>
    <sheet name="Sheet1" sheetId="20" r:id="rId12"/>
  </sheets>
  <definedNames>
    <definedName name="_xlnm._FilterDatabase" localSheetId="7" hidden="1">MCSimulation!$W$5:$W$1005</definedName>
    <definedName name="b" localSheetId="9">'2013US'!$P$4</definedName>
    <definedName name="b">'2004US'!$P$4</definedName>
    <definedName name="beta">#REF!</definedName>
    <definedName name="betaH">#REF!</definedName>
    <definedName name="betaI">'2013US'!$BO$6</definedName>
    <definedName name="CB_Block_00000000000000000000000000000001" localSheetId="0" hidden="1">"'635721244140985747"</definedName>
    <definedName name="CBWorkbookPriority" localSheetId="0" hidden="1">-1573703485</definedName>
    <definedName name="CBx_8019cac22efc4cdea7c7914ca4e2d5af" localSheetId="0" hidden="1">"'USFluPandemic'!$A$1"</definedName>
    <definedName name="CBx_d2ee86c12a984bff875acf57237b9f31" localSheetId="0" hidden="1">"'CB_DATA_'!$A$1"</definedName>
    <definedName name="CBx_Sheet_Guid" localSheetId="0" hidden="1">"'d2ee86c1-2a98-4bff-875a-cf57237b9f31"</definedName>
    <definedName name="CBx_SheetRef" localSheetId="0" hidden="1">CB_DATA_!$A$14</definedName>
    <definedName name="CBx_StorageType" localSheetId="0" hidden="1">2</definedName>
    <definedName name="delta">#REF!</definedName>
    <definedName name="ExRate">#REF!</definedName>
    <definedName name="g" localSheetId="9">'2013US'!$P$5</definedName>
    <definedName name="g">'2004US'!$P$5</definedName>
    <definedName name="gamma">#REF!</definedName>
    <definedName name="gammaR">'2013US'!$BO$7</definedName>
    <definedName name="Grade">#REF!</definedName>
    <definedName name="H0">#REF!</definedName>
    <definedName name="I0" localSheetId="9">'2013US'!$S$1</definedName>
    <definedName name="I0">'2004US'!$S$1</definedName>
    <definedName name="MineCost">#REF!</definedName>
    <definedName name="N" localSheetId="9">'2013US'!$P$1</definedName>
    <definedName name="N">'2004US'!$P$1</definedName>
    <definedName name="N_pop">#REF!</definedName>
    <definedName name="Price">#REF!</definedName>
    <definedName name="ProcessCost">#REF!</definedName>
    <definedName name="Profit">#REF!</definedName>
    <definedName name="Revenue">#REF!</definedName>
    <definedName name="S0" localSheetId="9">'2013US'!$P$2</definedName>
    <definedName name="S0">'2004US'!$P$2</definedName>
    <definedName name="solver_adj" localSheetId="8" hidden="1">'2004US'!$P$4:$P$5</definedName>
    <definedName name="solver_adj" localSheetId="9" hidden="1">'2013US'!$P$4:$P$5</definedName>
    <definedName name="solver_cvg" localSheetId="8" hidden="1">0.0001</definedName>
    <definedName name="solver_cvg" localSheetId="9" hidden="1">0.0001</definedName>
    <definedName name="solver_drv" localSheetId="8" hidden="1">1</definedName>
    <definedName name="solver_drv" localSheetId="9" hidden="1">2</definedName>
    <definedName name="solver_eng" localSheetId="8" hidden="1">1</definedName>
    <definedName name="solver_eng" localSheetId="9" hidden="1">1</definedName>
    <definedName name="solver_est" localSheetId="8" hidden="1">1</definedName>
    <definedName name="solver_est" localSheetId="9" hidden="1">1</definedName>
    <definedName name="solver_itr" localSheetId="8" hidden="1">100</definedName>
    <definedName name="solver_itr" localSheetId="9" hidden="1">100</definedName>
    <definedName name="solver_lin" localSheetId="8" hidden="1">2</definedName>
    <definedName name="solver_lin" localSheetId="9" hidden="1">2</definedName>
    <definedName name="solver_mip" localSheetId="8" hidden="1">2147483647</definedName>
    <definedName name="solver_mip" localSheetId="9" hidden="1">2147483647</definedName>
    <definedName name="solver_mni" localSheetId="8" hidden="1">30</definedName>
    <definedName name="solver_mni" localSheetId="9" hidden="1">30</definedName>
    <definedName name="solver_mrt" localSheetId="8" hidden="1">0.075</definedName>
    <definedName name="solver_mrt" localSheetId="9" hidden="1">0.075</definedName>
    <definedName name="solver_msl" localSheetId="8" hidden="1">2</definedName>
    <definedName name="solver_msl" localSheetId="9" hidden="1">2</definedName>
    <definedName name="solver_neg" localSheetId="8" hidden="1">2</definedName>
    <definedName name="solver_neg" localSheetId="9" hidden="1">2</definedName>
    <definedName name="solver_nod" localSheetId="8" hidden="1">2147483647</definedName>
    <definedName name="solver_nod" localSheetId="9" hidden="1">2147483647</definedName>
    <definedName name="solver_num" localSheetId="8" hidden="1">0</definedName>
    <definedName name="solver_num" localSheetId="9" hidden="1">0</definedName>
    <definedName name="solver_nwt" localSheetId="8" hidden="1">1</definedName>
    <definedName name="solver_nwt" localSheetId="9" hidden="1">1</definedName>
    <definedName name="solver_opt" localSheetId="8" hidden="1">'2004US'!$P$6</definedName>
    <definedName name="solver_opt" localSheetId="9" hidden="1">'2013US'!$P$6</definedName>
    <definedName name="solver_pre" localSheetId="8" hidden="1">0.000001</definedName>
    <definedName name="solver_pre" localSheetId="9" hidden="1">0.000001</definedName>
    <definedName name="solver_rbv" localSheetId="8" hidden="1">1</definedName>
    <definedName name="solver_rbv" localSheetId="9" hidden="1">1</definedName>
    <definedName name="solver_rlx" localSheetId="8" hidden="1">1</definedName>
    <definedName name="solver_rlx" localSheetId="9" hidden="1">1</definedName>
    <definedName name="solver_rsd" localSheetId="8" hidden="1">0</definedName>
    <definedName name="solver_rsd" localSheetId="9" hidden="1">0</definedName>
    <definedName name="solver_scl" localSheetId="8" hidden="1">2</definedName>
    <definedName name="solver_scl" localSheetId="9" hidden="1">1</definedName>
    <definedName name="solver_sho" localSheetId="8" hidden="1">2</definedName>
    <definedName name="solver_sho" localSheetId="9" hidden="1">1</definedName>
    <definedName name="solver_ssz" localSheetId="8" hidden="1">100</definedName>
    <definedName name="solver_ssz" localSheetId="9" hidden="1">100</definedName>
    <definedName name="solver_tim" localSheetId="8" hidden="1">100</definedName>
    <definedName name="solver_tim" localSheetId="9" hidden="1">100</definedName>
    <definedName name="solver_tol" localSheetId="8" hidden="1">0.05</definedName>
    <definedName name="solver_tol" localSheetId="9" hidden="1">0.05</definedName>
    <definedName name="solver_typ" localSheetId="8" hidden="1">2</definedName>
    <definedName name="solver_typ" localSheetId="9" hidden="1">2</definedName>
    <definedName name="solver_val" localSheetId="8" hidden="1">0</definedName>
    <definedName name="solver_val" localSheetId="9" hidden="1">0</definedName>
    <definedName name="solver_ver" localSheetId="8" hidden="1">3</definedName>
    <definedName name="solver_ver" localSheetId="9" hidden="1">3</definedName>
    <definedName name="Tonnes">#REF!</definedName>
    <definedName name="TotalCost">#REF!</definedName>
  </definedNames>
  <calcPr calcId="191029" iterate="1"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 i="9" l="1"/>
  <c r="K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D2" i="5"/>
  <c r="E2" i="5"/>
  <c r="P2" i="5"/>
  <c r="C2" i="5"/>
  <c r="D3" i="5"/>
  <c r="E3" i="5"/>
  <c r="C3" i="5"/>
  <c r="D4" i="5"/>
  <c r="E4" i="5"/>
  <c r="C4" i="5"/>
  <c r="D5" i="5"/>
  <c r="E5" i="5"/>
  <c r="C5" i="5"/>
  <c r="D6" i="5"/>
  <c r="E6" i="5"/>
  <c r="C6" i="5"/>
  <c r="D7" i="5"/>
  <c r="E7" i="5"/>
  <c r="C7" i="5"/>
  <c r="D8" i="5"/>
  <c r="E8" i="5"/>
  <c r="C8" i="5"/>
  <c r="D9" i="5"/>
  <c r="E9" i="5"/>
  <c r="C9" i="5"/>
  <c r="D10" i="5"/>
  <c r="E10" i="5"/>
  <c r="C10" i="5"/>
  <c r="D11" i="5"/>
  <c r="E11" i="5"/>
  <c r="C11" i="5"/>
  <c r="D12" i="5"/>
  <c r="E12" i="5"/>
  <c r="C12" i="5"/>
  <c r="D13" i="5"/>
  <c r="E13" i="5"/>
  <c r="C13" i="5"/>
  <c r="D14" i="5"/>
  <c r="E14" i="5"/>
  <c r="C14" i="5"/>
  <c r="D15" i="5"/>
  <c r="E15" i="5"/>
  <c r="C15" i="5"/>
  <c r="D16" i="5"/>
  <c r="E16" i="5"/>
  <c r="C16" i="5"/>
  <c r="D17" i="5"/>
  <c r="E17" i="5"/>
  <c r="C17" i="5"/>
  <c r="D18" i="5"/>
  <c r="E18" i="5"/>
  <c r="C18" i="5"/>
  <c r="D19" i="5"/>
  <c r="E19" i="5"/>
  <c r="C19" i="5"/>
  <c r="D20" i="5"/>
  <c r="E20" i="5"/>
  <c r="C20" i="5"/>
  <c r="D21" i="5"/>
  <c r="E21" i="5"/>
  <c r="C21" i="5"/>
  <c r="D22" i="5"/>
  <c r="E22" i="5"/>
  <c r="C22" i="5"/>
  <c r="D23" i="5"/>
  <c r="E23" i="5"/>
  <c r="C23" i="5"/>
  <c r="D24" i="5"/>
  <c r="E24" i="5"/>
  <c r="C24" i="5"/>
  <c r="D25" i="5"/>
  <c r="E25" i="5"/>
  <c r="C25" i="5"/>
  <c r="D26" i="5"/>
  <c r="E26" i="5"/>
  <c r="C26" i="5"/>
  <c r="D27" i="5"/>
  <c r="E27" i="5"/>
  <c r="C27" i="5"/>
  <c r="D28" i="5"/>
  <c r="E28" i="5"/>
  <c r="C28" i="5"/>
  <c r="D29" i="5"/>
  <c r="E29" i="5"/>
  <c r="C29" i="5"/>
  <c r="D30" i="5"/>
  <c r="E30" i="5"/>
  <c r="C30" i="5"/>
  <c r="D31" i="5"/>
  <c r="E31" i="5"/>
  <c r="C31" i="5"/>
  <c r="D32" i="5"/>
  <c r="E32" i="5"/>
  <c r="C32" i="5"/>
  <c r="D33" i="5"/>
  <c r="E33" i="5"/>
  <c r="C33" i="5"/>
  <c r="D34" i="5"/>
  <c r="E34" i="5"/>
  <c r="C34" i="5"/>
  <c r="D35" i="5"/>
  <c r="E35" i="5"/>
  <c r="C35" i="5"/>
  <c r="D36" i="5"/>
  <c r="E36" i="5"/>
  <c r="C36" i="5"/>
  <c r="D37" i="5"/>
  <c r="E37" i="5"/>
  <c r="C37" i="5"/>
  <c r="D38" i="5"/>
  <c r="E38" i="5"/>
  <c r="C38" i="5"/>
  <c r="D39" i="5"/>
  <c r="E39" i="5"/>
  <c r="C39" i="5"/>
  <c r="D40" i="5"/>
  <c r="E40" i="5"/>
  <c r="C40" i="5"/>
  <c r="D41" i="5"/>
  <c r="E41" i="5"/>
  <c r="C41" i="5"/>
  <c r="D42" i="5"/>
  <c r="E42" i="5"/>
  <c r="C42" i="5"/>
  <c r="D43" i="5"/>
  <c r="E43" i="5"/>
  <c r="C43" i="5"/>
  <c r="D44" i="5"/>
  <c r="E44" i="5"/>
  <c r="C44" i="5"/>
  <c r="D45" i="5"/>
  <c r="E45" i="5"/>
  <c r="C45" i="5"/>
  <c r="D46" i="5"/>
  <c r="E46" i="5"/>
  <c r="C46" i="5"/>
  <c r="D47" i="5"/>
  <c r="E47" i="5"/>
  <c r="C47" i="5"/>
  <c r="D48" i="5"/>
  <c r="E48" i="5"/>
  <c r="C48" i="5"/>
  <c r="D49" i="5"/>
  <c r="E49" i="5"/>
  <c r="C49" i="5"/>
  <c r="D50" i="5"/>
  <c r="E50" i="5"/>
  <c r="P7" i="5"/>
  <c r="R7" i="5"/>
  <c r="S7" i="5"/>
  <c r="D2" i="2"/>
  <c r="P2" i="2"/>
  <c r="C2" i="2"/>
  <c r="D3" i="2"/>
  <c r="C3" i="2"/>
  <c r="D4" i="2"/>
  <c r="C4" i="2"/>
  <c r="D5" i="2"/>
  <c r="C5" i="2"/>
  <c r="D6" i="2"/>
  <c r="C6" i="2"/>
  <c r="D7" i="2"/>
  <c r="C7" i="2"/>
  <c r="D8" i="2"/>
  <c r="C8" i="2"/>
  <c r="D9" i="2"/>
  <c r="C9" i="2"/>
  <c r="D10" i="2"/>
  <c r="C10" i="2"/>
  <c r="D11" i="2"/>
  <c r="C11" i="2"/>
  <c r="D12" i="2"/>
  <c r="C12" i="2"/>
  <c r="D13" i="2"/>
  <c r="C13" i="2"/>
  <c r="D14" i="2"/>
  <c r="C14" i="2"/>
  <c r="D15" i="2"/>
  <c r="C15" i="2"/>
  <c r="D16" i="2"/>
  <c r="C16" i="2"/>
  <c r="D17" i="2"/>
  <c r="C17" i="2"/>
  <c r="D18" i="2"/>
  <c r="C18" i="2"/>
  <c r="D19" i="2"/>
  <c r="C19" i="2"/>
  <c r="D20" i="2"/>
  <c r="C20" i="2"/>
  <c r="D21" i="2"/>
  <c r="C21" i="2"/>
  <c r="D22" i="2"/>
  <c r="C22" i="2"/>
  <c r="D23" i="2"/>
  <c r="C23" i="2"/>
  <c r="D24" i="2"/>
  <c r="C24" i="2"/>
  <c r="D25" i="2"/>
  <c r="C25" i="2"/>
  <c r="D26" i="2"/>
  <c r="C26" i="2"/>
  <c r="D27" i="2"/>
  <c r="C27" i="2"/>
  <c r="D28" i="2"/>
  <c r="C28" i="2"/>
  <c r="D29" i="2"/>
  <c r="C29" i="2"/>
  <c r="D30" i="2"/>
  <c r="C30" i="2"/>
  <c r="D31" i="2"/>
  <c r="C31" i="2"/>
  <c r="D32" i="2"/>
  <c r="C32" i="2"/>
  <c r="D33" i="2"/>
  <c r="C33" i="2"/>
  <c r="D34" i="2"/>
  <c r="C34" i="2"/>
  <c r="D35" i="2"/>
  <c r="C35" i="2"/>
  <c r="D36" i="2"/>
  <c r="C36" i="2"/>
  <c r="D37" i="2"/>
  <c r="C37" i="2"/>
  <c r="D38" i="2"/>
  <c r="C38" i="2"/>
  <c r="D39" i="2"/>
  <c r="C39" i="2"/>
  <c r="D40" i="2"/>
  <c r="C40" i="2"/>
  <c r="D41" i="2"/>
  <c r="C41" i="2"/>
  <c r="D42" i="2"/>
  <c r="C42" i="2"/>
  <c r="D43" i="2"/>
  <c r="C43" i="2"/>
  <c r="D44" i="2"/>
  <c r="C44" i="2"/>
  <c r="D45" i="2"/>
  <c r="C45" i="2"/>
  <c r="D46" i="2"/>
  <c r="C46" i="2"/>
  <c r="D47" i="2"/>
  <c r="C47" i="2"/>
  <c r="D48" i="2"/>
  <c r="C48" i="2"/>
  <c r="D49" i="2"/>
  <c r="C49" i="2"/>
  <c r="D50" i="2"/>
  <c r="P13"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P7" i="2"/>
  <c r="R7" i="2"/>
  <c r="S7" i="2"/>
  <c r="AI5" i="17"/>
  <c r="AH5" i="17"/>
  <c r="W6" i="17"/>
  <c r="P3" i="17"/>
  <c r="W555" i="17"/>
  <c r="W18" i="17"/>
  <c r="W698" i="17"/>
  <c r="W713" i="17"/>
  <c r="W437" i="17"/>
  <c r="W642" i="17"/>
  <c r="W591" i="17"/>
  <c r="W193" i="17"/>
  <c r="W283" i="17"/>
  <c r="W426" i="17"/>
  <c r="W206" i="17"/>
  <c r="W626" i="17"/>
  <c r="W687" i="17"/>
  <c r="W664" i="17"/>
  <c r="W899" i="17"/>
  <c r="W671" i="17"/>
  <c r="W184" i="17"/>
  <c r="W809" i="17"/>
  <c r="W770" i="17"/>
  <c r="W994" i="17"/>
  <c r="W600" i="17"/>
  <c r="W937" i="17"/>
  <c r="W259" i="17"/>
  <c r="W460" i="17"/>
  <c r="W48" i="17"/>
  <c r="W982" i="17"/>
  <c r="W893" i="17"/>
  <c r="W880" i="17"/>
  <c r="W905" i="17"/>
  <c r="W702" i="17"/>
  <c r="W44" i="17"/>
  <c r="W799" i="17"/>
  <c r="W448" i="17"/>
  <c r="W598" i="17"/>
  <c r="W171" i="17"/>
  <c r="W985" i="17"/>
  <c r="W391" i="17"/>
  <c r="W781" i="17"/>
  <c r="W458" i="17"/>
  <c r="W465" i="17"/>
  <c r="W827" i="17"/>
  <c r="W64" i="17"/>
  <c r="W530" i="17"/>
  <c r="W108" i="17"/>
  <c r="W746" i="17"/>
  <c r="W112" i="17"/>
  <c r="W605" i="17"/>
  <c r="W758" i="17"/>
  <c r="W204" i="17"/>
  <c r="W304" i="17"/>
  <c r="W256" i="17"/>
  <c r="W993" i="17"/>
  <c r="W954" i="17"/>
  <c r="W894" i="17"/>
  <c r="W726" i="17"/>
  <c r="W934" i="17"/>
  <c r="W610" i="17"/>
  <c r="W127" i="17"/>
  <c r="W650" i="17"/>
  <c r="W964" i="17"/>
  <c r="W606" i="17"/>
  <c r="W808" i="17"/>
  <c r="W691" i="17"/>
  <c r="W492" i="17"/>
  <c r="W709" i="17"/>
  <c r="W101" i="17"/>
  <c r="W856" i="17"/>
  <c r="W466" i="17"/>
  <c r="W342" i="17"/>
  <c r="W574" i="17"/>
  <c r="W761" i="17"/>
  <c r="W721" i="17"/>
  <c r="W750" i="17"/>
  <c r="W436" i="17"/>
  <c r="W703" i="17"/>
  <c r="W399" i="17"/>
  <c r="W928" i="17"/>
  <c r="W636" i="17"/>
  <c r="W658" i="17"/>
  <c r="W225" i="17"/>
  <c r="W19" i="17"/>
  <c r="W888" i="17"/>
  <c r="W88" i="17"/>
  <c r="W400" i="17"/>
  <c r="W811" i="17"/>
  <c r="W446" i="17"/>
  <c r="W771" i="17"/>
  <c r="W97" i="17"/>
  <c r="W23" i="17"/>
  <c r="W402" i="17"/>
  <c r="W517" i="17"/>
  <c r="W8" i="17"/>
  <c r="W595" i="17"/>
  <c r="W607" i="17"/>
  <c r="W641" i="17"/>
  <c r="W408" i="17"/>
  <c r="W213" i="17"/>
  <c r="W201" i="17"/>
  <c r="W978" i="17"/>
  <c r="W461" i="17"/>
  <c r="W727" i="17"/>
  <c r="W834" i="17"/>
  <c r="W648" i="17"/>
  <c r="W143" i="17"/>
  <c r="W847" i="17"/>
  <c r="W639" i="17"/>
  <c r="W367" i="17"/>
  <c r="W79" i="17"/>
  <c r="W505" i="17"/>
  <c r="W624" i="17"/>
  <c r="W120" i="17"/>
  <c r="W203" i="17"/>
  <c r="W557" i="17"/>
  <c r="W967" i="17"/>
  <c r="W107" i="17"/>
  <c r="W807" i="17"/>
  <c r="W545" i="17"/>
  <c r="W507" i="17"/>
  <c r="W394" i="17"/>
  <c r="W784" i="17"/>
  <c r="W829" i="17"/>
  <c r="W652" i="17"/>
  <c r="W597" i="17"/>
  <c r="W423" i="17"/>
  <c r="W306" i="17"/>
  <c r="W869" i="17"/>
  <c r="W228" i="17"/>
  <c r="W359" i="17"/>
  <c r="W68" i="17"/>
  <c r="W234" i="17"/>
  <c r="W984" i="17"/>
  <c r="W522" i="17"/>
  <c r="W463" i="17"/>
  <c r="W476" i="17"/>
  <c r="W920" i="17"/>
  <c r="W685" i="17"/>
  <c r="W202" i="17"/>
  <c r="W115" i="17"/>
  <c r="W824" i="17"/>
  <c r="W678" i="17"/>
  <c r="W535" i="17"/>
  <c r="W755" i="17"/>
  <c r="W52" i="17"/>
  <c r="W156" i="17"/>
  <c r="W559" i="17"/>
  <c r="W885" i="17"/>
  <c r="W471" i="17"/>
  <c r="W473" i="17"/>
  <c r="W50" i="17"/>
  <c r="W114" i="17"/>
  <c r="W26" i="17"/>
  <c r="W860" i="17"/>
  <c r="W958" i="17"/>
  <c r="W179" i="17"/>
  <c r="W670" i="17"/>
  <c r="W500" i="17"/>
  <c r="W708" i="17"/>
  <c r="W617" i="17"/>
  <c r="W871" i="17"/>
  <c r="W324" i="17"/>
  <c r="W554" i="17"/>
  <c r="W797" i="17"/>
  <c r="W588" i="17"/>
  <c r="W392" i="17"/>
  <c r="W578" i="17"/>
  <c r="W98" i="17"/>
  <c r="W512" i="17"/>
  <c r="W450" i="17"/>
  <c r="W273" i="17"/>
  <c r="W669" i="17"/>
  <c r="W332" i="17"/>
  <c r="W743" i="17"/>
  <c r="W814" i="17"/>
  <c r="W239" i="17"/>
  <c r="W118" i="17"/>
  <c r="W693" i="17"/>
  <c r="W662" i="17"/>
  <c r="W457" i="17"/>
  <c r="W293" i="17"/>
  <c r="W754" i="17"/>
  <c r="W431" i="17"/>
  <c r="W734" i="17"/>
  <c r="W576" i="17"/>
  <c r="W413" i="17"/>
  <c r="W855" i="17"/>
  <c r="W830" i="17"/>
  <c r="W444" i="17"/>
  <c r="W874" i="17"/>
  <c r="W790" i="17"/>
  <c r="W904" i="17"/>
  <c r="W246" i="17"/>
  <c r="W303" i="17"/>
  <c r="W207" i="17"/>
  <c r="W506" i="17"/>
  <c r="W484" i="17"/>
  <c r="W946" i="17"/>
  <c r="W941" i="17"/>
  <c r="W416" i="17"/>
  <c r="W122" i="17"/>
  <c r="W223" i="17"/>
  <c r="W279" i="17"/>
  <c r="W854" i="17"/>
  <c r="W374" i="17"/>
  <c r="W253" i="17"/>
  <c r="W130" i="17"/>
  <c r="W645" i="17"/>
  <c r="W15" i="17"/>
  <c r="W699" i="17"/>
  <c r="W369" i="17"/>
  <c r="W226" i="17"/>
  <c r="W594" i="17"/>
  <c r="W440" i="17"/>
  <c r="W731" i="17"/>
  <c r="W189" i="17"/>
  <c r="W30" i="17"/>
  <c r="W536" i="17"/>
  <c r="W475" i="17"/>
  <c r="W92" i="17"/>
  <c r="W292" i="17"/>
  <c r="W411" i="17"/>
  <c r="W995" i="17"/>
  <c r="W793" i="17"/>
  <c r="W877" i="17"/>
  <c r="W570" i="17"/>
  <c r="W819" i="17"/>
  <c r="W422" i="17"/>
  <c r="W1001" i="17"/>
  <c r="W957" i="17"/>
  <c r="W113" i="17"/>
  <c r="W199" i="17"/>
  <c r="W862" i="17"/>
  <c r="W354" i="17"/>
  <c r="W516" i="17"/>
  <c r="W433" i="17"/>
  <c r="W649" i="17"/>
  <c r="W245" i="17"/>
  <c r="W548" i="17"/>
  <c r="W543" i="17"/>
  <c r="W430" i="17"/>
  <c r="W390" i="17"/>
  <c r="W804" i="17"/>
  <c r="W947" i="17"/>
  <c r="W166" i="17"/>
  <c r="W644" i="17"/>
  <c r="W820" i="17"/>
  <c r="W254" i="17"/>
  <c r="W161" i="17"/>
  <c r="W896" i="17"/>
  <c r="W483" i="17"/>
  <c r="W136" i="17"/>
  <c r="W449" i="17"/>
  <c r="W377" i="17"/>
  <c r="W926" i="17"/>
  <c r="W991" i="17"/>
  <c r="W200" i="17"/>
  <c r="W1000" i="17"/>
  <c r="W291" i="17"/>
  <c r="W801" i="17"/>
  <c r="W260" i="17"/>
  <c r="W917" i="17"/>
  <c r="W688" i="17"/>
  <c r="W87" i="17"/>
  <c r="W760" i="17"/>
  <c r="W634" i="17"/>
  <c r="W447" i="17"/>
  <c r="W798" i="17"/>
  <c r="W586" i="17"/>
  <c r="W255" i="17"/>
  <c r="W152" i="17"/>
  <c r="W251" i="17"/>
  <c r="W123" i="17"/>
  <c r="W999" i="17"/>
  <c r="W526" i="17"/>
  <c r="W674" i="17"/>
  <c r="W224" i="17"/>
  <c r="W938" i="17"/>
  <c r="W274" i="17"/>
  <c r="W139" i="17"/>
  <c r="W778" i="17"/>
  <c r="W932" i="17"/>
  <c r="W406" i="17"/>
  <c r="W996" i="17"/>
  <c r="W262" i="17"/>
  <c r="W493" i="17"/>
  <c r="W393" i="17"/>
  <c r="W868" i="17"/>
  <c r="W990" i="17"/>
  <c r="W659" i="17"/>
  <c r="W165" i="17"/>
  <c r="W482" i="17"/>
  <c r="W296" i="17"/>
  <c r="W219" i="17"/>
  <c r="W429" i="17"/>
  <c r="W361" i="17"/>
  <c r="W878" i="17"/>
  <c r="W913" i="17"/>
  <c r="W977" i="17"/>
  <c r="W956" i="17"/>
  <c r="W479" i="17"/>
  <c r="W53" i="17"/>
  <c r="W341" i="17"/>
  <c r="W845" i="17"/>
  <c r="W944" i="17"/>
  <c r="W388" i="17"/>
  <c r="W360" i="17"/>
  <c r="W240" i="17"/>
  <c r="W72" i="17"/>
  <c r="W188" i="17"/>
  <c r="W434" i="17"/>
  <c r="W775" i="17"/>
  <c r="W612" i="17"/>
  <c r="W822" i="17"/>
  <c r="W209" i="17"/>
  <c r="W270" i="17"/>
  <c r="W842" i="17"/>
  <c r="W717" i="17"/>
  <c r="W231" i="17"/>
  <c r="W452" i="17"/>
  <c r="W655" i="17"/>
  <c r="W96" i="17"/>
  <c r="W75" i="17"/>
  <c r="W865" i="17"/>
  <c r="W316" i="17"/>
  <c r="W539" i="17"/>
  <c r="W805" i="17"/>
  <c r="W846" i="17"/>
  <c r="W157" i="17"/>
  <c r="W833" i="17"/>
  <c r="W95" i="17"/>
  <c r="W267" i="17"/>
  <c r="W686" i="17"/>
  <c r="W741" i="17"/>
  <c r="W656" i="17"/>
  <c r="W469" i="17"/>
  <c r="W266" i="17"/>
  <c r="W973" i="17"/>
  <c r="W603" i="17"/>
  <c r="W667" i="17"/>
  <c r="W61" i="17"/>
  <c r="W832" i="17"/>
  <c r="W128" i="17"/>
  <c r="W346" i="17"/>
  <c r="W742" i="17"/>
  <c r="W212" i="17"/>
  <c r="W675" i="17"/>
  <c r="W616" i="17"/>
  <c r="W162" i="17"/>
  <c r="W757" i="17"/>
  <c r="W550" i="17"/>
  <c r="W109" i="17"/>
  <c r="W943" i="17"/>
  <c r="W314" i="17"/>
  <c r="W276" i="17"/>
  <c r="W275" i="17"/>
  <c r="W806" i="17"/>
  <c r="W208" i="17"/>
  <c r="W397" i="17"/>
  <c r="W783" i="17"/>
  <c r="W480" i="17"/>
  <c r="W290" i="17"/>
  <c r="W70" i="17"/>
  <c r="W372" i="17"/>
  <c r="W534" i="17"/>
  <c r="W110" i="17"/>
  <c r="W185" i="17"/>
  <c r="W525" i="17"/>
  <c r="W170" i="17"/>
  <c r="W561" i="17"/>
  <c r="W375" i="17"/>
  <c r="W451" i="17"/>
  <c r="W174" i="17"/>
  <c r="W380" i="17"/>
  <c r="W138" i="17"/>
  <c r="W250" i="17"/>
  <c r="W942" i="17"/>
  <c r="W1004" i="17"/>
  <c r="W247" i="17"/>
  <c r="W352" i="17"/>
  <c r="W216" i="17"/>
  <c r="W191" i="17"/>
  <c r="W609" i="17"/>
  <c r="W882" i="17"/>
  <c r="W334" i="17"/>
  <c r="W432" i="17"/>
  <c r="W66" i="17"/>
  <c r="W298" i="17"/>
  <c r="W322" i="17"/>
  <c r="W837" i="17"/>
  <c r="W521" i="17"/>
  <c r="W897" i="17"/>
  <c r="W818" i="17"/>
  <c r="W11" i="17"/>
  <c r="W343" i="17"/>
  <c r="W858" i="17"/>
  <c r="W911" i="17"/>
  <c r="W439" i="17"/>
  <c r="W229" i="17"/>
  <c r="W69" i="17"/>
  <c r="W759" i="17"/>
  <c r="W129" i="17"/>
  <c r="W701" i="17"/>
  <c r="W710" i="17"/>
  <c r="W951" i="17"/>
  <c r="W565" i="17"/>
  <c r="W665" i="17"/>
  <c r="W763" i="17"/>
  <c r="W329" i="17"/>
  <c r="W527" i="17"/>
  <c r="W438" i="17"/>
  <c r="W238" i="17"/>
  <c r="W817" i="17"/>
  <c r="W121" i="17"/>
  <c r="W961" i="17"/>
  <c r="W146" i="17"/>
  <c r="W498" i="17"/>
  <c r="W468" i="17"/>
  <c r="W117" i="17"/>
  <c r="W821" i="17"/>
  <c r="W840" i="17"/>
  <c r="W71" i="17"/>
  <c r="W325" i="17"/>
  <c r="W243" i="17"/>
  <c r="W584" i="17"/>
  <c r="W350" i="17"/>
  <c r="W857" i="17"/>
  <c r="W909" i="17"/>
  <c r="W859" i="17"/>
  <c r="W566" i="17"/>
  <c r="W747" i="17"/>
  <c r="W556" i="17"/>
  <c r="W737" i="17"/>
  <c r="W382" i="17"/>
  <c r="W84" i="17"/>
  <c r="W949" i="17"/>
  <c r="W100" i="17"/>
  <c r="W630" i="17"/>
  <c r="W812" i="17"/>
  <c r="W49" i="17"/>
  <c r="W791" i="17"/>
  <c r="W538" i="17"/>
  <c r="W969" i="17"/>
  <c r="W633" i="17"/>
  <c r="W340" i="17"/>
  <c r="W510" i="17"/>
  <c r="W725" i="17"/>
  <c r="W9" i="17"/>
  <c r="W25" i="17"/>
  <c r="W285" i="17"/>
  <c r="W752" i="17"/>
  <c r="W776" i="17"/>
  <c r="W153" i="17"/>
  <c r="W579" i="17"/>
  <c r="W768" i="17"/>
  <c r="W281" i="17"/>
  <c r="W102" i="17"/>
  <c r="W428" i="17"/>
  <c r="W196" i="17"/>
  <c r="W301" i="17"/>
  <c r="W706" i="17"/>
  <c r="W740" i="17"/>
  <c r="W831" i="17"/>
  <c r="W145" i="17"/>
  <c r="W37" i="17"/>
  <c r="W105" i="17"/>
  <c r="W277" i="17"/>
  <c r="W802" i="17"/>
  <c r="W544" i="17"/>
  <c r="W792" i="17"/>
  <c r="W300" i="17"/>
  <c r="W214" i="17"/>
  <c r="W490" i="17"/>
  <c r="W365" i="17"/>
  <c r="W762" i="17"/>
  <c r="W640" i="17"/>
  <c r="W455" i="17"/>
  <c r="W549" i="17"/>
  <c r="W133" i="17"/>
  <c r="W531" i="17"/>
  <c r="W788" i="17"/>
  <c r="W40" i="17"/>
  <c r="W104" i="17"/>
  <c r="W537" i="17"/>
  <c r="W337" i="17"/>
  <c r="W872" i="17"/>
  <c r="W690" i="17"/>
  <c r="W910" i="17"/>
  <c r="W883" i="17"/>
  <c r="W357" i="17"/>
  <c r="W921" i="17"/>
  <c r="W604" i="17"/>
  <c r="W867" i="17"/>
  <c r="W106" i="17"/>
  <c r="W385" i="17"/>
  <c r="W733" i="17"/>
  <c r="W989" i="17"/>
  <c r="W914" i="17"/>
  <c r="W508" i="17"/>
  <c r="W186" i="17"/>
  <c r="W116" i="17"/>
  <c r="W810" i="17"/>
  <c r="W261" i="17"/>
  <c r="W258" i="17"/>
  <c r="W736" i="17"/>
  <c r="W288" i="17"/>
  <c r="W421" i="17"/>
  <c r="W587" i="17"/>
  <c r="W89" i="17"/>
  <c r="W244" i="17"/>
  <c r="W850" i="17"/>
  <c r="W22" i="17"/>
  <c r="W85" i="17"/>
  <c r="W677" i="17"/>
  <c r="W51" i="17"/>
  <c r="W82" i="17"/>
  <c r="W653" i="17"/>
  <c r="W929" i="17"/>
  <c r="W583" i="17"/>
  <c r="W381" i="17"/>
  <c r="W320" i="17"/>
  <c r="W302" i="17"/>
  <c r="W902" i="17"/>
  <c r="W955" i="17"/>
  <c r="W232" i="17"/>
  <c r="W328" i="17"/>
  <c r="W65" i="17"/>
  <c r="W462" i="17"/>
  <c r="W529" i="17"/>
  <c r="W939" i="17"/>
  <c r="W269" i="17"/>
  <c r="W272" i="17"/>
  <c r="W573" i="17"/>
  <c r="W312" i="17"/>
  <c r="W1002" i="17"/>
  <c r="W487" i="17"/>
  <c r="W716" i="17"/>
  <c r="W330" i="17"/>
  <c r="W36" i="17"/>
  <c r="W497" i="17"/>
  <c r="W177" i="17"/>
  <c r="W553" i="17"/>
  <c r="W57" i="17"/>
  <c r="W622" i="17"/>
  <c r="W211" i="17"/>
  <c r="W987" i="17"/>
  <c r="W866" i="17"/>
  <c r="W673" i="17"/>
  <c r="W94" i="17"/>
  <c r="W936" i="17"/>
  <c r="W786" i="17"/>
  <c r="W722" i="17"/>
  <c r="W486" i="17"/>
  <c r="W519" i="17"/>
  <c r="W181" i="17"/>
  <c r="W21" i="17"/>
  <c r="W891" i="17"/>
  <c r="W903" i="17"/>
  <c r="W368" i="17"/>
  <c r="W705" i="17"/>
  <c r="W33" i="17"/>
  <c r="W720" i="17"/>
  <c r="W135" i="17"/>
  <c r="W491" i="17"/>
  <c r="W729" i="17"/>
  <c r="W881" i="17"/>
  <c r="W585" i="17"/>
  <c r="W608" i="17"/>
  <c r="W666" i="17"/>
  <c r="W931" i="17"/>
  <c r="W318" i="17"/>
  <c r="W563" i="17"/>
  <c r="W494" i="17"/>
  <c r="W979" i="17"/>
  <c r="W150" i="17"/>
  <c r="W159" i="17"/>
  <c r="W271" i="17"/>
  <c r="W753" i="17"/>
  <c r="W305" i="17"/>
  <c r="W890" i="17"/>
  <c r="W975" i="17"/>
  <c r="W111" i="17"/>
  <c r="W265" i="17"/>
  <c r="W983" i="17"/>
  <c r="W692" i="17"/>
  <c r="W158" i="17"/>
  <c r="W919" i="17"/>
  <c r="W297" i="17"/>
  <c r="W795" i="17"/>
  <c r="W611" i="17"/>
  <c r="W513" i="17"/>
  <c r="W694" i="17"/>
  <c r="W509" i="17"/>
  <c r="W489" i="17"/>
  <c r="W331" i="17"/>
  <c r="W17" i="17"/>
  <c r="W569" i="17"/>
  <c r="W351" i="17"/>
  <c r="W572" i="17"/>
  <c r="W282" i="17"/>
  <c r="W870" i="17"/>
  <c r="W58" i="17"/>
  <c r="W966" i="17"/>
  <c r="W580" i="17"/>
  <c r="W13" i="17"/>
  <c r="W986" i="17"/>
  <c r="W233" i="17"/>
  <c r="W959" i="17"/>
  <c r="W467" i="17"/>
  <c r="W172" i="17"/>
  <c r="W151" i="17"/>
  <c r="W886" i="17"/>
  <c r="W401" i="17"/>
  <c r="W970" i="17"/>
  <c r="W844" i="17"/>
  <c r="W195" i="17"/>
  <c r="W477" i="17"/>
  <c r="W414" i="17"/>
  <c r="W264" i="17"/>
  <c r="W24" i="17"/>
  <c r="W695" i="17"/>
  <c r="W962" i="17"/>
  <c r="W80" i="17"/>
  <c r="W263" i="17"/>
  <c r="W971" i="17"/>
  <c r="W935" i="17"/>
  <c r="W398" i="17"/>
  <c r="W344" i="17"/>
  <c r="W38" i="17"/>
  <c r="W230" i="17"/>
  <c r="W427" i="17"/>
  <c r="W495" i="17"/>
  <c r="W647" i="17"/>
  <c r="W681" i="17"/>
  <c r="W154" i="17"/>
  <c r="W906" i="17"/>
  <c r="W268" i="17"/>
  <c r="W77" i="17"/>
  <c r="W523" i="17"/>
  <c r="W879" i="17"/>
  <c r="W183" i="17"/>
  <c r="W34" i="17"/>
  <c r="W415" i="17"/>
  <c r="W164" i="17"/>
  <c r="W562" i="17"/>
  <c r="W689" i="17"/>
  <c r="W378" i="17"/>
  <c r="W901" i="17"/>
  <c r="W620" i="17"/>
  <c r="W499" i="17"/>
  <c r="W676" i="17"/>
  <c r="W637" i="17"/>
  <c r="W900" i="17"/>
  <c r="W27" i="17"/>
  <c r="W74" i="17"/>
  <c r="W826" i="17"/>
  <c r="W748" i="17"/>
  <c r="W370" i="17"/>
  <c r="W672" i="17"/>
  <c r="W124" i="17"/>
  <c r="W299" i="17"/>
  <c r="W515" i="17"/>
  <c r="W992" i="17"/>
  <c r="W657" i="17"/>
  <c r="W718" i="17"/>
  <c r="W514" i="17"/>
  <c r="W948" i="17"/>
  <c r="W660" i="17"/>
  <c r="W621" i="17"/>
  <c r="W631" i="17"/>
  <c r="W785" i="17"/>
  <c r="W952" i="17"/>
  <c r="W137" i="17"/>
  <c r="W134" i="17"/>
  <c r="W242" i="17"/>
  <c r="W925" i="17"/>
  <c r="W852" i="17"/>
  <c r="W974" i="17"/>
  <c r="W142" i="17"/>
  <c r="W542" i="17"/>
  <c r="W315" i="17"/>
  <c r="W861" i="17"/>
  <c r="W916" i="17"/>
  <c r="W345" i="17"/>
  <c r="W178" i="17"/>
  <c r="W308" i="17"/>
  <c r="W613" i="17"/>
  <c r="W417" i="17"/>
  <c r="W972" i="17"/>
  <c r="W278" i="17"/>
  <c r="W732" i="17"/>
  <c r="W349" i="17"/>
  <c r="W560" i="17"/>
  <c r="W724" i="17"/>
  <c r="W119" i="17"/>
  <c r="W668" i="17"/>
  <c r="W86" i="17"/>
  <c r="W864" i="17"/>
  <c r="W46" i="17"/>
  <c r="W532" i="17"/>
  <c r="W618" i="17"/>
  <c r="W45" i="17"/>
  <c r="W404" i="17"/>
  <c r="W953" i="17"/>
  <c r="W749" i="17"/>
  <c r="W28" i="17"/>
  <c r="W632" i="17"/>
  <c r="W540" i="17"/>
  <c r="W596" i="17"/>
  <c r="W284" i="17"/>
  <c r="W99" i="17"/>
  <c r="W169" i="17"/>
  <c r="W405" i="17"/>
  <c r="W684" i="17"/>
  <c r="W470" i="17"/>
  <c r="W738" i="17"/>
  <c r="W187" i="17"/>
  <c r="W887" i="17"/>
  <c r="W384" i="17"/>
  <c r="W383" i="17"/>
  <c r="W459" i="17"/>
  <c r="W327" i="17"/>
  <c r="W728" i="17"/>
  <c r="W654" i="17"/>
  <c r="W502" i="17"/>
  <c r="W7" i="17"/>
  <c r="W908" i="17"/>
  <c r="W533" i="17"/>
  <c r="W800" i="17"/>
  <c r="W839" i="17"/>
  <c r="W849" i="17"/>
  <c r="W1003" i="17"/>
  <c r="W711" i="17"/>
  <c r="W945" i="17"/>
  <c r="W773" i="17"/>
  <c r="W924" i="17"/>
  <c r="W730" i="17"/>
  <c r="W180" i="17"/>
  <c r="W823" i="17"/>
  <c r="W323" i="17"/>
  <c r="W680" i="17"/>
  <c r="W745" i="17"/>
  <c r="W210" i="17"/>
  <c r="W373" i="17"/>
  <c r="W54" i="17"/>
  <c r="W363" i="17"/>
  <c r="W779" i="17"/>
  <c r="W614" i="17"/>
  <c r="W593" i="17"/>
  <c r="W90" i="17"/>
  <c r="W205" i="17"/>
  <c r="W248" i="17"/>
  <c r="W257" i="17"/>
  <c r="W307" i="17"/>
  <c r="W577" i="17"/>
  <c r="W67" i="17"/>
  <c r="W635" i="17"/>
  <c r="W873" i="17"/>
  <c r="W454" i="17"/>
  <c r="W787" i="17"/>
  <c r="W571" i="17"/>
  <c r="W176" i="17"/>
  <c r="W835" i="17"/>
  <c r="W326" i="17"/>
  <c r="W552" i="17"/>
  <c r="W29" i="17"/>
  <c r="W286" i="17"/>
  <c r="W629" i="17"/>
  <c r="W41" i="17"/>
  <c r="W619" i="17"/>
  <c r="W252" i="17"/>
  <c r="W930" i="17"/>
  <c r="W518" i="17"/>
  <c r="W194" i="17"/>
  <c r="W407" i="17"/>
  <c r="W387" i="17"/>
  <c r="W546" i="17"/>
  <c r="W679" i="17"/>
  <c r="W815" i="17"/>
  <c r="W582" i="17"/>
  <c r="W599" i="17"/>
  <c r="W912" i="17"/>
  <c r="W683" i="17"/>
  <c r="W541" i="17"/>
  <c r="W739" i="17"/>
  <c r="W851" i="17"/>
  <c r="W998" i="17"/>
  <c r="W317" i="17"/>
  <c r="W356" i="17"/>
  <c r="W646" i="17"/>
  <c r="W825" i="17"/>
  <c r="W190" i="17"/>
  <c r="W615" i="17"/>
  <c r="W218" i="17"/>
  <c r="W456" i="17"/>
  <c r="W220" i="17"/>
  <c r="W774" i="17"/>
  <c r="W892" i="17"/>
  <c r="W435" i="17"/>
  <c r="W32" i="17"/>
  <c r="W474" i="17"/>
  <c r="W78" i="17"/>
  <c r="W918" i="17"/>
  <c r="W895" i="17"/>
  <c r="W723" i="17"/>
  <c r="W558" i="17"/>
  <c r="W217" i="17"/>
  <c r="W836" i="17"/>
  <c r="W409" i="17"/>
  <c r="W241" i="17"/>
  <c r="W395" i="17"/>
  <c r="W16" i="17"/>
  <c r="W981" i="17"/>
  <c r="W140" i="17"/>
  <c r="W764" i="17"/>
  <c r="W35" i="17"/>
  <c r="W796" i="17"/>
  <c r="W55" i="17"/>
  <c r="W39" i="17"/>
  <c r="W371" i="17"/>
  <c r="W59" i="17"/>
  <c r="W443" i="17"/>
  <c r="W144" i="17"/>
  <c r="W765" i="17"/>
  <c r="W627" i="17"/>
  <c r="W697" i="17"/>
  <c r="W295" i="17"/>
  <c r="W780" i="17"/>
  <c r="W960" i="17"/>
  <c r="W875" i="17"/>
  <c r="W362" i="17"/>
  <c r="W719" i="17"/>
  <c r="W424" i="17"/>
  <c r="W547" i="17"/>
  <c r="W876" i="17"/>
  <c r="W789" i="17"/>
  <c r="W91" i="17"/>
  <c r="W353" i="17"/>
  <c r="W625" i="17"/>
  <c r="W767" i="17"/>
  <c r="W418" i="17"/>
  <c r="W147" i="17"/>
  <c r="W863" i="17"/>
  <c r="W769" i="17"/>
  <c r="W163" i="17"/>
  <c r="W221" i="17"/>
  <c r="W884" i="17"/>
  <c r="W756" i="17"/>
  <c r="W379" i="17"/>
  <c r="W567" i="17"/>
  <c r="W412" i="17"/>
  <c r="W141" i="17"/>
  <c r="W347" i="17"/>
  <c r="W339" i="17"/>
  <c r="W197" i="17"/>
  <c r="W62" i="17"/>
  <c r="W348" i="17"/>
  <c r="W93" i="17"/>
  <c r="W485" i="17"/>
  <c r="W149" i="17"/>
  <c r="W175" i="17"/>
  <c r="W623" i="17"/>
  <c r="W950" i="17"/>
  <c r="W481" i="17"/>
  <c r="W155" i="17"/>
  <c r="W453" i="17"/>
  <c r="W524" i="17"/>
  <c r="W83" i="17"/>
  <c r="W148" i="17"/>
  <c r="W853" i="17"/>
  <c r="W575" i="17"/>
  <c r="W168" i="17"/>
  <c r="W420" i="17"/>
  <c r="W358" i="17"/>
  <c r="W496" i="17"/>
  <c r="W907" i="17"/>
  <c r="W410" i="17"/>
  <c r="W848" i="17"/>
  <c r="W10" i="17"/>
  <c r="W968" i="17"/>
  <c r="W940" i="17"/>
  <c r="W643" i="17"/>
  <c r="W445" i="17"/>
  <c r="W20" i="17"/>
  <c r="W511" i="17"/>
  <c r="W564" i="17"/>
  <c r="W777" i="17"/>
  <c r="W280" i="17"/>
  <c r="W816" i="17"/>
  <c r="W222" i="17"/>
  <c r="W42" i="17"/>
  <c r="W828" i="17"/>
  <c r="W14" i="17"/>
  <c r="W696" i="17"/>
  <c r="W663" i="17"/>
  <c r="W751" i="17"/>
  <c r="W60" i="17"/>
  <c r="W520" i="17"/>
  <c r="W366" i="17"/>
  <c r="W287" i="17"/>
  <c r="W744" i="17"/>
  <c r="W310" i="17"/>
  <c r="W309" i="17"/>
  <c r="W376" i="17"/>
  <c r="W132" i="17"/>
  <c r="W289" i="17"/>
  <c r="W772" i="17"/>
  <c r="W335" i="17"/>
  <c r="W715" i="17"/>
  <c r="W31" i="17"/>
  <c r="W714" i="17"/>
  <c r="W103" i="17"/>
  <c r="W898" i="17"/>
  <c r="W661" i="17"/>
  <c r="W628" i="17"/>
  <c r="W838" i="17"/>
  <c r="W425" i="17"/>
  <c r="W963" i="17"/>
  <c r="W167" i="17"/>
  <c r="W927" i="17"/>
  <c r="W843" i="17"/>
  <c r="W803" i="17"/>
  <c r="W76" i="17"/>
  <c r="W589" i="17"/>
  <c r="W700" i="17"/>
  <c r="W794" i="17"/>
  <c r="W173" i="17"/>
  <c r="W813" i="17"/>
  <c r="W294" i="17"/>
  <c r="W1005" i="17"/>
  <c r="W735" i="17"/>
  <c r="W581" i="17"/>
  <c r="W988" i="17"/>
  <c r="W528" i="17"/>
  <c r="W249" i="17"/>
  <c r="W321" i="17"/>
  <c r="W976" i="17"/>
  <c r="W504" i="17"/>
  <c r="W237" i="17"/>
  <c r="W889" i="17"/>
  <c r="W47" i="17"/>
  <c r="W464" i="17"/>
  <c r="W704" i="17"/>
  <c r="W192" i="17"/>
  <c r="W160" i="17"/>
  <c r="W997" i="17"/>
  <c r="W590" i="17"/>
  <c r="W503" i="17"/>
  <c r="W12" i="17"/>
  <c r="W396" i="17"/>
  <c r="W501" i="17"/>
  <c r="W338" i="17"/>
  <c r="W568" i="17"/>
  <c r="W441" i="17"/>
  <c r="W215" i="17"/>
  <c r="W198" i="17"/>
  <c r="W311" i="17"/>
  <c r="W601" i="17"/>
  <c r="W933" i="17"/>
  <c r="W355" i="17"/>
  <c r="W841" i="17"/>
  <c r="W336" i="17"/>
  <c r="W442" i="17"/>
  <c r="W419" i="17"/>
  <c r="W236" i="17"/>
  <c r="W922" i="17"/>
  <c r="W235" i="17"/>
  <c r="W227" i="17"/>
  <c r="W782" i="17"/>
  <c r="W125" i="17"/>
  <c r="W182" i="17"/>
  <c r="W766" i="17"/>
  <c r="W364" i="17"/>
  <c r="W56" i="17"/>
  <c r="W923" i="17"/>
  <c r="W472" i="17"/>
  <c r="W915" i="17"/>
  <c r="W43" i="17"/>
  <c r="W63" i="17"/>
  <c r="W319" i="17"/>
  <c r="W386" i="17"/>
  <c r="W551" i="17"/>
  <c r="W707" i="17"/>
  <c r="W712" i="17"/>
  <c r="W81" i="17"/>
  <c r="W488" i="17"/>
  <c r="W313" i="17"/>
  <c r="W333" i="17"/>
  <c r="W638" i="17"/>
  <c r="W478" i="17"/>
  <c r="W403" i="17"/>
  <c r="W73" i="17"/>
  <c r="W651" i="17"/>
  <c r="W682" i="17"/>
  <c r="W131" i="17"/>
  <c r="W126" i="17"/>
  <c r="W592" i="17"/>
  <c r="W980" i="17"/>
  <c r="W965" i="17"/>
  <c r="W389" i="17"/>
  <c r="W602" i="17"/>
  <c r="P2" i="17"/>
  <c r="B8" i="17"/>
  <c r="L3" i="17"/>
  <c r="B7" i="17"/>
  <c r="M3" i="17"/>
  <c r="B6" i="17"/>
  <c r="O3" i="17"/>
  <c r="B5" i="17"/>
  <c r="N3" i="17"/>
  <c r="A5"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4" i="18"/>
  <c r="A45" i="18"/>
  <c r="A46" i="18"/>
  <c r="A47" i="18"/>
  <c r="O2" i="17"/>
  <c r="N2" i="17"/>
  <c r="M2" i="17"/>
  <c r="L2" i="17"/>
  <c r="P1" i="17"/>
  <c r="O1" i="17"/>
  <c r="N1" i="17"/>
  <c r="M1" i="17"/>
  <c r="L1" i="17"/>
  <c r="AE9" i="17"/>
  <c r="D19" i="9"/>
  <c r="AE12" i="17"/>
  <c r="AE6" i="17"/>
  <c r="AE8" i="17"/>
  <c r="AE13" i="17"/>
  <c r="AE7" i="17"/>
  <c r="AE11" i="17"/>
  <c r="X2" i="17"/>
  <c r="X1" i="17"/>
  <c r="X6" i="17"/>
  <c r="AB6" i="17"/>
  <c r="AG6" i="17"/>
  <c r="X4" i="17"/>
  <c r="X7" i="17"/>
  <c r="AG7" i="17"/>
  <c r="X8" i="17"/>
  <c r="AG8" i="17"/>
  <c r="AB7" i="17"/>
  <c r="X9" i="17"/>
  <c r="AG9" i="17"/>
  <c r="AB8" i="17"/>
  <c r="X10" i="17"/>
  <c r="AG10" i="17"/>
  <c r="AB9" i="17"/>
  <c r="X11" i="17"/>
  <c r="AG11" i="17"/>
  <c r="AB10" i="17"/>
  <c r="X12" i="17"/>
  <c r="AG12" i="17"/>
  <c r="AB11" i="17"/>
  <c r="X13" i="17"/>
  <c r="AG13" i="17"/>
  <c r="AB12" i="17"/>
  <c r="X14" i="17"/>
  <c r="AG14" i="17"/>
  <c r="AB13" i="17"/>
  <c r="X15" i="17"/>
  <c r="AG15" i="17"/>
  <c r="AB14" i="17"/>
  <c r="X16" i="17"/>
  <c r="AB15" i="17"/>
  <c r="AB16" i="17"/>
  <c r="AG16" i="17"/>
  <c r="Y6" i="17" a="1"/>
  <c r="Y15" i="17"/>
  <c r="Y13" i="17"/>
  <c r="Y11" i="17"/>
  <c r="Y12" i="17"/>
  <c r="Y7" i="17"/>
  <c r="Y14" i="17"/>
  <c r="Y10" i="17"/>
  <c r="Y9" i="17"/>
  <c r="Y6" i="17"/>
  <c r="Y16" i="17"/>
  <c r="Y8" i="17"/>
  <c r="Z12" i="17"/>
  <c r="AH12" i="17"/>
  <c r="Z16" i="17"/>
  <c r="AH16" i="17"/>
  <c r="Z15" i="17"/>
  <c r="AH15" i="17"/>
  <c r="AE10" i="17"/>
  <c r="Z9" i="17"/>
  <c r="AH9" i="17"/>
  <c r="Z8" i="17"/>
  <c r="AH8" i="17"/>
  <c r="Z10" i="17"/>
  <c r="AH10" i="17"/>
  <c r="Z7" i="17"/>
  <c r="AH7" i="17"/>
  <c r="Z6" i="17"/>
  <c r="Z14" i="17"/>
  <c r="AH14" i="17"/>
  <c r="Z11" i="17"/>
  <c r="AH11" i="17"/>
  <c r="Z13" i="17"/>
  <c r="AH13" i="17"/>
  <c r="AA6" i="17"/>
  <c r="AH6" i="17"/>
  <c r="AA7" i="17"/>
  <c r="AI6" i="17"/>
  <c r="AA8" i="17"/>
  <c r="AI7" i="17"/>
  <c r="AA9" i="17"/>
  <c r="AI8" i="17"/>
  <c r="B38" i="14"/>
  <c r="B37" i="14"/>
  <c r="C36" i="14"/>
  <c r="B36" i="14"/>
  <c r="C35" i="14"/>
  <c r="B35" i="14"/>
  <c r="F34" i="14"/>
  <c r="E34" i="14"/>
  <c r="B34" i="14"/>
  <c r="C33" i="14"/>
  <c r="B33" i="14"/>
  <c r="C32" i="14"/>
  <c r="B32" i="14"/>
  <c r="F31" i="14"/>
  <c r="E31" i="14"/>
  <c r="D31" i="14"/>
  <c r="C31" i="14"/>
  <c r="B31" i="14"/>
  <c r="F30" i="14"/>
  <c r="E30" i="14"/>
  <c r="D30" i="14"/>
  <c r="C30" i="14"/>
  <c r="B30" i="14"/>
  <c r="F29" i="14"/>
  <c r="E29" i="14"/>
  <c r="D29" i="14"/>
  <c r="C29" i="14"/>
  <c r="B29" i="14"/>
  <c r="B19" i="14"/>
  <c r="B18" i="14"/>
  <c r="C17" i="14"/>
  <c r="B17" i="14"/>
  <c r="C16" i="14"/>
  <c r="B16" i="14"/>
  <c r="F15" i="14"/>
  <c r="E15" i="14"/>
  <c r="B15" i="14"/>
  <c r="C14" i="14"/>
  <c r="B14" i="14"/>
  <c r="C13" i="14"/>
  <c r="B13" i="14"/>
  <c r="F12" i="14"/>
  <c r="E12" i="14"/>
  <c r="D12" i="14"/>
  <c r="C12" i="14"/>
  <c r="B12" i="14"/>
  <c r="F11" i="14"/>
  <c r="E11" i="14"/>
  <c r="D11" i="14"/>
  <c r="C11" i="14"/>
  <c r="B11" i="14"/>
  <c r="F10" i="14"/>
  <c r="E10" i="14"/>
  <c r="D10" i="14"/>
  <c r="C10" i="14"/>
  <c r="B10" i="14"/>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E18" i="9"/>
  <c r="F18" i="9"/>
  <c r="G18" i="9"/>
  <c r="A11" i="8"/>
  <c r="K7" i="10"/>
  <c r="F9" i="9"/>
  <c r="N6" i="10"/>
  <c r="N4" i="10"/>
  <c r="L4" i="10"/>
  <c r="K4" i="10"/>
  <c r="K6" i="10"/>
  <c r="K5" i="10"/>
  <c r="D17" i="9"/>
  <c r="P7" i="10"/>
  <c r="BN2" i="5"/>
  <c r="BR2" i="5"/>
  <c r="BN3" i="5"/>
  <c r="BN6" i="5"/>
  <c r="BN7" i="5"/>
  <c r="BN8" i="5"/>
  <c r="BN9" i="5"/>
  <c r="BN10" i="5"/>
  <c r="BN11" i="5"/>
  <c r="BN12" i="5"/>
  <c r="BN13" i="5"/>
  <c r="E8" i="9"/>
  <c r="H2" i="5"/>
  <c r="C16" i="9"/>
  <c r="D16" i="9"/>
  <c r="G16" i="9"/>
  <c r="E9" i="9"/>
  <c r="L6" i="10"/>
  <c r="D15" i="9"/>
  <c r="E15" i="9"/>
  <c r="F15" i="9"/>
  <c r="G15" i="9"/>
  <c r="D10" i="9"/>
  <c r="F2" i="18"/>
  <c r="D14" i="9"/>
  <c r="I1" i="18"/>
  <c r="N5" i="10"/>
  <c r="L5" i="10"/>
  <c r="D5" i="17"/>
  <c r="AA10" i="17"/>
  <c r="AI9" i="17"/>
  <c r="P4" i="10"/>
  <c r="F2" i="10"/>
  <c r="I1" i="10"/>
  <c r="M7" i="10"/>
  <c r="G17" i="9"/>
  <c r="M4" i="10"/>
  <c r="F6" i="9"/>
  <c r="F3" i="5"/>
  <c r="G10" i="9"/>
  <c r="G14" i="9"/>
  <c r="E5" i="17"/>
  <c r="F5" i="17"/>
  <c r="G5" i="17"/>
  <c r="H5" i="17"/>
  <c r="N4" i="17"/>
  <c r="AA11" i="17"/>
  <c r="AI10" i="17"/>
  <c r="D13" i="9"/>
  <c r="D12" i="9"/>
  <c r="D11" i="9"/>
  <c r="D9" i="9"/>
  <c r="D8" i="9"/>
  <c r="D6" i="9"/>
  <c r="D6" i="17"/>
  <c r="H2" i="10"/>
  <c r="H2" i="18"/>
  <c r="C5" i="17"/>
  <c r="D7" i="17"/>
  <c r="I5" i="17"/>
  <c r="D8" i="17"/>
  <c r="AA12" i="17"/>
  <c r="AI11" i="17"/>
  <c r="G1" i="18"/>
  <c r="G2" i="18"/>
  <c r="M5" i="10"/>
  <c r="P5" i="10"/>
  <c r="M6" i="10"/>
  <c r="P6" i="10"/>
  <c r="D5" i="10"/>
  <c r="G2" i="10"/>
  <c r="B4" i="10"/>
  <c r="G1" i="10"/>
  <c r="G13" i="9"/>
  <c r="G6" i="9"/>
  <c r="G9" i="9"/>
  <c r="G12" i="9"/>
  <c r="G11" i="9"/>
  <c r="G7" i="9"/>
  <c r="G8" i="9"/>
  <c r="B4" i="18"/>
  <c r="O4" i="17"/>
  <c r="H5" i="10"/>
  <c r="E7" i="17"/>
  <c r="F7" i="17"/>
  <c r="G7" i="17"/>
  <c r="C7" i="17"/>
  <c r="E6" i="17"/>
  <c r="F6" i="17"/>
  <c r="G6" i="17"/>
  <c r="C6" i="17"/>
  <c r="M4" i="17"/>
  <c r="N5" i="17"/>
  <c r="E8" i="17"/>
  <c r="F8" i="17"/>
  <c r="G8" i="17"/>
  <c r="C8" i="17"/>
  <c r="L4" i="17"/>
  <c r="G4" i="18"/>
  <c r="I4" i="18"/>
  <c r="G4" i="10"/>
  <c r="I4" i="10"/>
  <c r="AA13" i="17"/>
  <c r="AI12" i="17"/>
  <c r="BS2" i="5"/>
  <c r="BQ2" i="5"/>
  <c r="B5" i="10"/>
  <c r="F5" i="10"/>
  <c r="C5" i="10"/>
  <c r="G5" i="10"/>
  <c r="H6" i="17"/>
  <c r="I7" i="17"/>
  <c r="H8" i="17"/>
  <c r="I6" i="17"/>
  <c r="I8" i="17"/>
  <c r="H7" i="17"/>
  <c r="L5" i="17"/>
  <c r="AA14" i="17"/>
  <c r="AI13" i="17"/>
  <c r="O5" i="17"/>
  <c r="B5" i="18"/>
  <c r="F5" i="18"/>
  <c r="M5" i="17"/>
  <c r="D5" i="18"/>
  <c r="H5" i="18"/>
  <c r="C5" i="18"/>
  <c r="G5" i="18"/>
  <c r="D6" i="10"/>
  <c r="I5" i="10"/>
  <c r="BQ3" i="5"/>
  <c r="BR3" i="5"/>
  <c r="M3" i="5"/>
  <c r="C6" i="10"/>
  <c r="G6" i="10"/>
  <c r="B6" i="10"/>
  <c r="AA15" i="17"/>
  <c r="AI14" i="17"/>
  <c r="B6" i="18"/>
  <c r="F6" i="18"/>
  <c r="I5" i="18"/>
  <c r="D6" i="18"/>
  <c r="H6" i="18"/>
  <c r="C6" i="18"/>
  <c r="G6" i="18"/>
  <c r="D7" i="10"/>
  <c r="BS3" i="5"/>
  <c r="BQ4" i="5"/>
  <c r="BR4" i="5"/>
  <c r="F4" i="5"/>
  <c r="F6" i="10"/>
  <c r="B7" i="10"/>
  <c r="C7" i="10"/>
  <c r="G7" i="10"/>
  <c r="AA16" i="17"/>
  <c r="AI16" i="17"/>
  <c r="AI15" i="17"/>
  <c r="D7" i="18"/>
  <c r="B7" i="18"/>
  <c r="F7" i="18"/>
  <c r="C7" i="18"/>
  <c r="G7" i="18"/>
  <c r="I6" i="18"/>
  <c r="D8" i="10"/>
  <c r="BR5" i="5"/>
  <c r="BS4" i="5"/>
  <c r="BQ5" i="5"/>
  <c r="H6" i="10"/>
  <c r="I6" i="10"/>
  <c r="F7" i="10"/>
  <c r="C8" i="10"/>
  <c r="G8" i="10"/>
  <c r="H7" i="10"/>
  <c r="B8" i="10"/>
  <c r="B8" i="18"/>
  <c r="F8" i="18"/>
  <c r="D8" i="18"/>
  <c r="C8" i="18"/>
  <c r="D9" i="10"/>
  <c r="BR6" i="5"/>
  <c r="BQ6" i="5"/>
  <c r="BS5" i="5"/>
  <c r="F8" i="10"/>
  <c r="C9" i="10"/>
  <c r="G9" i="10"/>
  <c r="I7" i="10"/>
  <c r="B9" i="10"/>
  <c r="H8" i="10"/>
  <c r="C9" i="18"/>
  <c r="G9" i="18"/>
  <c r="D9" i="18"/>
  <c r="G8" i="18"/>
  <c r="B9" i="18"/>
  <c r="F9" i="18"/>
  <c r="D10" i="10"/>
  <c r="BR7" i="5"/>
  <c r="BS6" i="5"/>
  <c r="BQ7" i="5"/>
  <c r="F9" i="10"/>
  <c r="I8" i="10"/>
  <c r="B10" i="10"/>
  <c r="C10" i="10"/>
  <c r="G10" i="10"/>
  <c r="H9" i="10"/>
  <c r="D10" i="18"/>
  <c r="B10" i="18"/>
  <c r="C10" i="18"/>
  <c r="G10" i="18"/>
  <c r="D11" i="10"/>
  <c r="BR8" i="5"/>
  <c r="BQ8" i="5"/>
  <c r="BS7" i="5"/>
  <c r="F10" i="10"/>
  <c r="B11" i="10"/>
  <c r="H10" i="10"/>
  <c r="C11" i="10"/>
  <c r="G11" i="10"/>
  <c r="B11" i="18"/>
  <c r="F11" i="18"/>
  <c r="F10" i="18"/>
  <c r="D11" i="18"/>
  <c r="C11" i="18"/>
  <c r="G11" i="18"/>
  <c r="D12" i="10"/>
  <c r="BR9" i="5"/>
  <c r="BQ9" i="5"/>
  <c r="BS8" i="5"/>
  <c r="F11" i="10"/>
  <c r="H11" i="10"/>
  <c r="B12" i="10"/>
  <c r="C12" i="10"/>
  <c r="G12" i="10"/>
  <c r="D12" i="18"/>
  <c r="C12" i="18"/>
  <c r="B12" i="18"/>
  <c r="F12" i="18"/>
  <c r="D13" i="10"/>
  <c r="BR10" i="5"/>
  <c r="BS9" i="5"/>
  <c r="BQ10" i="5"/>
  <c r="F12" i="10"/>
  <c r="H12" i="10"/>
  <c r="C13" i="10"/>
  <c r="G13" i="10"/>
  <c r="B13" i="10"/>
  <c r="F13" i="10"/>
  <c r="D13" i="18"/>
  <c r="B13" i="18"/>
  <c r="F13" i="18"/>
  <c r="C13" i="18"/>
  <c r="G13" i="18"/>
  <c r="G12" i="18"/>
  <c r="D14" i="10"/>
  <c r="BQ11" i="5"/>
  <c r="BS10" i="5"/>
  <c r="BR11" i="5"/>
  <c r="B14" i="10"/>
  <c r="H13" i="10"/>
  <c r="C14" i="10"/>
  <c r="G14" i="10"/>
  <c r="C14" i="18"/>
  <c r="G14" i="18"/>
  <c r="D14" i="18"/>
  <c r="B14" i="18"/>
  <c r="F14" i="18"/>
  <c r="D15" i="10"/>
  <c r="BR12" i="5"/>
  <c r="BS11" i="5"/>
  <c r="BQ12" i="5"/>
  <c r="F14" i="10"/>
  <c r="H14" i="10"/>
  <c r="C15" i="10"/>
  <c r="G15" i="10"/>
  <c r="B15" i="10"/>
  <c r="D15" i="18"/>
  <c r="B15" i="18"/>
  <c r="F15" i="18"/>
  <c r="C15" i="18"/>
  <c r="D16" i="10"/>
  <c r="BQ13" i="5"/>
  <c r="BS12" i="5"/>
  <c r="BR13" i="5"/>
  <c r="F15" i="10"/>
  <c r="C16" i="10"/>
  <c r="G16" i="10"/>
  <c r="B16" i="10"/>
  <c r="F16" i="10"/>
  <c r="C16" i="18"/>
  <c r="G16" i="18"/>
  <c r="G15" i="18"/>
  <c r="D16" i="18"/>
  <c r="B16" i="18"/>
  <c r="F16" i="18"/>
  <c r="D17" i="10"/>
  <c r="BR14" i="5"/>
  <c r="BS13" i="5"/>
  <c r="BQ14" i="5"/>
  <c r="H15" i="10"/>
  <c r="B17" i="10"/>
  <c r="F17" i="10"/>
  <c r="C17" i="10"/>
  <c r="G17" i="10"/>
  <c r="H16" i="10"/>
  <c r="D17" i="18"/>
  <c r="B17" i="18"/>
  <c r="F17" i="18"/>
  <c r="C17" i="18"/>
  <c r="G17" i="18"/>
  <c r="D18" i="10"/>
  <c r="BQ15" i="5"/>
  <c r="BS14" i="5"/>
  <c r="BR15" i="5"/>
  <c r="C18" i="10"/>
  <c r="G18" i="10"/>
  <c r="B18" i="10"/>
  <c r="H17" i="10"/>
  <c r="D18" i="18"/>
  <c r="B18" i="18"/>
  <c r="C18" i="18"/>
  <c r="D19" i="10"/>
  <c r="BR16" i="5"/>
  <c r="BS15" i="5"/>
  <c r="BQ16" i="5"/>
  <c r="F18" i="10"/>
  <c r="C19" i="10"/>
  <c r="G19" i="10"/>
  <c r="H18" i="10"/>
  <c r="B19" i="10"/>
  <c r="F19" i="10"/>
  <c r="C19" i="18"/>
  <c r="G19" i="18"/>
  <c r="B19" i="18"/>
  <c r="F19" i="18"/>
  <c r="F18" i="18"/>
  <c r="D19" i="18"/>
  <c r="G18" i="18"/>
  <c r="D20" i="10"/>
  <c r="BQ17" i="5"/>
  <c r="BS16" i="5"/>
  <c r="BR17" i="5"/>
  <c r="C20" i="10"/>
  <c r="G20" i="10"/>
  <c r="B20" i="10"/>
  <c r="F20" i="10"/>
  <c r="H19" i="10"/>
  <c r="C20" i="18"/>
  <c r="G20" i="18"/>
  <c r="D20" i="18"/>
  <c r="B20" i="18"/>
  <c r="D21" i="10"/>
  <c r="BR18" i="5"/>
  <c r="BQ18" i="5"/>
  <c r="BS17" i="5"/>
  <c r="C21" i="10"/>
  <c r="G21" i="10"/>
  <c r="H20" i="10"/>
  <c r="B21" i="10"/>
  <c r="F21" i="10"/>
  <c r="B21" i="18"/>
  <c r="F21" i="18"/>
  <c r="D21" i="18"/>
  <c r="F20" i="18"/>
  <c r="C21" i="18"/>
  <c r="D22" i="10"/>
  <c r="BS18" i="5"/>
  <c r="BQ19" i="5"/>
  <c r="BR19" i="5"/>
  <c r="H21" i="10"/>
  <c r="C22" i="10"/>
  <c r="G22" i="10"/>
  <c r="B22" i="10"/>
  <c r="F22" i="10"/>
  <c r="D22" i="18"/>
  <c r="B22" i="18"/>
  <c r="F22" i="18"/>
  <c r="G21" i="18"/>
  <c r="C22" i="18"/>
  <c r="D23" i="10"/>
  <c r="BR20" i="5"/>
  <c r="BS19" i="5"/>
  <c r="BQ20" i="5"/>
  <c r="B23" i="10"/>
  <c r="C23" i="10"/>
  <c r="G23" i="10"/>
  <c r="H22" i="10"/>
  <c r="D23" i="18"/>
  <c r="C23" i="18"/>
  <c r="B23" i="18"/>
  <c r="F23" i="18"/>
  <c r="G22" i="18"/>
  <c r="D24" i="10"/>
  <c r="BS20" i="5"/>
  <c r="BQ21" i="5"/>
  <c r="BR21" i="5"/>
  <c r="F23" i="10"/>
  <c r="B24" i="10"/>
  <c r="H23" i="10"/>
  <c r="C24" i="10"/>
  <c r="G24" i="10"/>
  <c r="D24" i="18"/>
  <c r="G23" i="18"/>
  <c r="C24" i="18"/>
  <c r="B24" i="18"/>
  <c r="F24" i="18"/>
  <c r="D25" i="10"/>
  <c r="BR22" i="5"/>
  <c r="BS21" i="5"/>
  <c r="BQ22" i="5"/>
  <c r="F24" i="10"/>
  <c r="H24" i="10"/>
  <c r="C25" i="10"/>
  <c r="G25" i="10"/>
  <c r="B25" i="10"/>
  <c r="F25" i="10"/>
  <c r="D25" i="18"/>
  <c r="G24" i="18"/>
  <c r="C25" i="18"/>
  <c r="B25" i="18"/>
  <c r="F25" i="18"/>
  <c r="D26" i="10"/>
  <c r="BS22" i="5"/>
  <c r="BQ23" i="5"/>
  <c r="BR23" i="5"/>
  <c r="C26" i="10"/>
  <c r="G26" i="10"/>
  <c r="B26" i="10"/>
  <c r="F26" i="10"/>
  <c r="H25" i="10"/>
  <c r="D26" i="18"/>
  <c r="C26" i="18"/>
  <c r="G26" i="18"/>
  <c r="G25" i="18"/>
  <c r="B26" i="18"/>
  <c r="F26" i="18"/>
  <c r="D27" i="10"/>
  <c r="BR24" i="5"/>
  <c r="BQ24" i="5"/>
  <c r="BS23" i="5"/>
  <c r="C27" i="10"/>
  <c r="G27" i="10"/>
  <c r="H26" i="10"/>
  <c r="B27" i="10"/>
  <c r="F27" i="10"/>
  <c r="D27" i="18"/>
  <c r="C27" i="18"/>
  <c r="G27" i="18"/>
  <c r="B27" i="18"/>
  <c r="F27" i="18"/>
  <c r="D28" i="10"/>
  <c r="BS24" i="5"/>
  <c r="BQ25" i="5"/>
  <c r="BR25" i="5"/>
  <c r="C28" i="10"/>
  <c r="G28" i="10"/>
  <c r="H27" i="10"/>
  <c r="B28" i="10"/>
  <c r="F28" i="10"/>
  <c r="D28" i="18"/>
  <c r="B28" i="18"/>
  <c r="F28" i="18"/>
  <c r="C28" i="18"/>
  <c r="D29" i="10"/>
  <c r="BR26" i="5"/>
  <c r="BS25" i="5"/>
  <c r="BQ26" i="5"/>
  <c r="B29" i="10"/>
  <c r="C29" i="10"/>
  <c r="G29" i="10"/>
  <c r="H28" i="10"/>
  <c r="D29" i="18"/>
  <c r="B29" i="18"/>
  <c r="F29" i="18"/>
  <c r="G28" i="18"/>
  <c r="C29" i="18"/>
  <c r="G29" i="18"/>
  <c r="D30" i="10"/>
  <c r="BS26" i="5"/>
  <c r="BQ27" i="5"/>
  <c r="BR27" i="5"/>
  <c r="F29" i="10"/>
  <c r="C30" i="10"/>
  <c r="G30" i="10"/>
  <c r="H29" i="10"/>
  <c r="B30" i="10"/>
  <c r="D30" i="18"/>
  <c r="B30" i="18"/>
  <c r="F30" i="18"/>
  <c r="C30" i="18"/>
  <c r="D31" i="10"/>
  <c r="BR28" i="5"/>
  <c r="BS27" i="5"/>
  <c r="BQ28" i="5"/>
  <c r="F30" i="10"/>
  <c r="B31" i="10"/>
  <c r="H30" i="10"/>
  <c r="C31" i="10"/>
  <c r="G31" i="10"/>
  <c r="C31" i="18"/>
  <c r="G31" i="18"/>
  <c r="D31" i="18"/>
  <c r="G30" i="18"/>
  <c r="B31" i="18"/>
  <c r="D32" i="10"/>
  <c r="BR29" i="5"/>
  <c r="BS28" i="5"/>
  <c r="BQ29" i="5"/>
  <c r="F31" i="10"/>
  <c r="C32" i="10"/>
  <c r="G32" i="10"/>
  <c r="H31" i="10"/>
  <c r="B32" i="10"/>
  <c r="B32" i="18"/>
  <c r="F32" i="18"/>
  <c r="D32" i="18"/>
  <c r="C32" i="18"/>
  <c r="F31" i="18"/>
  <c r="D33" i="10"/>
  <c r="BQ30" i="5"/>
  <c r="BS29" i="5"/>
  <c r="BR30" i="5"/>
  <c r="F32" i="10"/>
  <c r="C33" i="10"/>
  <c r="G33" i="10"/>
  <c r="H32" i="10"/>
  <c r="B33" i="10"/>
  <c r="D33" i="18"/>
  <c r="B33" i="18"/>
  <c r="F33" i="18"/>
  <c r="G32" i="18"/>
  <c r="C33" i="18"/>
  <c r="D34" i="10"/>
  <c r="BR31" i="5"/>
  <c r="BS30" i="5"/>
  <c r="BQ31" i="5"/>
  <c r="F33" i="10"/>
  <c r="H33" i="10"/>
  <c r="B34" i="10"/>
  <c r="C34" i="10"/>
  <c r="G34" i="10"/>
  <c r="D34" i="18"/>
  <c r="B34" i="18"/>
  <c r="F34" i="18"/>
  <c r="C34" i="18"/>
  <c r="G33" i="18"/>
  <c r="D35" i="10"/>
  <c r="BQ32" i="5"/>
  <c r="BS31" i="5"/>
  <c r="BR32" i="5"/>
  <c r="F34" i="10"/>
  <c r="H34" i="10"/>
  <c r="B35" i="10"/>
  <c r="F35" i="10"/>
  <c r="C35" i="10"/>
  <c r="G35" i="10"/>
  <c r="C35" i="18"/>
  <c r="G35" i="18"/>
  <c r="G34" i="18"/>
  <c r="B35" i="18"/>
  <c r="D35" i="18"/>
  <c r="D36" i="10"/>
  <c r="BR33" i="5"/>
  <c r="BS32" i="5"/>
  <c r="BQ33" i="5"/>
  <c r="H35" i="10"/>
  <c r="B36" i="10"/>
  <c r="C36" i="10"/>
  <c r="G36" i="10"/>
  <c r="B36" i="18"/>
  <c r="F36" i="18"/>
  <c r="D36" i="18"/>
  <c r="F35" i="18"/>
  <c r="C36" i="18"/>
  <c r="D37" i="10"/>
  <c r="BR34" i="5"/>
  <c r="BQ34" i="5"/>
  <c r="BS33" i="5"/>
  <c r="F36" i="10"/>
  <c r="H36" i="10"/>
  <c r="C37" i="10"/>
  <c r="G37" i="10"/>
  <c r="B37" i="10"/>
  <c r="B11" i="8"/>
  <c r="D37" i="18"/>
  <c r="C37" i="18"/>
  <c r="G37" i="18"/>
  <c r="B37" i="18"/>
  <c r="F37" i="18"/>
  <c r="G36" i="18"/>
  <c r="D38" i="10"/>
  <c r="BR35" i="5"/>
  <c r="BS34" i="5"/>
  <c r="BQ35" i="5"/>
  <c r="F37" i="10"/>
  <c r="C38" i="10"/>
  <c r="G38" i="10"/>
  <c r="B38" i="10"/>
  <c r="F38" i="10"/>
  <c r="H37" i="10"/>
  <c r="D38" i="18"/>
  <c r="C38" i="18"/>
  <c r="B38" i="18"/>
  <c r="F38" i="18"/>
  <c r="D39" i="10"/>
  <c r="BR36" i="5"/>
  <c r="BS35" i="5"/>
  <c r="BQ36" i="5"/>
  <c r="B39" i="10"/>
  <c r="H38" i="10"/>
  <c r="C39" i="10"/>
  <c r="G39" i="10"/>
  <c r="D39" i="18"/>
  <c r="B39" i="18"/>
  <c r="F39" i="18"/>
  <c r="C39" i="18"/>
  <c r="G38" i="18"/>
  <c r="D40" i="10"/>
  <c r="BR37" i="5"/>
  <c r="BQ37" i="5"/>
  <c r="BS36" i="5"/>
  <c r="F39" i="10"/>
  <c r="B40" i="10"/>
  <c r="C40" i="10"/>
  <c r="G40" i="10"/>
  <c r="H39" i="10"/>
  <c r="D40" i="18"/>
  <c r="C40" i="18"/>
  <c r="B40" i="18"/>
  <c r="F40" i="18"/>
  <c r="G39" i="18"/>
  <c r="D41" i="10"/>
  <c r="BR38" i="5"/>
  <c r="BS37" i="5"/>
  <c r="BQ38" i="5"/>
  <c r="F40" i="10"/>
  <c r="H40" i="10"/>
  <c r="C41" i="10"/>
  <c r="G41" i="10"/>
  <c r="B41" i="10"/>
  <c r="C41" i="18"/>
  <c r="G41" i="18"/>
  <c r="G40" i="18"/>
  <c r="D41" i="18"/>
  <c r="B41" i="18"/>
  <c r="F41" i="18"/>
  <c r="D42" i="10"/>
  <c r="BR39" i="5"/>
  <c r="BS38" i="5"/>
  <c r="BQ39" i="5"/>
  <c r="F41" i="10"/>
  <c r="H41" i="10"/>
  <c r="B42" i="10"/>
  <c r="C42" i="10"/>
  <c r="G42" i="10"/>
  <c r="D42" i="18"/>
  <c r="B42" i="18"/>
  <c r="F42" i="18"/>
  <c r="C42" i="18"/>
  <c r="D43" i="10"/>
  <c r="BR40" i="5"/>
  <c r="BQ40" i="5"/>
  <c r="BS39" i="5"/>
  <c r="F42" i="10"/>
  <c r="H42" i="10"/>
  <c r="C43" i="10"/>
  <c r="G43" i="10"/>
  <c r="B43" i="10"/>
  <c r="B43" i="18"/>
  <c r="F43" i="18"/>
  <c r="C43" i="18"/>
  <c r="G43" i="18"/>
  <c r="G42" i="18"/>
  <c r="D43" i="18"/>
  <c r="D44" i="10"/>
  <c r="BR41" i="5"/>
  <c r="BQ41" i="5"/>
  <c r="BS40" i="5"/>
  <c r="F43" i="10"/>
  <c r="B44" i="10"/>
  <c r="H43" i="10"/>
  <c r="C44" i="10"/>
  <c r="G44" i="10"/>
  <c r="C44" i="18"/>
  <c r="G44" i="18"/>
  <c r="D44" i="18"/>
  <c r="B44" i="18"/>
  <c r="D45" i="10"/>
  <c r="BS41" i="5"/>
  <c r="BQ42" i="5"/>
  <c r="BR42" i="5"/>
  <c r="F44" i="10"/>
  <c r="C45" i="10"/>
  <c r="G45" i="10"/>
  <c r="H44" i="10"/>
  <c r="B45" i="10"/>
  <c r="D45" i="18"/>
  <c r="B45" i="18"/>
  <c r="F45" i="18"/>
  <c r="F44" i="18"/>
  <c r="C45" i="18"/>
  <c r="D46" i="10"/>
  <c r="BR43" i="5"/>
  <c r="BS42" i="5"/>
  <c r="BQ43" i="5"/>
  <c r="F45" i="10"/>
  <c r="C46" i="10"/>
  <c r="G46" i="10"/>
  <c r="H45" i="10"/>
  <c r="B46" i="10"/>
  <c r="F46" i="10"/>
  <c r="C46" i="18"/>
  <c r="G46" i="18"/>
  <c r="G45" i="18"/>
  <c r="D46" i="18"/>
  <c r="B46" i="18"/>
  <c r="F46" i="18"/>
  <c r="D47" i="10"/>
  <c r="BQ44" i="5"/>
  <c r="BS43" i="5"/>
  <c r="BR44" i="5"/>
  <c r="B47" i="10"/>
  <c r="F47" i="10"/>
  <c r="C47" i="10"/>
  <c r="G47" i="10"/>
  <c r="H46" i="10"/>
  <c r="D47" i="18"/>
  <c r="C47" i="18"/>
  <c r="G47" i="18"/>
  <c r="B47" i="18"/>
  <c r="F47" i="18"/>
  <c r="BR45" i="5"/>
  <c r="BS44" i="5"/>
  <c r="BQ45" i="5"/>
  <c r="H47" i="10"/>
  <c r="BQ46" i="5"/>
  <c r="BS45" i="5"/>
  <c r="BR46" i="5"/>
  <c r="BR47" i="5"/>
  <c r="BQ47" i="5"/>
  <c r="BS46" i="5"/>
  <c r="BQ48" i="5"/>
  <c r="BS47" i="5"/>
  <c r="BR48" i="5"/>
  <c r="BR49" i="5"/>
  <c r="BQ49" i="5"/>
  <c r="BS48" i="5"/>
  <c r="BR50" i="5"/>
  <c r="BQ50" i="5"/>
  <c r="BS49" i="5"/>
  <c r="BS50" i="5"/>
  <c r="W6" i="5"/>
  <c r="W5" i="5"/>
  <c r="W4" i="5"/>
  <c r="A3" i="5"/>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G261" i="3"/>
  <c r="H261" i="3"/>
  <c r="G260" i="3"/>
  <c r="H260" i="3"/>
  <c r="G259" i="3"/>
  <c r="H259" i="3"/>
  <c r="G258" i="3"/>
  <c r="H258" i="3"/>
  <c r="G257" i="3"/>
  <c r="H257" i="3"/>
  <c r="G256" i="3"/>
  <c r="H256" i="3"/>
  <c r="G255" i="3"/>
  <c r="H255" i="3"/>
  <c r="G254" i="3"/>
  <c r="H254" i="3"/>
  <c r="G253" i="3"/>
  <c r="H253" i="3"/>
  <c r="G252" i="3"/>
  <c r="H252" i="3"/>
  <c r="G251" i="3"/>
  <c r="H251" i="3"/>
  <c r="G250" i="3"/>
  <c r="H250" i="3"/>
  <c r="G249" i="3"/>
  <c r="H249" i="3"/>
  <c r="G248" i="3"/>
  <c r="H248" i="3"/>
  <c r="G247" i="3"/>
  <c r="H247" i="3"/>
  <c r="G246" i="3"/>
  <c r="H246" i="3"/>
  <c r="G245" i="3"/>
  <c r="H245" i="3"/>
  <c r="G244" i="3"/>
  <c r="H244" i="3"/>
  <c r="G243" i="3"/>
  <c r="H243" i="3"/>
  <c r="G242" i="3"/>
  <c r="H242" i="3"/>
  <c r="G241" i="3"/>
  <c r="H241" i="3"/>
  <c r="G240" i="3"/>
  <c r="H240" i="3"/>
  <c r="G239" i="3"/>
  <c r="H239" i="3"/>
  <c r="G238" i="3"/>
  <c r="H238" i="3"/>
  <c r="G237" i="3"/>
  <c r="H237" i="3"/>
  <c r="G236" i="3"/>
  <c r="H236" i="3"/>
  <c r="G235" i="3"/>
  <c r="H235" i="3"/>
  <c r="G234" i="3"/>
  <c r="H234" i="3"/>
  <c r="G233" i="3"/>
  <c r="H233" i="3"/>
  <c r="G232" i="3"/>
  <c r="H232" i="3"/>
  <c r="G231" i="3"/>
  <c r="H231" i="3"/>
  <c r="G230" i="3"/>
  <c r="H230" i="3"/>
  <c r="G229" i="3"/>
  <c r="H229" i="3"/>
  <c r="G228" i="3"/>
  <c r="H228" i="3"/>
  <c r="G227" i="3"/>
  <c r="H227" i="3"/>
  <c r="G226" i="3"/>
  <c r="H226" i="3"/>
  <c r="G225" i="3"/>
  <c r="H225" i="3"/>
  <c r="G224" i="3"/>
  <c r="H224" i="3"/>
  <c r="G223" i="3"/>
  <c r="H223" i="3"/>
  <c r="G222" i="3"/>
  <c r="H222" i="3"/>
  <c r="G221" i="3"/>
  <c r="H221" i="3"/>
  <c r="G220" i="3"/>
  <c r="H220" i="3"/>
  <c r="G219" i="3"/>
  <c r="H219" i="3"/>
  <c r="G218" i="3"/>
  <c r="H218" i="3"/>
  <c r="G217" i="3"/>
  <c r="H217" i="3"/>
  <c r="G216" i="3"/>
  <c r="H216" i="3"/>
  <c r="G215" i="3"/>
  <c r="H215" i="3"/>
  <c r="G214" i="3"/>
  <c r="H214" i="3"/>
  <c r="G213" i="3"/>
  <c r="H213" i="3"/>
  <c r="G212" i="3"/>
  <c r="H212" i="3"/>
  <c r="G211" i="3"/>
  <c r="H211" i="3"/>
  <c r="G210" i="3"/>
  <c r="H210" i="3"/>
  <c r="G209" i="3"/>
  <c r="H209" i="3"/>
  <c r="G208" i="3"/>
  <c r="H208" i="3"/>
  <c r="G207" i="3"/>
  <c r="H207" i="3"/>
  <c r="G206" i="3"/>
  <c r="H206" i="3"/>
  <c r="G205" i="3"/>
  <c r="H205" i="3"/>
  <c r="G204" i="3"/>
  <c r="H204" i="3"/>
  <c r="G203" i="3"/>
  <c r="H203" i="3"/>
  <c r="G202" i="3"/>
  <c r="H202" i="3"/>
  <c r="G201" i="3"/>
  <c r="H201" i="3"/>
  <c r="G200" i="3"/>
  <c r="H200" i="3"/>
  <c r="G199" i="3"/>
  <c r="H199" i="3"/>
  <c r="G198" i="3"/>
  <c r="H198" i="3"/>
  <c r="G197" i="3"/>
  <c r="H197" i="3"/>
  <c r="G196" i="3"/>
  <c r="H196" i="3"/>
  <c r="G195" i="3"/>
  <c r="H195" i="3"/>
  <c r="G194" i="3"/>
  <c r="H194" i="3"/>
  <c r="G193" i="3"/>
  <c r="H193" i="3"/>
  <c r="G192" i="3"/>
  <c r="H192" i="3"/>
  <c r="G191" i="3"/>
  <c r="H191" i="3"/>
  <c r="G190" i="3"/>
  <c r="H190" i="3"/>
  <c r="G189" i="3"/>
  <c r="H189" i="3"/>
  <c r="G188" i="3"/>
  <c r="H188" i="3"/>
  <c r="G187" i="3"/>
  <c r="H187" i="3"/>
  <c r="G186" i="3"/>
  <c r="H186" i="3"/>
  <c r="G185" i="3"/>
  <c r="H185" i="3"/>
  <c r="G184" i="3"/>
  <c r="H184" i="3"/>
  <c r="G183" i="3"/>
  <c r="H183" i="3"/>
  <c r="G182" i="3"/>
  <c r="H182" i="3"/>
  <c r="G181" i="3"/>
  <c r="H181" i="3"/>
  <c r="G180" i="3"/>
  <c r="H180" i="3"/>
  <c r="G179" i="3"/>
  <c r="H179" i="3"/>
  <c r="G178" i="3"/>
  <c r="H178" i="3"/>
  <c r="G177" i="3"/>
  <c r="H177" i="3"/>
  <c r="G176" i="3"/>
  <c r="H176" i="3"/>
  <c r="G175" i="3"/>
  <c r="H175" i="3"/>
  <c r="G174" i="3"/>
  <c r="H174" i="3"/>
  <c r="G173" i="3"/>
  <c r="H173" i="3"/>
  <c r="G172" i="3"/>
  <c r="H172" i="3"/>
  <c r="G171" i="3"/>
  <c r="H171" i="3"/>
  <c r="G170" i="3"/>
  <c r="H170" i="3"/>
  <c r="G169" i="3"/>
  <c r="H169" i="3"/>
  <c r="G168" i="3"/>
  <c r="H168" i="3"/>
  <c r="G167" i="3"/>
  <c r="H167" i="3"/>
  <c r="G166" i="3"/>
  <c r="H166" i="3"/>
  <c r="G165" i="3"/>
  <c r="H165" i="3"/>
  <c r="G164" i="3"/>
  <c r="H164" i="3"/>
  <c r="G163" i="3"/>
  <c r="H163" i="3"/>
  <c r="G162" i="3"/>
  <c r="H162" i="3"/>
  <c r="G161" i="3"/>
  <c r="H161" i="3"/>
  <c r="G160" i="3"/>
  <c r="H160" i="3"/>
  <c r="G159" i="3"/>
  <c r="H159" i="3"/>
  <c r="G158" i="3"/>
  <c r="H158" i="3"/>
  <c r="G157" i="3"/>
  <c r="H157" i="3"/>
  <c r="G156" i="3"/>
  <c r="H156" i="3"/>
  <c r="G155" i="3"/>
  <c r="H155" i="3"/>
  <c r="G154" i="3"/>
  <c r="H154" i="3"/>
  <c r="G153" i="3"/>
  <c r="H153" i="3"/>
  <c r="G152" i="3"/>
  <c r="H152" i="3"/>
  <c r="G151" i="3"/>
  <c r="H151" i="3"/>
  <c r="G150" i="3"/>
  <c r="H150" i="3"/>
  <c r="G149" i="3"/>
  <c r="H149" i="3"/>
  <c r="G148" i="3"/>
  <c r="H148" i="3"/>
  <c r="G147" i="3"/>
  <c r="H147" i="3"/>
  <c r="G146" i="3"/>
  <c r="H146" i="3"/>
  <c r="G145" i="3"/>
  <c r="H145" i="3"/>
  <c r="G144" i="3"/>
  <c r="H144" i="3"/>
  <c r="G143" i="3"/>
  <c r="H143" i="3"/>
  <c r="G142" i="3"/>
  <c r="H142" i="3"/>
  <c r="G141" i="3"/>
  <c r="H141" i="3"/>
  <c r="G140" i="3"/>
  <c r="H140" i="3"/>
  <c r="G139" i="3"/>
  <c r="H139" i="3"/>
  <c r="G138" i="3"/>
  <c r="H138" i="3"/>
  <c r="G137" i="3"/>
  <c r="H137" i="3"/>
  <c r="G136" i="3"/>
  <c r="H136" i="3"/>
  <c r="G135" i="3"/>
  <c r="H135" i="3"/>
  <c r="G134" i="3"/>
  <c r="H134" i="3"/>
  <c r="G133" i="3"/>
  <c r="H133" i="3"/>
  <c r="G132" i="3"/>
  <c r="H132" i="3"/>
  <c r="G131" i="3"/>
  <c r="H131" i="3"/>
  <c r="G130" i="3"/>
  <c r="H130" i="3"/>
  <c r="G129" i="3"/>
  <c r="H129" i="3"/>
  <c r="G128" i="3"/>
  <c r="H128" i="3"/>
  <c r="G127" i="3"/>
  <c r="H127" i="3"/>
  <c r="G126" i="3"/>
  <c r="H126" i="3"/>
  <c r="G125" i="3"/>
  <c r="H125" i="3"/>
  <c r="G124" i="3"/>
  <c r="H124" i="3"/>
  <c r="G123" i="3"/>
  <c r="H123" i="3"/>
  <c r="G122" i="3"/>
  <c r="H122" i="3"/>
  <c r="G121" i="3"/>
  <c r="H121" i="3"/>
  <c r="G120" i="3"/>
  <c r="H120" i="3"/>
  <c r="G119" i="3"/>
  <c r="H119" i="3"/>
  <c r="G118" i="3"/>
  <c r="H118" i="3"/>
  <c r="G117" i="3"/>
  <c r="H117" i="3"/>
  <c r="G116" i="3"/>
  <c r="H116" i="3"/>
  <c r="G115" i="3"/>
  <c r="H115" i="3"/>
  <c r="G114" i="3"/>
  <c r="H114" i="3"/>
  <c r="G113" i="3"/>
  <c r="H113" i="3"/>
  <c r="G112" i="3"/>
  <c r="H112" i="3"/>
  <c r="G111" i="3"/>
  <c r="H111" i="3"/>
  <c r="G110" i="3"/>
  <c r="H110" i="3"/>
  <c r="G109" i="3"/>
  <c r="H109" i="3"/>
  <c r="G108" i="3"/>
  <c r="H108" i="3"/>
  <c r="G107" i="3"/>
  <c r="H107" i="3"/>
  <c r="G106" i="3"/>
  <c r="H106" i="3"/>
  <c r="G105" i="3"/>
  <c r="H105" i="3"/>
  <c r="G104" i="3"/>
  <c r="H104" i="3"/>
  <c r="G103" i="3"/>
  <c r="H103" i="3"/>
  <c r="G102" i="3"/>
  <c r="H102" i="3"/>
  <c r="G101" i="3"/>
  <c r="H101" i="3"/>
  <c r="G100" i="3"/>
  <c r="H100" i="3"/>
  <c r="G99" i="3"/>
  <c r="H99" i="3"/>
  <c r="G98" i="3"/>
  <c r="H98" i="3"/>
  <c r="G97" i="3"/>
  <c r="H97" i="3"/>
  <c r="G96" i="3"/>
  <c r="H96" i="3"/>
  <c r="G95" i="3"/>
  <c r="H95" i="3"/>
  <c r="G94" i="3"/>
  <c r="H94" i="3"/>
  <c r="G93" i="3"/>
  <c r="H93" i="3"/>
  <c r="G92" i="3"/>
  <c r="H92" i="3"/>
  <c r="G91" i="3"/>
  <c r="H91" i="3"/>
  <c r="G90" i="3"/>
  <c r="H90" i="3"/>
  <c r="G89" i="3"/>
  <c r="H89" i="3"/>
  <c r="G88" i="3"/>
  <c r="H88" i="3"/>
  <c r="G87" i="3"/>
  <c r="H87" i="3"/>
  <c r="G86" i="3"/>
  <c r="H86" i="3"/>
  <c r="G85" i="3"/>
  <c r="H85" i="3"/>
  <c r="G84" i="3"/>
  <c r="H84" i="3"/>
  <c r="G83" i="3"/>
  <c r="H83" i="3"/>
  <c r="G82" i="3"/>
  <c r="H82" i="3"/>
  <c r="G81" i="3"/>
  <c r="H81" i="3"/>
  <c r="G80" i="3"/>
  <c r="H80" i="3"/>
  <c r="G79" i="3"/>
  <c r="H79" i="3"/>
  <c r="G78" i="3"/>
  <c r="H78" i="3"/>
  <c r="G77" i="3"/>
  <c r="H77" i="3"/>
  <c r="G76" i="3"/>
  <c r="H76" i="3"/>
  <c r="G75" i="3"/>
  <c r="H75" i="3"/>
  <c r="G74" i="3"/>
  <c r="H74" i="3"/>
  <c r="G73" i="3"/>
  <c r="H73" i="3"/>
  <c r="G72" i="3"/>
  <c r="H72" i="3"/>
  <c r="G71" i="3"/>
  <c r="H71" i="3"/>
  <c r="G70" i="3"/>
  <c r="H70" i="3"/>
  <c r="G69" i="3"/>
  <c r="H69" i="3"/>
  <c r="G68" i="3"/>
  <c r="H68" i="3"/>
  <c r="G67" i="3"/>
  <c r="H67" i="3"/>
  <c r="G66" i="3"/>
  <c r="H66" i="3"/>
  <c r="G65" i="3"/>
  <c r="H65" i="3"/>
  <c r="G64" i="3"/>
  <c r="H64" i="3"/>
  <c r="G63" i="3"/>
  <c r="H63" i="3"/>
  <c r="G62" i="3"/>
  <c r="H62" i="3"/>
  <c r="G61" i="3"/>
  <c r="H61" i="3"/>
  <c r="G60" i="3"/>
  <c r="H60" i="3"/>
  <c r="G59" i="3"/>
  <c r="H59" i="3"/>
  <c r="G58" i="3"/>
  <c r="H58" i="3"/>
  <c r="G57" i="3"/>
  <c r="H57" i="3"/>
  <c r="G56" i="3"/>
  <c r="H56" i="3"/>
  <c r="G55" i="3"/>
  <c r="H55" i="3"/>
  <c r="G54" i="3"/>
  <c r="H54" i="3"/>
  <c r="G53" i="3"/>
  <c r="H53" i="3"/>
  <c r="G52" i="3"/>
  <c r="H52" i="3"/>
  <c r="G51" i="3"/>
  <c r="H51" i="3"/>
  <c r="G50" i="3"/>
  <c r="H50" i="3"/>
  <c r="G49" i="3"/>
  <c r="H49" i="3"/>
  <c r="G48" i="3"/>
  <c r="H48" i="3"/>
  <c r="G47" i="3"/>
  <c r="H47" i="3"/>
  <c r="G46" i="3"/>
  <c r="H46" i="3"/>
  <c r="G45" i="3"/>
  <c r="H45" i="3"/>
  <c r="G44" i="3"/>
  <c r="H44" i="3"/>
  <c r="G43" i="3"/>
  <c r="H43" i="3"/>
  <c r="G42" i="3"/>
  <c r="H42" i="3"/>
  <c r="G41" i="3"/>
  <c r="H41" i="3"/>
  <c r="G40" i="3"/>
  <c r="H40" i="3"/>
  <c r="G39" i="3"/>
  <c r="H39" i="3"/>
  <c r="G38" i="3"/>
  <c r="H38" i="3"/>
  <c r="G37" i="3"/>
  <c r="H37" i="3"/>
  <c r="G36" i="3"/>
  <c r="H36" i="3"/>
  <c r="G35" i="3"/>
  <c r="H35" i="3"/>
  <c r="G34" i="3"/>
  <c r="H34" i="3"/>
  <c r="G33" i="3"/>
  <c r="H33" i="3"/>
  <c r="G32" i="3"/>
  <c r="H32" i="3"/>
  <c r="G31" i="3"/>
  <c r="H31" i="3"/>
  <c r="G30" i="3"/>
  <c r="H30" i="3"/>
  <c r="G29" i="3"/>
  <c r="H29" i="3"/>
  <c r="G28" i="3"/>
  <c r="H28" i="3"/>
  <c r="G27" i="3"/>
  <c r="H27" i="3"/>
  <c r="G26" i="3"/>
  <c r="H26" i="3"/>
  <c r="G25" i="3"/>
  <c r="H25" i="3"/>
  <c r="G24" i="3"/>
  <c r="H24" i="3"/>
  <c r="G23" i="3"/>
  <c r="H23" i="3"/>
  <c r="G22" i="3"/>
  <c r="H22" i="3"/>
  <c r="G21" i="3"/>
  <c r="H21" i="3"/>
  <c r="G20" i="3"/>
  <c r="H20" i="3"/>
  <c r="G19" i="3"/>
  <c r="H19" i="3"/>
  <c r="G18" i="3"/>
  <c r="H18" i="3"/>
  <c r="G17" i="3"/>
  <c r="H17" i="3"/>
  <c r="G16" i="3"/>
  <c r="H16" i="3"/>
  <c r="G15" i="3"/>
  <c r="H15" i="3"/>
  <c r="G14" i="3"/>
  <c r="H14" i="3"/>
  <c r="G13" i="3"/>
  <c r="H13" i="3"/>
  <c r="G12" i="3"/>
  <c r="H12" i="3"/>
  <c r="G11" i="3"/>
  <c r="H11" i="3"/>
  <c r="G10" i="3"/>
  <c r="H10" i="3"/>
  <c r="G9" i="3"/>
  <c r="H9" i="3"/>
  <c r="G8" i="3"/>
  <c r="H8" i="3"/>
  <c r="G7" i="3"/>
  <c r="H7" i="3"/>
  <c r="G6" i="3"/>
  <c r="H6" i="3"/>
  <c r="G5" i="3"/>
  <c r="H5" i="3"/>
  <c r="G4" i="3"/>
  <c r="H4" i="3"/>
  <c r="G3" i="3"/>
  <c r="H3" i="3"/>
  <c r="G2" i="3"/>
  <c r="H2" i="3"/>
  <c r="L3" i="5"/>
  <c r="G2" i="5"/>
  <c r="A3" i="2"/>
  <c r="M3" i="2"/>
  <c r="L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F3" i="2"/>
  <c r="G3" i="5"/>
  <c r="H3" i="5"/>
  <c r="M4" i="5"/>
  <c r="G2" i="2"/>
  <c r="M4" i="2"/>
  <c r="L4" i="2"/>
  <c r="H2" i="2"/>
  <c r="F4" i="2"/>
  <c r="G4" i="5"/>
  <c r="L4" i="5"/>
  <c r="F5" i="5"/>
  <c r="H4" i="5"/>
  <c r="G3" i="2"/>
  <c r="H3" i="2"/>
  <c r="M5" i="2"/>
  <c r="G4" i="2"/>
  <c r="L5" i="2"/>
  <c r="F5" i="2"/>
  <c r="H5" i="5"/>
  <c r="M5" i="5"/>
  <c r="G5" i="5"/>
  <c r="L5" i="5"/>
  <c r="F6" i="5"/>
  <c r="M6" i="5"/>
  <c r="H4" i="2"/>
  <c r="M6" i="2"/>
  <c r="L6" i="2"/>
  <c r="F6" i="2"/>
  <c r="G6" i="5"/>
  <c r="L6" i="5"/>
  <c r="F7" i="5"/>
  <c r="H6" i="5"/>
  <c r="M7" i="5"/>
  <c r="G5" i="2"/>
  <c r="M7" i="2"/>
  <c r="H5" i="2"/>
  <c r="L7" i="2"/>
  <c r="F7" i="2"/>
  <c r="L7" i="5"/>
  <c r="F8" i="5"/>
  <c r="H7" i="5"/>
  <c r="M8" i="5"/>
  <c r="G7" i="5"/>
  <c r="G6" i="2"/>
  <c r="M8" i="2"/>
  <c r="H6" i="2"/>
  <c r="L8" i="2"/>
  <c r="F8" i="2"/>
  <c r="G8" i="5"/>
  <c r="L8" i="5"/>
  <c r="F9" i="5"/>
  <c r="H8" i="5"/>
  <c r="M9" i="5"/>
  <c r="G7" i="2"/>
  <c r="H7" i="2"/>
  <c r="M9" i="2"/>
  <c r="L9" i="2"/>
  <c r="F9" i="2"/>
  <c r="G9" i="5"/>
  <c r="L9" i="5"/>
  <c r="F10" i="5"/>
  <c r="H9" i="5"/>
  <c r="G8" i="2"/>
  <c r="H8" i="2"/>
  <c r="M10" i="2"/>
  <c r="L10" i="2"/>
  <c r="F10" i="2"/>
  <c r="H10" i="5"/>
  <c r="M10" i="5"/>
  <c r="G10" i="5"/>
  <c r="L10" i="5"/>
  <c r="F11" i="5"/>
  <c r="M11" i="5"/>
  <c r="G9" i="2"/>
  <c r="M11" i="2"/>
  <c r="H9" i="2"/>
  <c r="L11" i="2"/>
  <c r="F11" i="2"/>
  <c r="G11" i="5"/>
  <c r="L11" i="5"/>
  <c r="F12" i="5"/>
  <c r="H11" i="5"/>
  <c r="G10" i="2"/>
  <c r="M12" i="2"/>
  <c r="H10" i="2"/>
  <c r="L12" i="2"/>
  <c r="F12" i="2"/>
  <c r="G12" i="5"/>
  <c r="L12" i="5"/>
  <c r="F13" i="5"/>
  <c r="M12" i="5"/>
  <c r="H12" i="5"/>
  <c r="G11" i="2"/>
  <c r="H11" i="2"/>
  <c r="M13" i="2"/>
  <c r="L13" i="2"/>
  <c r="F13" i="2"/>
  <c r="F14" i="5"/>
  <c r="M13" i="5"/>
  <c r="G13" i="5"/>
  <c r="L13" i="5"/>
  <c r="H13" i="5"/>
  <c r="G12" i="2"/>
  <c r="L14" i="2"/>
  <c r="H12" i="2"/>
  <c r="M14" i="2"/>
  <c r="F14" i="2"/>
  <c r="F15" i="5"/>
  <c r="M14" i="5"/>
  <c r="G14" i="5"/>
  <c r="L14" i="5"/>
  <c r="H14" i="5"/>
  <c r="G13" i="2"/>
  <c r="M15" i="2"/>
  <c r="H13" i="2"/>
  <c r="L15" i="2"/>
  <c r="F15" i="2"/>
  <c r="G15" i="5"/>
  <c r="L15" i="5"/>
  <c r="F16" i="5"/>
  <c r="M15" i="5"/>
  <c r="H15" i="5"/>
  <c r="G14" i="2"/>
  <c r="M16" i="2"/>
  <c r="H14" i="2"/>
  <c r="G15" i="2"/>
  <c r="L16" i="2"/>
  <c r="F16" i="2"/>
  <c r="G16" i="5"/>
  <c r="L16" i="5"/>
  <c r="F17" i="5"/>
  <c r="M16" i="5"/>
  <c r="H16" i="5"/>
  <c r="H15" i="2"/>
  <c r="M17" i="2"/>
  <c r="G16" i="2"/>
  <c r="L17" i="2"/>
  <c r="F17" i="2"/>
  <c r="L17" i="5"/>
  <c r="H17" i="5"/>
  <c r="M17" i="5"/>
  <c r="F18" i="5"/>
  <c r="M18" i="5"/>
  <c r="G17" i="5"/>
  <c r="H16" i="2"/>
  <c r="M18" i="2"/>
  <c r="G17" i="2"/>
  <c r="L18" i="2"/>
  <c r="F18" i="2"/>
  <c r="G18" i="5"/>
  <c r="L18" i="5"/>
  <c r="F19" i="5"/>
  <c r="H18" i="5"/>
  <c r="M19" i="2"/>
  <c r="H17" i="2"/>
  <c r="L19" i="2"/>
  <c r="L19" i="5"/>
  <c r="F19" i="2"/>
  <c r="F20" i="5"/>
  <c r="H19" i="5"/>
  <c r="M19" i="5"/>
  <c r="G19" i="5"/>
  <c r="G18" i="2"/>
  <c r="M20" i="2"/>
  <c r="H18" i="2"/>
  <c r="G19" i="2"/>
  <c r="L20" i="2"/>
  <c r="F20" i="2"/>
  <c r="L20" i="5"/>
  <c r="H20" i="5"/>
  <c r="M20" i="5"/>
  <c r="F21" i="5"/>
  <c r="G20" i="5"/>
  <c r="H19" i="2"/>
  <c r="M21" i="2"/>
  <c r="L21" i="2"/>
  <c r="F21" i="2"/>
  <c r="F22" i="5"/>
  <c r="M21" i="5"/>
  <c r="L21" i="5"/>
  <c r="H21" i="5"/>
  <c r="G21" i="5"/>
  <c r="G20" i="2"/>
  <c r="H20" i="2"/>
  <c r="M22" i="2"/>
  <c r="G21" i="2"/>
  <c r="L22" i="2"/>
  <c r="F22" i="2"/>
  <c r="G22" i="5"/>
  <c r="L22" i="5"/>
  <c r="F23" i="5"/>
  <c r="M22" i="5"/>
  <c r="H22" i="5"/>
  <c r="M23" i="5"/>
  <c r="M23" i="2"/>
  <c r="H21" i="2"/>
  <c r="G22" i="2"/>
  <c r="L23" i="2"/>
  <c r="F23" i="2"/>
  <c r="F24" i="5"/>
  <c r="L23" i="5"/>
  <c r="H23" i="5"/>
  <c r="G23" i="5"/>
  <c r="M24" i="2"/>
  <c r="H22" i="2"/>
  <c r="G23" i="2"/>
  <c r="L24" i="2"/>
  <c r="F24" i="2"/>
  <c r="H24" i="5"/>
  <c r="M24" i="5"/>
  <c r="G24" i="5"/>
  <c r="L24" i="5"/>
  <c r="F25" i="5"/>
  <c r="M25" i="5"/>
  <c r="H23" i="2"/>
  <c r="M25" i="2"/>
  <c r="L25" i="2"/>
  <c r="F25" i="2"/>
  <c r="F26" i="5"/>
  <c r="G25" i="5"/>
  <c r="L25" i="5"/>
  <c r="H25" i="5"/>
  <c r="M26" i="5"/>
  <c r="G24" i="2"/>
  <c r="H24" i="2"/>
  <c r="M26" i="2"/>
  <c r="L26" i="2"/>
  <c r="F26" i="2"/>
  <c r="G26" i="5"/>
  <c r="L26" i="5"/>
  <c r="F27" i="5"/>
  <c r="H26" i="5"/>
  <c r="G25" i="2"/>
  <c r="M27" i="2"/>
  <c r="H25" i="2"/>
  <c r="G26" i="2"/>
  <c r="L27" i="2"/>
  <c r="F27" i="2"/>
  <c r="F28" i="5"/>
  <c r="G27" i="5"/>
  <c r="L27" i="5"/>
  <c r="H27" i="5"/>
  <c r="M27" i="5"/>
  <c r="M28" i="2"/>
  <c r="H26" i="2"/>
  <c r="G27" i="2"/>
  <c r="L28" i="2"/>
  <c r="F28" i="2"/>
  <c r="F29" i="5"/>
  <c r="H28" i="5"/>
  <c r="M28" i="5"/>
  <c r="L28" i="5"/>
  <c r="G28" i="5"/>
  <c r="H27" i="2"/>
  <c r="M29" i="2"/>
  <c r="L29" i="2"/>
  <c r="F29" i="2"/>
  <c r="G29" i="5"/>
  <c r="L29" i="5"/>
  <c r="F30" i="5"/>
  <c r="M29" i="5"/>
  <c r="H29" i="5"/>
  <c r="G28" i="2"/>
  <c r="H28" i="2"/>
  <c r="M30" i="2"/>
  <c r="L30" i="2"/>
  <c r="F30" i="2"/>
  <c r="L30" i="5"/>
  <c r="H30" i="5"/>
  <c r="M30" i="5"/>
  <c r="F31" i="5"/>
  <c r="M31" i="5"/>
  <c r="G30" i="5"/>
  <c r="G29" i="2"/>
  <c r="M31" i="2"/>
  <c r="H29" i="2"/>
  <c r="L31" i="2"/>
  <c r="F31" i="2"/>
  <c r="F32" i="5"/>
  <c r="L31" i="5"/>
  <c r="H31" i="5"/>
  <c r="G31" i="5"/>
  <c r="G30" i="2"/>
  <c r="M32" i="2"/>
  <c r="H30" i="2"/>
  <c r="G31" i="2"/>
  <c r="L32" i="2"/>
  <c r="F32" i="2"/>
  <c r="G32" i="5"/>
  <c r="L32" i="5"/>
  <c r="F33" i="5"/>
  <c r="M32" i="5"/>
  <c r="H32" i="5"/>
  <c r="H31" i="2"/>
  <c r="M33" i="2"/>
  <c r="L33" i="2"/>
  <c r="F33" i="2"/>
  <c r="F34" i="5"/>
  <c r="H33" i="5"/>
  <c r="M33" i="5"/>
  <c r="G33" i="5"/>
  <c r="L33" i="5"/>
  <c r="G32" i="2"/>
  <c r="H32" i="2"/>
  <c r="M34" i="2"/>
  <c r="G33" i="2"/>
  <c r="L34" i="2"/>
  <c r="F34" i="2"/>
  <c r="H34" i="5"/>
  <c r="M34" i="5"/>
  <c r="G34" i="5"/>
  <c r="L34" i="5"/>
  <c r="F35" i="5"/>
  <c r="M35" i="2"/>
  <c r="H33" i="2"/>
  <c r="G34" i="2"/>
  <c r="L35" i="2"/>
  <c r="F35" i="2"/>
  <c r="F36" i="5"/>
  <c r="M35" i="5"/>
  <c r="L35" i="5"/>
  <c r="H35" i="5"/>
  <c r="G35" i="5"/>
  <c r="M36" i="2"/>
  <c r="H34" i="2"/>
  <c r="G35" i="2"/>
  <c r="L36" i="2"/>
  <c r="F36" i="2"/>
  <c r="L36" i="5"/>
  <c r="H36" i="5"/>
  <c r="M36" i="5"/>
  <c r="F37" i="5"/>
  <c r="G36" i="5"/>
  <c r="L37" i="2"/>
  <c r="H35" i="2"/>
  <c r="M37" i="2"/>
  <c r="F37" i="2"/>
  <c r="F38" i="5"/>
  <c r="M37" i="5"/>
  <c r="G37" i="5"/>
  <c r="L37" i="5"/>
  <c r="H37" i="5"/>
  <c r="G36" i="2"/>
  <c r="H36" i="2"/>
  <c r="M38" i="2"/>
  <c r="G37" i="2"/>
  <c r="L38" i="2"/>
  <c r="F38" i="2"/>
  <c r="G38" i="5"/>
  <c r="L38" i="5"/>
  <c r="F39" i="5"/>
  <c r="M38" i="5"/>
  <c r="H38" i="5"/>
  <c r="H37" i="2"/>
  <c r="M39" i="2"/>
  <c r="F39" i="2"/>
  <c r="L39" i="2"/>
  <c r="G39" i="5"/>
  <c r="L39" i="5"/>
  <c r="F40" i="5"/>
  <c r="M39" i="5"/>
  <c r="H39" i="5"/>
  <c r="G38" i="2"/>
  <c r="M40" i="2"/>
  <c r="H38" i="2"/>
  <c r="L40" i="2"/>
  <c r="F40" i="2"/>
  <c r="F41" i="5"/>
  <c r="M40" i="5"/>
  <c r="L40" i="5"/>
  <c r="H40" i="5"/>
  <c r="G40" i="5"/>
  <c r="G39" i="2"/>
  <c r="L41" i="2"/>
  <c r="H39" i="2"/>
  <c r="M41" i="2"/>
  <c r="F41" i="2"/>
  <c r="F42" i="5"/>
  <c r="M41" i="5"/>
  <c r="L41" i="5"/>
  <c r="H41" i="5"/>
  <c r="G41" i="5"/>
  <c r="G40" i="2"/>
  <c r="H40" i="2"/>
  <c r="M42" i="2"/>
  <c r="L42" i="2"/>
  <c r="F42" i="2"/>
  <c r="G42" i="5"/>
  <c r="L42" i="5"/>
  <c r="H42" i="5"/>
  <c r="M42" i="5"/>
  <c r="F43" i="5"/>
  <c r="M43" i="5"/>
  <c r="G41" i="2"/>
  <c r="M43" i="2"/>
  <c r="H41" i="2"/>
  <c r="G42" i="2"/>
  <c r="L43" i="2"/>
  <c r="F43" i="2"/>
  <c r="L43" i="5"/>
  <c r="F44" i="5"/>
  <c r="H43" i="5"/>
  <c r="G43" i="5"/>
  <c r="M44" i="2"/>
  <c r="H42" i="2"/>
  <c r="L44" i="2"/>
  <c r="F44" i="2"/>
  <c r="F45" i="5"/>
  <c r="G44" i="5"/>
  <c r="L44" i="5"/>
  <c r="H44" i="5"/>
  <c r="M44" i="5"/>
  <c r="G43" i="2"/>
  <c r="M45" i="2"/>
  <c r="H43" i="2"/>
  <c r="G44" i="2"/>
  <c r="L45" i="2"/>
  <c r="F45" i="2"/>
  <c r="G45" i="5"/>
  <c r="L45" i="5"/>
  <c r="H45" i="5"/>
  <c r="M45" i="5"/>
  <c r="F46" i="5"/>
  <c r="M46" i="5"/>
  <c r="H44" i="2"/>
  <c r="M46" i="2"/>
  <c r="L46" i="2"/>
  <c r="F46" i="2"/>
  <c r="G46" i="5"/>
  <c r="L46" i="5"/>
  <c r="F47" i="5"/>
  <c r="H46" i="5"/>
  <c r="M47" i="5"/>
  <c r="G45" i="2"/>
  <c r="H45" i="2"/>
  <c r="M47" i="2"/>
  <c r="L47" i="2"/>
  <c r="F47" i="2"/>
  <c r="L47" i="5"/>
  <c r="F48" i="5"/>
  <c r="H47" i="5"/>
  <c r="G47" i="5"/>
  <c r="G46" i="2"/>
  <c r="M48" i="2"/>
  <c r="H46" i="2"/>
  <c r="G47" i="2"/>
  <c r="L48" i="2"/>
  <c r="F48" i="2"/>
  <c r="G48" i="5"/>
  <c r="L48" i="5"/>
  <c r="H48" i="5"/>
  <c r="M48" i="5"/>
  <c r="F49" i="5"/>
  <c r="H47" i="2"/>
  <c r="M49" i="2"/>
  <c r="G48" i="2"/>
  <c r="L49" i="2"/>
  <c r="F49" i="2"/>
  <c r="L49" i="5"/>
  <c r="F50" i="5"/>
  <c r="M49" i="5"/>
  <c r="H49" i="5"/>
  <c r="C50" i="5"/>
  <c r="G49" i="5"/>
  <c r="H48" i="2"/>
  <c r="M50" i="2"/>
  <c r="Q13" i="2"/>
  <c r="L50" i="2"/>
  <c r="Q12" i="2"/>
  <c r="P14" i="2" a="1"/>
  <c r="F50" i="2"/>
  <c r="L50" i="5"/>
  <c r="Q12" i="5"/>
  <c r="P13" i="5"/>
  <c r="M50" i="5"/>
  <c r="Q13" i="5"/>
  <c r="G50" i="5"/>
  <c r="P12" i="5"/>
  <c r="E35" i="14"/>
  <c r="H50" i="5"/>
  <c r="G49" i="2"/>
  <c r="C50" i="2"/>
  <c r="H49" i="2"/>
  <c r="F35" i="14"/>
  <c r="P12" i="2"/>
  <c r="P14" i="2"/>
  <c r="R14" i="2"/>
  <c r="P15" i="2"/>
  <c r="R15" i="2"/>
  <c r="Q15" i="2"/>
  <c r="S15" i="2"/>
  <c r="Q14" i="2"/>
  <c r="S14" i="2"/>
  <c r="P6" i="2"/>
  <c r="C15" i="14"/>
  <c r="P14" i="5" a="1"/>
  <c r="P15" i="5"/>
  <c r="R15" i="5"/>
  <c r="P10" i="5"/>
  <c r="C38" i="14"/>
  <c r="P6" i="5"/>
  <c r="C34" i="14"/>
  <c r="G50" i="2"/>
  <c r="E16" i="14"/>
  <c r="P9" i="2"/>
  <c r="C18" i="14"/>
  <c r="P16" i="2" a="1"/>
  <c r="P10" i="2"/>
  <c r="C19" i="14"/>
  <c r="F16" i="14"/>
  <c r="H50" i="2"/>
  <c r="Q14" i="5"/>
  <c r="S14" i="5"/>
  <c r="Q15" i="5"/>
  <c r="S15" i="5"/>
  <c r="P14" i="5"/>
  <c r="R14" i="5"/>
  <c r="P9" i="5"/>
  <c r="C37" i="14"/>
  <c r="W7" i="5"/>
  <c r="J45" i="2"/>
  <c r="J34" i="2"/>
  <c r="I23" i="2"/>
  <c r="J13" i="2"/>
  <c r="J2" i="2"/>
  <c r="J42" i="2"/>
  <c r="I31" i="2"/>
  <c r="I21" i="2"/>
  <c r="I10" i="2"/>
  <c r="I50" i="2"/>
  <c r="I39" i="2"/>
  <c r="I29" i="2"/>
  <c r="J18" i="2"/>
  <c r="I7" i="2"/>
  <c r="I47" i="2"/>
  <c r="J37" i="2"/>
  <c r="J26" i="2"/>
  <c r="J15" i="2"/>
  <c r="I5" i="2"/>
  <c r="I49" i="2"/>
  <c r="J47" i="2"/>
  <c r="J44" i="2"/>
  <c r="I41" i="2"/>
  <c r="J39" i="2"/>
  <c r="J36" i="2"/>
  <c r="I33" i="2"/>
  <c r="J31" i="2"/>
  <c r="J28" i="2"/>
  <c r="I25" i="2"/>
  <c r="J23" i="2"/>
  <c r="J20" i="2"/>
  <c r="I17" i="2"/>
  <c r="I15" i="2"/>
  <c r="J12" i="2"/>
  <c r="I9" i="2"/>
  <c r="J7" i="2"/>
  <c r="J4" i="2"/>
  <c r="J49" i="2"/>
  <c r="J46" i="2"/>
  <c r="I43" i="2"/>
  <c r="J41" i="2"/>
  <c r="J38" i="2"/>
  <c r="J35" i="2"/>
  <c r="J33" i="2"/>
  <c r="J30" i="2"/>
  <c r="I27" i="2"/>
  <c r="J25" i="2"/>
  <c r="J22" i="2"/>
  <c r="J19" i="2"/>
  <c r="J17" i="2"/>
  <c r="J14" i="2"/>
  <c r="J11" i="2"/>
  <c r="J9" i="2"/>
  <c r="J6" i="2"/>
  <c r="I3" i="2"/>
  <c r="J48" i="2"/>
  <c r="I45" i="2"/>
  <c r="J43" i="2"/>
  <c r="J40" i="2"/>
  <c r="I37" i="2"/>
  <c r="I35" i="2"/>
  <c r="J32" i="2"/>
  <c r="J29" i="2"/>
  <c r="J27" i="2"/>
  <c r="J24" i="2"/>
  <c r="J21" i="2"/>
  <c r="I19" i="2"/>
  <c r="J16" i="2"/>
  <c r="I13" i="2"/>
  <c r="I11" i="2"/>
  <c r="J8" i="2"/>
  <c r="J5" i="2"/>
  <c r="J3" i="2"/>
  <c r="J50" i="2"/>
  <c r="I48" i="2"/>
  <c r="I46" i="2"/>
  <c r="I44" i="2"/>
  <c r="I42" i="2"/>
  <c r="I40" i="2"/>
  <c r="I38" i="2"/>
  <c r="I36" i="2"/>
  <c r="I34" i="2"/>
  <c r="I32" i="2"/>
  <c r="I30" i="2"/>
  <c r="I28" i="2"/>
  <c r="I26" i="2"/>
  <c r="I24" i="2"/>
  <c r="I22" i="2"/>
  <c r="I20" i="2"/>
  <c r="I18" i="2"/>
  <c r="I16" i="2"/>
  <c r="I14" i="2"/>
  <c r="I12" i="2"/>
  <c r="J10" i="2"/>
  <c r="I8" i="2"/>
  <c r="I6" i="2"/>
  <c r="I4" i="2"/>
  <c r="I2" i="2"/>
  <c r="J47" i="5"/>
  <c r="Q16" i="2"/>
  <c r="Q17" i="2"/>
  <c r="Q5" i="2"/>
  <c r="D14" i="14"/>
  <c r="P16" i="2"/>
  <c r="Q4" i="2"/>
  <c r="D13" i="14"/>
  <c r="P17" i="2"/>
  <c r="P16" i="5" a="1"/>
  <c r="Q17" i="5"/>
  <c r="Q5" i="5"/>
  <c r="D33" i="14"/>
  <c r="I26" i="5"/>
  <c r="I18" i="5"/>
  <c r="I28" i="5"/>
  <c r="I16" i="5"/>
  <c r="I36" i="5"/>
  <c r="I44" i="5"/>
  <c r="J2" i="5"/>
  <c r="J10" i="5"/>
  <c r="J18" i="5"/>
  <c r="J26" i="5"/>
  <c r="J34" i="5"/>
  <c r="J42" i="5"/>
  <c r="J50" i="5"/>
  <c r="I9" i="5"/>
  <c r="I17" i="5"/>
  <c r="I25" i="5"/>
  <c r="I33" i="5"/>
  <c r="I41" i="5"/>
  <c r="I49" i="5"/>
  <c r="J9" i="5"/>
  <c r="J17" i="5"/>
  <c r="J25" i="5"/>
  <c r="J33" i="5"/>
  <c r="J41" i="5"/>
  <c r="J49" i="5"/>
  <c r="I6" i="5"/>
  <c r="I4" i="5"/>
  <c r="I14" i="5"/>
  <c r="I24" i="5"/>
  <c r="I38" i="5"/>
  <c r="I46" i="5"/>
  <c r="J4" i="5"/>
  <c r="J12" i="5"/>
  <c r="J20" i="5"/>
  <c r="J28" i="5"/>
  <c r="J36" i="5"/>
  <c r="J44" i="5"/>
  <c r="I3" i="5"/>
  <c r="I11" i="5"/>
  <c r="I19" i="5"/>
  <c r="I27" i="5"/>
  <c r="I35" i="5"/>
  <c r="I43" i="5"/>
  <c r="J3" i="5"/>
  <c r="J11" i="5"/>
  <c r="J19" i="5"/>
  <c r="J27" i="5"/>
  <c r="J35" i="5"/>
  <c r="J43" i="5"/>
  <c r="I30" i="5"/>
  <c r="I12" i="5"/>
  <c r="I22" i="5"/>
  <c r="I32" i="5"/>
  <c r="I40" i="5"/>
  <c r="I48" i="5"/>
  <c r="J6" i="5"/>
  <c r="J14" i="5"/>
  <c r="J22" i="5"/>
  <c r="J30" i="5"/>
  <c r="J38" i="5"/>
  <c r="J46" i="5"/>
  <c r="I5" i="5"/>
  <c r="I13" i="5"/>
  <c r="I21" i="5"/>
  <c r="I29" i="5"/>
  <c r="I37" i="5"/>
  <c r="I45" i="5"/>
  <c r="J5" i="5"/>
  <c r="J13" i="5"/>
  <c r="J21" i="5"/>
  <c r="J29" i="5"/>
  <c r="J37" i="5"/>
  <c r="J45" i="5"/>
  <c r="I2" i="5"/>
  <c r="I10" i="5"/>
  <c r="I20" i="5"/>
  <c r="I8" i="5"/>
  <c r="I34" i="5"/>
  <c r="I42" i="5"/>
  <c r="I50" i="5"/>
  <c r="J8" i="5"/>
  <c r="J16" i="5"/>
  <c r="J24" i="5"/>
  <c r="J32" i="5"/>
  <c r="J40" i="5"/>
  <c r="J48" i="5"/>
  <c r="I7" i="5"/>
  <c r="I15" i="5"/>
  <c r="I23" i="5"/>
  <c r="I31" i="5"/>
  <c r="I39" i="5"/>
  <c r="I47" i="5"/>
  <c r="J7" i="5"/>
  <c r="J15" i="5"/>
  <c r="J23" i="5"/>
  <c r="J31" i="5"/>
  <c r="J39" i="5"/>
  <c r="R4" i="2"/>
  <c r="E13" i="14"/>
  <c r="R5" i="2"/>
  <c r="E14" i="14"/>
  <c r="Q16" i="5"/>
  <c r="R5" i="5"/>
  <c r="E33" i="14"/>
  <c r="P16" i="5"/>
  <c r="Q4" i="5"/>
  <c r="D32" i="14"/>
  <c r="P17" i="5"/>
  <c r="S5" i="2"/>
  <c r="F14" i="14"/>
  <c r="S4" i="2"/>
  <c r="F13" i="14"/>
  <c r="R4" i="5"/>
  <c r="E32" i="14"/>
  <c r="S5" i="5"/>
  <c r="F33" i="14"/>
  <c r="S4" i="5"/>
  <c r="F32" i="14"/>
  <c r="H31" i="18"/>
  <c r="H47" i="18"/>
  <c r="H12" i="18"/>
  <c r="H35" i="18"/>
  <c r="H38" i="18"/>
  <c r="H11" i="18"/>
  <c r="H46" i="18"/>
  <c r="H20" i="18"/>
  <c r="H14" i="18"/>
  <c r="H40" i="18"/>
  <c r="H43" i="18"/>
  <c r="H41" i="18"/>
  <c r="H37" i="18"/>
  <c r="H34" i="18"/>
  <c r="H10" i="18"/>
  <c r="H18" i="18"/>
  <c r="H22" i="18"/>
  <c r="H26" i="18"/>
  <c r="H30" i="18"/>
  <c r="H19" i="18"/>
  <c r="H27" i="18"/>
  <c r="H29" i="18"/>
  <c r="H17" i="18"/>
  <c r="H32" i="18"/>
  <c r="H39" i="18"/>
  <c r="H8" i="18"/>
  <c r="H45" i="18"/>
  <c r="H9" i="18"/>
  <c r="H15" i="18"/>
  <c r="H13" i="18"/>
  <c r="H28" i="18"/>
  <c r="H42" i="18"/>
  <c r="H44" i="18"/>
  <c r="H24" i="18"/>
  <c r="H23" i="18"/>
  <c r="H36" i="18"/>
  <c r="H16" i="18"/>
  <c r="H25" i="18"/>
  <c r="H33" i="18"/>
  <c r="H21" i="18"/>
  <c r="H7" i="18"/>
  <c r="I7" i="18"/>
  <c r="I8" i="18"/>
  <c r="I9" i="18"/>
  <c r="I10" i="18"/>
  <c r="I11" i="18"/>
  <c r="I12" i="18"/>
  <c r="I13" i="18"/>
  <c r="I14" i="18"/>
  <c r="I15" i="18"/>
  <c r="I16" i="18"/>
  <c r="I17" i="18"/>
  <c r="I18" i="18"/>
  <c r="I19" i="18"/>
  <c r="I20" i="18"/>
  <c r="I21" i="18"/>
  <c r="I22" i="18"/>
  <c r="I23" i="18"/>
  <c r="I24" i="18"/>
  <c r="I25" i="18"/>
  <c r="I26" i="18"/>
  <c r="I27" i="18"/>
  <c r="I28" i="18"/>
  <c r="I29" i="18"/>
  <c r="I30" i="18"/>
  <c r="I31" i="18"/>
  <c r="I32" i="18"/>
  <c r="I33" i="18"/>
  <c r="I34" i="18"/>
  <c r="I35" i="18"/>
  <c r="I36" i="18"/>
  <c r="I37" i="18"/>
  <c r="I38" i="18"/>
  <c r="I39" i="18"/>
  <c r="I40" i="18"/>
  <c r="I41" i="18"/>
  <c r="I42" i="18"/>
  <c r="I43" i="18"/>
  <c r="I44" i="18"/>
  <c r="I45" i="18"/>
  <c r="I46" i="18"/>
  <c r="I47" i="18"/>
  <c r="I2" i="18"/>
  <c r="C9" i="17"/>
  <c r="P5" i="17"/>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2" i="10"/>
  <c r="P8" i="10"/>
  <c r="D20" i="9"/>
  <c r="G20" i="9"/>
  <c r="G19" i="9"/>
</calcChain>
</file>

<file path=xl/sharedStrings.xml><?xml version="1.0" encoding="utf-8"?>
<sst xmlns="http://schemas.openxmlformats.org/spreadsheetml/2006/main" count="343" uniqueCount="232">
  <si>
    <t>Week</t>
  </si>
  <si>
    <t>Infected</t>
  </si>
  <si>
    <t>N</t>
  </si>
  <si>
    <t>S0</t>
  </si>
  <si>
    <t>I0</t>
  </si>
  <si>
    <t>7/g</t>
  </si>
  <si>
    <t>R0</t>
  </si>
  <si>
    <t>beta</t>
  </si>
  <si>
    <t>gamma</t>
  </si>
  <si>
    <t>S(w)</t>
  </si>
  <si>
    <t>I(w)</t>
  </si>
  <si>
    <t>Population</t>
  </si>
  <si>
    <t>Susceptibles</t>
  </si>
  <si>
    <t>SE</t>
  </si>
  <si>
    <t>R(w)</t>
  </si>
  <si>
    <t>beta*S(w)/N</t>
  </si>
  <si>
    <t>Spreading</t>
  </si>
  <si>
    <t>Abating</t>
  </si>
  <si>
    <t>1/g</t>
  </si>
  <si>
    <t>Source:</t>
  </si>
  <si>
    <t>Year</t>
  </si>
  <si>
    <t>All Deaths</t>
  </si>
  <si>
    <t>Number of P&amp;I Deaths</t>
  </si>
  <si>
    <t>Percent of Deaths Due to P&amp;I</t>
  </si>
  <si>
    <t>Threshold</t>
  </si>
  <si>
    <t xml:space="preserve">http://www.cdc.gov/flu/weekly/nchs.htm </t>
  </si>
  <si>
    <t>&gt;1 to start and epidemic</t>
  </si>
  <si>
    <t>Weekly data</t>
  </si>
  <si>
    <t>per week</t>
  </si>
  <si>
    <t>w=week</t>
  </si>
  <si>
    <t>&gt; Solver</t>
  </si>
  <si>
    <t>&gt;MIN</t>
  </si>
  <si>
    <t>Infectives</t>
  </si>
  <si>
    <t>Recoveres</t>
  </si>
  <si>
    <t>SOURCE retrieved 20150531</t>
  </si>
  <si>
    <t>% Susceptibles 95%tile infected</t>
  </si>
  <si>
    <t>Severity</t>
  </si>
  <si>
    <t>Frequency</t>
  </si>
  <si>
    <t>Cumulative Cost</t>
  </si>
  <si>
    <t>#</t>
  </si>
  <si>
    <t>Parameter</t>
  </si>
  <si>
    <t>Value</t>
  </si>
  <si>
    <t>Population Size</t>
  </si>
  <si>
    <t>Initial Susceptibles</t>
  </si>
  <si>
    <t>Initial Infectives</t>
  </si>
  <si>
    <t>Infective Transmission Rate</t>
  </si>
  <si>
    <t>Recovery Rate</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</si>
  <si>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</si>
  <si>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</si>
  <si>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</si>
  <si>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</si>
  <si>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</si>
  <si>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</si>
  <si>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</si>
  <si>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</si>
  <si>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</si>
  <si>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</si>
  <si>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</si>
  <si>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</si>
  <si>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8019cac2-2efc-4cde-a7c7-914ca4e2d5af</t>
  </si>
  <si>
    <t>CB_Block_7.0.0.0:2</t>
  </si>
  <si>
    <t>Decisioneering:7.0.0.0</t>
  </si>
  <si>
    <t>CB_Block_0</t>
  </si>
  <si>
    <t>㜸〱敤㕣㔹㙣㈴㐷ㄹ㥥㙡捦㡣愷挷昶摡㔹㙦㡥つ㌹っ戹㈰㕥㥣昵㈶㑢づ㔸ㄶㅦ搹㈳㜸搷捥摡扢〱〵㌴摢㥥愹㕥㜷㜶扡摢改敥昱慥㐳愴㐴㄰㉥㜱㐴㠴㐳㠴〴㠸㈲㠴挴ぢ挷㑢㌸㕦㤰㤰㐰㈸㐸㍣挰〳ㄲて〱㈱㜸〰愱㤵㜸挹㐳㈴昸扥敡敥㤹敥ㄹ㑦摢㤹㈴攰㈰搷㘶㝥㔷搷搵㔵昵㥦昵晦搵挹㠹㕣㉥昷㙦㈴晥㘵捡㌳㜳捤攲扡ㅦ㐸㝢㘲挶慤搷㘵㌵戰㕣挷㥦㤸昲㍣㘳㝤捥昲㠳㍥㌴㈸㔶㉣搴晢㠵㡡㙦㍤㈲㑢㤵㌵改昹㘸㔴挸攵㑡㈵㕤㐳㍤〷攱㙦㈴㝥搰搹㙢㌰て戰㌴㌳㍤扦晣㄰㐶㕤っ㕣㑦敥ㅢ㍢ㄳ昶㍤㌴㌹㌹㌱㌹㜱晢㥤晢敦㥡搸扦㙦㙣愶㔱てㅡ㥥㍣攴挸㐶攰ㄹ昵㝤㘳ぢ㡤攵扡㔵㝤扦㕣㕦㜲捦㑢攷㤰㕣摥㝦晢戲㜱挷㕤㤳㜷ㅣ㍣㘸摥㝤昷㕤㠳㜸㜵敥攴捣昴㠲㈷㑤晦㜵ㅡ戳挰㈹摦㌱㉢慢ㄶ搷㈶愵㘷㌹攷㈶㘶愶昱㕦㘲晥㜸扡㜳㘲㜱㐵捡㠰慦㤶㥥㜴慡搲搷搱㜱挰㥥昲晤㠶扤捡捤搳敤㈳㔸㙡搵昰㠳㠲㍤㈳敢㜵摤㡥㐷㉤搹昳搸扢扡戱㍥㘸㉦㑡挷户〲㙢捤ち搶㡢昶ㄲ〶慡つ搹愷㝤㜹捡㜰捥挹㤳㠶㉤ぢ昶搱㠶㔵换㠷㈹搷㜷㑢㍣㐴㜲㘲㙡昹ㄳ㔳扥㍤戳㘲㜸㙡㐶㍥㌷㈶愳敤ㄱ慦㥡㙥㝢㐳昷㜱㌹㜵昵〶㡥㜹㔳昷㜶愸㌹㘳㜸捤㤶攳摤㕢㐶㡢㑦捦攰戶敥敤ㄳ㝢㤴敥昳㡥敥㝤搴㔶愶㕢㡢㠱㠸扥搵㡥㘲㌱㝡㤱愰㥦愰㐴㐰〴敡㘵㠲〱㠲㐱〰㤱晦ㄷ戸㈴搹㤱㔵㕡挵搰㉡换㕡愵慡㔵㙡㕡㐵㙡ㄵ㔳慢㥣搳㉡㉢㕡挵搲㉡て㘹㤵昳㘸ㄳ愷㔲㝦扦ㄶ愵〷捦攸㑦㍥昷愵㜷ㅥ晢挲搰㘳㑦摤收慤扣㜷㜰ㄷㅡ摤ㅦ㑤㙡搶㌳㉥㠰搴㕡㔴㝣㘰㘲㍦晦㙤捥ㄵ㘰ち昳愰㜹愷㌹㌹㔹㍢戸摦戸摤㈸㜰㔹ㄹ挸㑦ㄱ捡〸摡づ㥡て㔸㑥捤扤愰㜰㜷捤戴攱换搶挶㡤㐷㜵搳㙥挳愹昹㙦搹戸㜲㌱㌰〲㜹㜵㝢㕤㙢㤰㡥㙥㡢㘰㉢改慢昷㕤搷摥敤㡣㔱㙦挸愹㡢㔶㔸㝤㙤㕢戵扤攰戹换摤㙢㡦㜸昲攱㘶㙤挷㡣愶㈰搴搶搴搸ㅤ慢っ慢挲㜹㡤捤慣戸扥㜴搴昴挶敤〵慢㝡㕥㝡㡢㤲㈲㔱搶搴㔲㉦㘷㔵挴昵攳昳づㄶち㙥慤扤㉤㔹㙡摥㝢㌱〰㌳换ㅡ收扢㉡扤㘰㝤挹㔸慥换㉢㔲㑤挲㜷愲㘲㙦慡昸㠸㕢㙤昸㌳慥ㄳ㜸㙥㍤㕤㌳㔵㕢㌳㈰㘹㙡㈷摣㥡捣攷㜳㑡㈸㐰攰昶昵〹㤱扢戵㍢㉦㈸㐴㈴㔰㑣㐶扥㉡㑤㜶ㄳ愷戰㍡慣愲㉥㐹㤳摡㡤㥢っ挶昹㉡ㄹ㤳挱㠱㠹㌵㔱㝦昰愵㙦摦㘴搸㈶收摥搸挶㥡㌶ㅡ慤晥摥㌵改〴挷っ愷㔶㤷㕥愶昶ㄳ㥣㤱㍥っ㔰戸〴㠱搰㜵昷愸敡挴㐵戱㕥戸㘰搵㠲㤵攲㡡戴捥慤〴㈸㠳㠶㉣㤵戸戵ㅤ㐹扦っ㐵晡㙥㠲㔱㠰㜲㌹㔷摣挳㐶挵㌲㔲慥㐰改㤴挱换㈹㐱捥㝥㈹㕥ㅥ㌴㡦㔸昵㐰㠶㐲㜹搸〴㐶㐲慤愶搰㌷㐴ㄲ昵㡣㙡愸㌰昶㤸㌳愰㔲挳㜲㠲昵ㄶ摦㜶㜰㐹㐸㐴㍢戲㘰摢挹〲㡡㠲戴㍣挸攰㌵㄰㑤㥢㌴挸㙥㥣㈰㈲戲㐱㠶㘶挷挸㘹㈲㘳晢っㄹ㠱昶㐹㈲㘴敢晤摤㘵〴㠹扤㤳㐸搹愹㉢㍦敥㐸戳㡤㙣昹㔰㥡㕤㡥㡤搳慦㈰戸㤲攰㉡㠲扤〰攲慦㤰㜰㤴㜲挸愷㤳晥ㄶ㍣敢搷㄰㕣ぢ〰昹愴㔳收㐴愲㡡㌶搴㔶散㐸戶ㅢ㠲㥤慣㡣攲㔰ㄴ搱㌲㙥摡㤹㐳戶㐲㜴㘴㜵㙥て㕤㥢㔷㍡昶收敥戴㤹㕣づ㈹㌲愳㘹㜲慤㥢㌴㑤㙥〴㥢昶愸户慥㐷㔷㝤㡣攰慤〰㘵晤㙤㠴㔰㉥㌴㜸户㘶搱搳愴㝣㔳㤸㐵愱㌱搴愳㠲㡦〸㤹㐷㠰っ㈱搷㜱㝣搹戱愱㘹づ㡥㥢㙦㝡ㅢ㝡㕦㜷晥㡥㤰摥愶㌷㜷昴づ晤㐵慦搲㡡扥〱散㈵晥搸㔵挷摣㠴㙡晤㘶㠲㕢〰摡㜴っ㑦摦慦搶㔳愰捣㘲㍢㠱戹摤昴扡㈸㉢㜷㘹㝤㔵㉡つ㌴㘸㉥ㄹ摥㌹ㄹ挰㠳㜱㝣ㄶ戶戰敢㜹戲㡥㐳㙤㑤ㄵ昰晣㜲㘵扡搰㍦攲戹㌶换㜷㙣㘴晦㑤愱ㄸ昲㜹慤㉦搷㘶㈳㘷搸㥡〹㥦㔳㠲㜲愸㠳㙦敦㉥㈴ㄲ㥤搲攴挵㝥搹攷换ㅤ㐹搲㠳㈴㜹〷戶㔵扦ㄵ〰㔲㐲晣扥慢㐴搹挷㘶敦㔴捤搲ㄶ㉢㍤㝣ㄹ愷㤳㌶ㅦ㘲㠷ㅣㄹ〸ㅤ戶搳昰ㅦ昸㐳昶愲㘵㌷㠵挵㠰扤㈰扤㉡㝣ぢ㔶㕤㤶㐳户㉣㐵捤㡥慣㜸㤳挸㡡扥扥㡥昳㜴㠶㝦㑤搱㐹㥢㤴挸攴昶捣捡㡣戳㜸㡢愸攸㠶愴㔰挹㜰つ㌵㈵㄰㈹㡦㙤㜷㐴㑣て㈲收㌶㙣㥣扥㥦㘰㤲攰〰㐰攱㌷㤰㌴㕢摤㜸㠶挳晡搷攸搲慥㔴㜲㈵愲㐱戹〸㕦散㉡慣づ昲㌵敦㈲戸ㄳ愰捤晣愱〳㌲㠳㄰ㄵ捡ㄳ㠴愸挲ㄸ收ㄹ㑢㕥㈰つ散㌲ㄱ㔸㥡㘹昸㠱㙢㌳戲㌴㘴捥扡㈷摤㘰搶昲㔷ㄱ㠹ㅡ㌵愳捣〳㉢搲〱㜵㜹戰㝤摡捡摣搵㔵㔹搳捤㐵户〱搱㜶㝣㜶㍢ㅣ捣戱ㅤ戰㈵搵搹㕣ㄳ㐸扤㥤㡦㌱㠴挰㑥㉢㝦㉢扤戱㕢昲㝥昳搰㌷摣摡搱㈵㉢愸换〱㌳㘴㍡收㑢㈶㜶ㄱ㤱㠳㕡扦戹戴攲㐹㌹㍢㘴ㅥ昵慣㕡摤㜲㈴㤱〱ㅢ㤳挱扡㌹㜹づ㔱㠲〵㤷㌱㐰搷ㄹ㌲㤷㍣挳昱㔷つ〶ㄴ搷㜷愷㥥㔴㔸愴㘰㑥㕢㡥㡦搷㈸㉣㌲㍦㙣㉥慥戸ㄷ㄰戱㙤搸捥㔱㘳搵摦ㄶ㔸㈱搱㠷㐹愱㐶㘸㐲搳㐴㐹㉢昵㡡ㅦㅥ挸㜳㌹昲㕥㥥㐰攱㉡㔷愰捦㍣㐳㝢搳慥㡦㘲㌴戴搳㌹愷㐱㐴㡦㥡㠵㝤㤹㔲㤸㥣慡摦捤㍥昷〰摣㜷昴昴昱㔶㘴敥㌵挵慣ぢ昴昲㘷挸㜸㐵ㄶ捤㐰〸㝤㜴扢㐲㔲㘱ㄹ㈹〷ㅣ〸㡣昳愹㥤晣捡愶㙡㐳敡摢搵捡ㅥ㐱㈴㘹搰㥣㌳㤶㘵ㅤ昱㘸摢〸㜶㠵て㌴㘳㙤愳敥㐷㜵㌳慥㙤ㅢ㈴㉤㤲攵㘲搵㈰〵㑦㌵〲昷㠴攵攸㈶㠰愲扦愸挸戸㠸㈲攳愲㉡ㅡ㌴㑦㌱㌴愸昲ㅣ换㍤㘷㜸㔶戰㘲㕢搵ㄲㅦㄸ扥摢ㄶ㌴〹㈶愷攴㡤㔳㉣㌳挶摡慣昹搳㌰搹晣〹愰㝢〲㜲㤴㕢㐷昴㠳㜲㌵㔱挴㍦搱愳㘳〹〲㐶㜹㑡昵昷㘰戴㠲扡ㅤ〱㤱愳搲愵昸づ挶愵挷㔰ㄲち㈱㘲㍤㠳㐴攰ㄵ㑣〸㜹扡戸㡢收㘹挷ち㠰㍤㘲散㠸ㄵ捣晡㐰㌹〰戲敡㜸㝢戵挲㙡愲搳㜸㔳㉢㕣摦㔹㤵㔲ㄳ搷㜵搶㈷昵挶㡤ㅢ㔴㠷ㅡ㈵愱㐸㌶㙢愴㌴换〶㜳摣㑥慡㐶㈸挵ㅤ㙢ㅢ㤱攵㌶㙤敤㍢愵挸㙢㔰㑣㡡㘶㜲晡㝢ㄵ愱㈰搰ㅢ改㈸晡散戳挹㈳ㄱ戱愱つ㔰愶㥥ち换㠶愲㤰攰㜱㕣㍢愹挹㜲昴〴晥摥ㄵ㘵攷ㅢ㐱慡挶戸㌸ㅡ搵㑣搵敢昳づ慣㠴慡攱搵戶〹㑢㘳㙤愱㠶㔱摣搹慢昶て户㌷挱㠸ㄱㅢ㌲㉣㤲攱〷〶ㅢ㠲戹ㄲㄱ㔵㕡㘷㐳摣敡㘶㜱㠹㑦㈷愴攱㈸っ㉣〶戵㔹戹愶捣戰㤶㈵㍦慡㍡㌴㑦㡢㑡㡥敡收搴戲て㤵ㅥ㔰㡥㐷㌹挵攰扡㜹㡡㙥㈹㕣㘲㠰搸㡤㜲ぢ搵〰愱摤收〰㍣ㄹ㙣ㅦ散㘰㐷挲搰〹慤㌳㑡搰㘲〶攱愶ㄷ㐱摥改ㄱ愳㄰愴愶㑡晦㍣㉣扥昶㌴搳㜷づ攷攲㑣挴㐴っ㜷㘵㔸て㐰㙥㌲㌲㐹㉥ㅡ㡤〳收愱㘴㔳㐲㙢㌰㉥愳㠹㌱㐴㤳捦ぢ㜰㡢㠷戱慣㘱戲㑤ㅤ昷摣〲ぢ摡戴扥扥换㍣敥㔴敢㡤㥡㔴慡㌸㤶搵㑡㈳㙦ぢ㝣愹㉢㠰㈱㌷㘵散㑢戴㈹挷㜱㤴攲㤲㠹愴摥敤㙥晤㌰扡㉢㈱㠷㌱㐲搵挷〰㘴㠶㕢㑥〵挴㍡敥㈹搰㍥摣摤扡挰愰㉥捦㐱愴㜵ㄴ㔱㤶捤攱㍥㕥㌳㡡慣戸㉤搱㙣捥㥤㜳㘹戳㈷㡡㡥㔹㘱搱戶挰ㄱ搶ㄹち扣㘲ㄱ挶㐸㡦摣挱㐱㜲㤷愲攸敥愵挷搴㘳敥ㄲ㔰愱㌰㈰ㄸ攳攵㈹㈸㠷㕤〵㈳搱攰搶㕡㔶户㘰昴㤷㤶户㍥〵㈰ㄸ〶愶㐱㡢㤶愱㠱㌳㠳晣收〶捥昵㘸㤵ㄱ㈱㑤〶㔳ㄹ愳ㅣ㠵挳ㅥ㐸〳㌷昱㈰扤攴㐲〹〵㝢搴挵戰昸㙥攲戸㡤㈳㤰敢㕤搱㔶戸㘰〴戸晥攲散㙤㉢㥥慡搵㘸敥挲㍦户㉤戰㡡慢ㅢ愱㌹扡愷敤㔲㤶㕡ㄳ敤扢ㅢ摡㉡愲换㠲〷㘶㈷㡥ㄹ㐱㜵㘵㌱㔸て㉦㙥昵㑡ㄲ㠵㥦挱ㅦ戱攱摢㘹㌳攷ㅤ㕥㐴㕤攳摥㤷捦㍢敥〵㐷捤慢攰昳搶ㅦ㈸〴㔷㈸晢㌹挹㜲敥摦昸愷㤲㤶㉢晣ㄴ㈳㙥㘵摡ㅣ愰攵㈰攱㌸㉡㠵搲㘰っ昹っ㍡㠱敤摥扣㌵㐰㍡搹搳㐶㈷㑡㄰散㄰㡡㜳敥㜵㈳ㄴ昱ㄳ愰㤵挴ㄲㅥ挹戱攷摦〶敢㡢ㅦ愳㠴〸挷㜳㈴㐶ち㙦㐵㉥〳㜵㑡㤰㐷㔷㍣㜸㈱攴晦〷㑢㌱㌷㙦挸㑥晦〵㘶ㄶ㍦㙡㐷搱㜵㐴搱て㍢㔰㈴㜸つ㐴昱敦㝤挸挴愹挰昰散慢ち㠴㜳㑤㍢〷搰㌷晣挲敦晦昰〰㍡ㄷㄱ㠷戲搱㄰㙡扢〹捦㑤ㄳ愱慦挳㐴㘰昰㕥㤹〸㈷㤰ㄱ㡣攲㠷㈶㐲攴〳㤹㐷挱收㈶〲㘳㝢ㄹ㠶㘰㈲搴㥡㜰㙢昰〴㜶㠵㑤晦搸㌱㕣扣㤵㍥攲昹㔰㕡晥っ㍣㔲㔷㜶ㄶ㉦ㄸ㥥㘱敦㔵攵㐷㍤〹㘵收㉤攱㈶户敡挲ㅥ㔷㙦㔸愳㍡㙤攰慢㠸扤散㍢晥㤴慤摤㕦〷愶挲ㄴ扡敦㐵㐹ㄴ㕦㠳愷㐴昰摣㤰晢挸㥥敦ㅥ晤搳㈳㑦ㅣ收㙤戵㠸㔶ぢ户㈲摦㑢挸㥥昶〴㠲扡㠹㡢㈲㤷昳挳㥣ㄳ昸㐴挹㕡慤换㘹挳㔳㔶㤰慦摢㜱㌶㈴扣〴㘱㠶挴户ㅤ㑣㑣摣㝢〸㑤捣㠹㌶㜷愷晡戰㐹戹〸㈷ㄲㄳ㔷㍥扤㌸㙣㈸扡㉡戲ㅥ慤捤挲昷愱㡡㕥攵㐴搲㔶㈲㑦㥤㑣㐲㝣慦㕤搷ㅤ愴慥ぢて㌲っ晢挷㔲ち昱〷㔲㐸昲㈰挳ぢ〱㑡㑡㥤㐲愶㜰ㅢ㐰㐶㘴慤㍤挴㑢㝦挰㡥㄰㤰捤㑢㝦㍤㝥挴㠲㕤〴ㄶ㘳㕦㝣慦㈷㕡摡愲戱㙡㘲愸㔶搹㌴㡢挸愸挳ぢぢ㈶攳搲㤴愵㜳〰愵㕢㜶㐷昱㈵㐳㜶ㄸ㜸ぢㄹ扢㘰搳搷㔶戶敦㜵ㅡ戸昹〱㍤㔳㔴ち挳搹捤㘲ㅣ㐸㔵㡣㉥㙣㕡づ㡢〸㠷挳㙣戳搳㐰㔴〵㥤攵散挵愹ㄴ挱㍦㝥㈹挴晡昱搶搰㤷户搷㔰挷㌹晤㔸㈰㝦戰扦慥换㘰㙣扣㤵ㅣ〳〹扢愵㔶愵昰㝡昸㘹㜴攱愲㜳㐲㙦㘵搵戳㌸㠸㍦㌱㘷昵㘹ㅤ晡㥦搱㙢挵㔹㘷搸㥢㘱散㤴晥晦〰ち㌶搵晦㠲戱㌷㠵挸て㐶ㄹ㍥ㄴㄸ㍦搹㌴㘴挳ㅤ㠱㘷ㅢ挱ㅢ㜵㌰搶㔵㤶㈱敦㌰户㠸㡦㔷挳㙡㈵挱攱昷捡户㕦㡤㘸昶愵㙤㍢搰㔵〰㌲㌶㔴昸㌶㐴㔰搷晥㘹戹ㄵ㥦㙥㡢て愲攳㥥ㄳ㔶搵㜳㝤搷っ挶ㄶㄱ昴ㅤ攳户㘷㈶㙣㥥㈹昱慤㜶愱㜶〳㜶㘲昰挳攸㜳㜲ㅥ〲晢愴っ㕥慦㔸㈴㈳ぢ㕢㡢㘴昰㍢愴㤱㐴㜸㠹摡挱扦捣扣扦㘱搴昱改敡㍣㝣㥤〱㡢戶㠵戲ぢ㍤捥敤㌷㌴戸㜵戸愳昵㝥昸㠳㘴㝤〲挱㌱戵㠴〷㍦捣㝤㙤摦㠳㜴摢㘸㙤㍥㕢昶收㜳㉢ㄷ㥥〷㑥户昶㤶㌴挹昰㥤晣㈲戹慣㔷〸㜱㘹晦㌰晥㙥摤㐱换搱㐶㐱攷搱〷摤㜴㠴㡤搷攱㍥摢㐲昴晢㉣扡㡡㈹〲晣㜴㈳捡昰㐱搰换㐷㔶ㄴ摦挰戲挸〰挸攷㡡㔵㠰敥㔴晤散㐶㔴㍤ㄲぢ㘴挱㌳〶挹戱㉣㥥㐱㐳㙥㔷戸㙣戰〴㤷㉤搴㔹〲㜹㍤敥㠱㝣㑥昰㉣愱㈶昲㔵㜴㘸㑥挴㐲㘹昷㠹㝣㘵愳㠹〸㕡〱㙡愱挹昱㐷㘲㉤愲搷㔱慤摢〴づ㠱ぢ㌰㑣戱㐸㔹㔳っ㐳ぢ㍦㈶㘶㤰㝥ㅢ晤㝤改昰㙦㕥㘴晡挷㘱愱〴㈱慡搲㤳愷㈰㔴㤳㝦㌲㌹㜹て愵摤㈷晦戹㡤㈶㍦㐲ㄹ挹㤹攸〱挰㔰㥦愸攰㡦㕡㑣〳ㄹ敥㈳㝦攲㉣〱㝥愹㔹㡣ㄸ㈸㔱㝤㉦㈰㠳扥摣㜰搵敡㈲㌲㜱摦〲搷㥦昱㜱㡦戲㡦㜸ㄱ㤲扥㥣㘲攸㡣㉤㠶㕡戱㘴㐷㕥搸㙤㈱ㅢ戰㈴㝥㉤摢㔵愴ㄷ㝢㡣昰㡢㑦挶㠸㌹㜶㉣晥㜲㑡㡢㘲㑥㈰㡣搰㈲㈵晤㜰㈳挵㈷攲挶㍦㜸愱攵㌲㐵〵ㄲ愸㈷㙣㑣㍡㔳㡤㍦ㅥ㌷㍥㠰慦戲㔴㥢ㅣ㙦㄰㌰扤ㄴ㌷㈶㍤慡挶㑦挴㡤晦㝥㘰㙦戳㜱㑣㠷攱挸〵ㄲ㐹㠶慤慢慣晦挴ㄷ摡挳㘸㕥㌰愹㍦〷捣戰㤸㤲㔳㠵㡥敢㑡㠳づ攲㌲㠸㠷㙦愴攷㜰户〹㔷㐰㈰㘴挳晦㔵挲㜱摣㜹㥡㌵〲〳㥦㐰慦㈱搸散改敡㠹㥤㡢收扣㠷㠲㝥昳戸㡦㌳㔵㙤㕢㤱〸捣㠱㝣戸扦㥢㌸攵㌳㑣挷搶㝥挴㐱㌲㡤㜷㐸㝡㔳ㅥ㉡戰㤲ㄷㅦ㡤㌱㥢㝢扣㐵㌳晡㘳㐰づ愴㈳㈰㌳晡攳㠰㘱㈰㠶户㤵㜳㈳攴㝦挵摣ㅦ㘵挵挷〸㥥〰㈸ぢ㌲㍢改愰昸㜱㠰攱昸㝦㔴㌱戶愶晣㈵㥡㜸㈴㝥㔹㤲㡣昴㑦戲挳愷〰晡攰扥ㄵㄱㄱ㤶昵㑦愳㈴昹㔲ちづ昵搲捦戰攲戳〴㥦〳㈸ㄷ㌸搹㉤敦ㅡ搷搴愳收晡㍣扡㡡挷〹昰搳㥦㡣㌲㝣㈸㜰ㅦ摥摤摤㔶收㔱㌸晥戰ㅦ愱捥搴ㄷ晣昷攲㡢晣㜵㉥扡て晦㐳㤲㠲㌲散昳摡㍤扤㡤㐵㈶愰㑤慥㝥慢搸散搷㌰づ搷搵㡡愰㜰㐴㉡㤵㤲㔶ㄴ挴㌷ㄷ㉣㕣扣㠱㙦㌹愴㉡㠴㈰つ愸ち㈷慡㌸㡣〲晤㡢㙣㑡ㅣㄳ㑦晡㤷昸㐴搴慡㑤晣㜲㤴攱㠳㈰㕥㔵昷㠷愲敥昱ぢ㠹㙢㔵㘱戵扤㤰昸㔷ㄵ㉢挹ㄷ㍥捤挱ㄴ戲㤰㐹㙢㈵㈲㑤搱搰㌳挸っ昵つ㜳㙥て攰愷㕤ㄴ搵戳戵戳㘷㕦ㅥ捥㡦㕤㥤晦挰晢〶㥦㝥改搷㝦㝥敡㜷ㅦ㍡昴户㔷㥥㝤昶㜷㝦㜹敡挵㔷㝥戶㝣攸㤷捦㍦晦㡢晢扥昹攲㥦㜷㥢捦㘹㉦扣㍣昷摣愳㤳攷ㅦ㝤搸㍣㝤敢搱㐷㍦昸搰晤㤳ぢ㤷㡤昷昵昵昷摦㌲晡慢慢摥㍥昲昸挳㍦ㄲ㍦晦挳㤵㡥㔰换挵ぢ搲搳攰戲搵㌴扥㡥っ愶挱ㄹ扦愱搳攰㜲搵㐶㉤㐷ㅢ㌵㡤㠲ㄲ㝣ㅡ㥣㠰慡㌰搲ㄵ〳晦〱挱㔸戱㌳</t>
  </si>
  <si>
    <t>CB_Block_11.1.1000.0:1</t>
  </si>
  <si>
    <t>㜸〱慤㔶摤㙥攳㐴ㄴ戶㥤㌸戱㤳戴昵戶〲㠴挴㐵戵㠰㤰搸㘲㌵摡慤戶㝢㔱㉤㡥㥢㙥㉡㌶摢㄰㤷摤换搱挴㍥㙤扣敢㥦捡㘳㠷捤㑡㍣〸㍣〹㐸㍣〳㑦挲つㄷ㈰敥攰ㅣ㈷㑥攲㌶㉡㉡摡ㄳ㘷㍣㌳攷㍢扦㜳㘶挶㤲㉣㐹搲㍦㐸昴㈶慡㔲攷ㄳ㘷㉡㔲〸㑤㍢づ〲㜰㔳㍦㡥㠴㘹㈵〹㥦㍥昷㐵㕡㐱㐰㡤昹挸ㄷ㉡ㄳ晥㍢搰搸〴ㄲ㠱㈰㔵㤲㌴㑤㔷㤰㑦㑡攸㙦ㄴ〳㥤愴㕡㔵㙣捥敤捥搹攸㌵㙡㜵搲㌸㠱扤摤㤷㌳搹愳㜶摢㙣㥢てㅦ敦ㅦ㥡晢㝢扢㜶ㄶ愴㔹〲㐷ㄱ㘴㘹挲㠳扤摤㐱㌶ち㝣昷ㅢ㤸㥥挷㙦㈰㍡㠲搱晥挳ㄱ㝦㜴搸㝥㜴㜰㜰昱攴挹㘱ぢ㑤㑢㉦散捥㈰㠱ぢ昱㥥㜴慡攴昲挱㌱戸㍥挵〶㤰昸搱愵㘹㜷昰㔹昱摦㐴㡢㥥敦㘲㈸收㤹㐳㝤㘷っ㤰㌶㔱戲挹昲㙥敥搱㈶敢扥㜵㈱戰㈱〸㠶攸攰㌶挳挴㘶㘱㜴㤶昸㄰愵㥣昲慢戳㌱ㄷ挷㍣〵搱愴㕥て戸㠷㜹搹㘱㜹㤲扣ㄹ摣㐱ㄷ㐰ㄸ昳戹㘱晣晤㙣愲っ敡㑥㔰攵㉡㘸㌶戱ㄱ㝥㈷㘰挸愳㑢㜸挱㐳㔰挳㘷㤹敦㔵㘹㌹ㄴ㈴愹昲搵扡㌰㜳搷㤷〱㉥挳愱㘴户搷㐹慣㈶挶敥㍣㌶㑢㔱㤳㌵ㄹ愹㌹㉦慥摣〵㥣搳㙢搴搴㠹㉢㐹つ㈴愹晡㌷ㄶ攴㉡㡣昲愹㌰慥戰㤱挲㕣㠵㜹ち〳㠵㕤㈸散㔲㘱㘳㠵昹ち㝢慤戰㌷㠸㈹㐸慢搷㈹㉥愲㜷戵㍦㍥晦昴户㡦扥晥㔹㌶㥣㉦敥晦晡㐳㑢㐷搰挰敥昴㈰戸挲っ扦慦㕡愱ㄸ敥㤶挴㕤㤴搸㘶㐳戸㑣㐰㔰㠱昵㈱ㅤ挷ㅥ㉥晦〰㤷㌹昶捥愷㔷搰㘲づ㜰ㄱ㐷㍣昰搳改㈶㥢㈱㥣扥㘵㘵㘹㝣㙦㌹㥣〹㠸〲㜰㕣〶攰昰ㅡ挰改㍡愴㘱慢搰㠰挳攰㙡捣ㄷ昲㘵昶昱㑤㜶〷㔲扥㔱㐸攷摥ㄴ戲㡥㔵㔲攵㔸捦㜸ㄸ㉥㌴昷㕥攵攰挲㌰つ㔷つ攳㤸㌴慦戰㜳改㠵愵㍥㜹扤戰搴㉦挹㍡晤㙢㤶㜲昰㔲㔵ㄹ摤㝢搵㉦㕢㥡㐹㙦㌱戲㄰攲㠶㜴慤攱㘹摦晡㠰㜶〰㈴㄰戹㈰ㅥ㥣㐵昶㤸昶㡦㜷㝦㜵昶愲晢㌶㠵挸〳㙦㤰挴㔸㑦改昴㥣㡦〲昸戰〴戱昰〴㥤〰㌲㍥㉥㑤㥦挴㙥㈶散㌸㑡㤳㌸㈸㜳㉣㙦挲搱愶搷㡦㍤㤰昲㕤㡡戵㜲㤳㉡ㄵ㔹㤶攴㉦搷㙤挴㜹㜵㥢换㕡敡㐶㔹㐸愵晦攰㌶昸㑡戹㔱晤ㄱ㕥搶昰㔷㤳㙢昳㘷昱摡㤹敦攲晣㜸改昱挸ぢ㈰戹昵摡㤰改搴㤰搴扦㜰㙢摦挱㘵扡㐴敡ㄳㅥ㘴挰㤸愴㤱㐳㐴敡㥦愸攵㉥㤱慣㔷㠳改挳〰昳㉢敡愷ㅦ㠹㝥㜹㉡ㄷ㥤攲晤摦ㄳ晦〳搹搰㕢㘸ㄹ㑦㍡㤵㡥扤扢ㅦ愵攴戲㥥㥦攱㜸㈳ち㌵㍣㠹ㄳ㔱愹慣㑢㝦㡦㡢㜱㑡㈵㜹㉢㤳㡥㘶㝤㠳㥡㑤㙣㘴㜲㡥㔲愳㙦㘱㔳㔰㤵昸户㙡愱㔸ㅡ捦㘳敥㥤㜰扡㄰敢昳㥢㕤戳攳昰㡡㈷㤰ㄸ攴㡣㡤㌵㡤㝢㘵攲攳晤愶搱㠴㠳㕦㄰㔵ち愳昶㤲㤶㔹㐸㔲愵㈲愹㙡㔳㕢㘷敢戴搰昵搹㥡㉦㤴搳ㅢ晡㝦晦昶昰㈹昹摦㘸搰㕤慥ㅢ搴摣挳㐶愶㌰㈹㥥㙢㠰㙤〲散㘰㘳ㄴ㤱ㅢ㈴㐳㘴㤰ㅣ㤱㐱㈰㈲㠳㠰㐴捤㝦〱㍣敢搷㈶</t>
  </si>
  <si>
    <t>Decisioneering:11.1.1000.0</t>
  </si>
  <si>
    <t>SliderValue</t>
  </si>
  <si>
    <t>MinParm</t>
  </si>
  <si>
    <t>MaxParm</t>
  </si>
  <si>
    <t>Workforce Cost Rate</t>
  </si>
  <si>
    <t>Susceptible Cost Rate</t>
  </si>
  <si>
    <t>TextParm</t>
  </si>
  <si>
    <t>ParmLabel</t>
  </si>
  <si>
    <t>ParmValue</t>
  </si>
  <si>
    <t>Recovered</t>
  </si>
  <si>
    <t>betaI</t>
  </si>
  <si>
    <t>gammaR</t>
  </si>
  <si>
    <t>N0</t>
  </si>
  <si>
    <t>Resid(w)</t>
  </si>
  <si>
    <t>Attack Rate</t>
  </si>
  <si>
    <t>Resid(w)^2</t>
  </si>
  <si>
    <t>Workforce Size</t>
  </si>
  <si>
    <t>Mild Symptoms Rate</t>
  </si>
  <si>
    <t>Mild</t>
  </si>
  <si>
    <t>Workforce Only Option</t>
  </si>
  <si>
    <t>SE_Resid</t>
  </si>
  <si>
    <t>ConfidenceInterval</t>
  </si>
  <si>
    <t>RSQ</t>
  </si>
  <si>
    <t>(i-mean(I))^2</t>
  </si>
  <si>
    <t>Degrees of Freedom</t>
  </si>
  <si>
    <t>LCL</t>
  </si>
  <si>
    <t>UCL</t>
  </si>
  <si>
    <t>Probability</t>
  </si>
  <si>
    <t>(I-mean(I))^2</t>
  </si>
  <si>
    <t xml:space="preserve">S(t+1) = S(t) - beta*S(t)*I(t)/N </t>
  </si>
  <si>
    <t>I(t+1) = I(t) + beta*S(t)*I(t)/N - gamma*I(t)</t>
  </si>
  <si>
    <t>R(t+1) = R(t) + gamma*I(t+1)</t>
  </si>
  <si>
    <t>e(t) = I(t) - i(t-1) - beta*S(t-1)*I(t-1)/N + gamma*I(t-1)</t>
  </si>
  <si>
    <t>grad(e(t)) = [-S(t-1)*I(t-1)/N  I(t-1)]</t>
  </si>
  <si>
    <t>Error term</t>
  </si>
  <si>
    <t>Parameter gradient</t>
  </si>
  <si>
    <t>de(t)/dbeta</t>
  </si>
  <si>
    <t>de(t)/dgamma</t>
  </si>
  <si>
    <t>D(e,beta)</t>
  </si>
  <si>
    <t>D(e,gamma)</t>
  </si>
  <si>
    <t>t-stat</t>
  </si>
  <si>
    <t>p-value</t>
  </si>
  <si>
    <t>se</t>
  </si>
  <si>
    <t>value</t>
  </si>
  <si>
    <t>parameter</t>
  </si>
  <si>
    <t>Parameter Cross-Jacobian</t>
  </si>
  <si>
    <t>Parameter Jacobian</t>
  </si>
  <si>
    <t>Inverse Cross-Jacobian</t>
  </si>
  <si>
    <t>Integer Values for Inverse</t>
  </si>
  <si>
    <t>F-stat</t>
  </si>
  <si>
    <t>Minimum</t>
  </si>
  <si>
    <t>Likely</t>
  </si>
  <si>
    <t>Maximum</t>
  </si>
  <si>
    <t>Distribution</t>
  </si>
  <si>
    <t>Beta-Pert</t>
  </si>
  <si>
    <t>Poisson</t>
  </si>
  <si>
    <t>Assumption</t>
  </si>
  <si>
    <t>Forecast</t>
  </si>
  <si>
    <t>d2ee86c1-2a98-4bff-875a-cf57237b9f31</t>
  </si>
  <si>
    <t>㜸〱敤㕣㕢㙣ㅣ搵ㄹ摥ㄹ敦慥㜷搶㜶㙣攲㤰㄰㉥挱摣㉦㡥㤶㌸㤷ㄲ㑡搳挴ㄷ㥣〴㜲㌱戱ㄳ㡡㈸㕤挶扢㘷散㐹㜶㘶㥤㤹㔹㈷㠶戴つ㉤㠵㐲㕢㔵搰㠷ㄶ㑡㕢㠴㉡㔴㕥㤰攸〳㠲㤶㍥㔴慡搴慡㠲㡡〷㡡搴㠷㑡ㄴ㔵敤㐳慢㉡㔲㕦㜸㐰愲摦㜷㘶㘶㜷㜶搷㍢㜶㌶搰㍡㤵㈷搹㍦㘷捥晤㥣晦㝡晥晦㑣ㄲ㑡㈲㤱昸ㄸて晦攵㤳㘴攲捡挹〵搷ㄳ㔶㙥戴㕣㉡㠹㠲㘷㤶㙤㌷㌷散㌸晡挲〱搳昵㍡㔰㈱㥤㌷㔱敥愶昲慥昹戰挸攴攷㠵攳愲㔲㉡㤱挸㘴㌴ㄵ攵散㠴扦扥昰㐵㘳慢敥㈴挰搴攸挸攱改攳攸㜵搲㉢㍢㘲昳挰㌱扦敤慥愱愱摣㔰㙥摢敤㕢㜶收戶㙣ㅥㄸ慤㤴扣㡡㈳㜶搹愲攲㌹㝡㘹昳挰㐴㘵扡㘴ㄶ敥ㄱぢ㔳攵ㄳ挲摥㈵愶户㙣㥢搶户敦ㅣ摡扥㘳㠷㜱挷ㅤ㍢扢㌱㜴攲搰攸挸㠴㈳っ昷ㄳ敡㌳挵㈹㙦ㅦㄳ〵㤳㙢ㄳ挲㌱敤㤹摣攸〸晥㐶收㡦户摢㜳㤳戳㐲㜸ㅣ㕡㌸挲㉥〸㔷㐳挳㉥㙢搸㜵㉢搶ㅣ㌷㑦戳挶戱搴㠲敥㝡㈹㙢㔴㤴㑡㥡ㄵ昶㥡戱づ㘳敦㑡晡㐲户㌵㈹㙣搷昴捣㜹搳㕢㐸㕢㔳攸愸搸㘳ㅤ㜵挵ㄱ摤㥥ㄱ㠷㜴㑢愴慣扤ㄵ戳㤸昴㥦㐴挷㑤㘱ㄷ搱㠹挹攵攷㠶㕤㙢㜴㔶㜷攴㡣㕣㙥㑣㑣摤㜱愷㔰㕦昷扡搶晤㜲敡㜲〴昶㜹㐳敢㝡㈸㌹愶㍢搵㥡㠳慤㙢〶㡢慦㥦挱㙤慤敢㐷昶愸扥捤㉤慤摢挸慤慣慦慤㜴〵昴㉤㜷ㄴ㡢搱搲〴㥤〴ㄹ〲㈲㔰换ㄲ㜴ㄱ㜴〳㈸挹㝦㠳㑢愲つ㔹愴收㜵㌵㍦慤收ぢ㙡扥愸收㠵㥡㌷搴晣㡣㥡㥦㔵昳愶㥡㍦慥收㑦愰㑥昸㘴㍡㍢搵攰㤹㝡昹愹㐷戴愹昷昶扤昲捥㜳㝢搶㥢㝦㥣改㕥㠳㑡昷〶㤳ㅡ㜳昴㔳㈰戵ㅡㄵ㙦捤㙤攱㥦愵戹〲㑣㘱散㌰㙥㌷㠶㠶㡡㍢戶攸摢昴ㄴ㤷ㄵ㠳晣㍡㐲改㐳摤㙥攳㍥搳㉥㤶㑦㐹摣㕤㌹愲扢愲戶㜱㠳㐱搹㐸戹㘲ㄷ摤㉢ㄶ㉦㥣昴㜴㑦㕣摥㔸㔶敢愴愹搹㈴搸㑡戸㜲扣㑤㡤捤㡥改愵㡡ㄸ㍥㙤晡挵㔷㌵ㄴ㕢ㄳ㑥㜹扡㜵改戸㈳㑥㔶㑢㥢㘶㌴っ愱㌶㉦晢㙥㕡愵㕦攴捦㙢㘰㜴戶散ち㕢㑥㙦搰㥡㌰ぢ㈷㠴㌳㈹㈸ㄲ㐵㔱㉥昵㔲ㄶ〵㕣㍦㜸搸挶㐲挱慤挵㙢愳戹挶㕤愷㍤㌰戳㈸㘲扥㜳挲昱ㄶ愶昴改㤲㔸㕦㔷挵ㅦㄳ〵ㅢ敢戲挷换㠵㡡㍢㕡戶㍤愷㕣慡㉦ㄹ㉥捥敢㤰㌴挵㠳攵愲㐸㈶ㄳ㔲㈸㐰攰㜶㜴㈸㑡攲搶搶扣㈰ㄱㄱ㐱㌱ㄹ昹戲㝡戲换ㅤ挱敡戰㡡㤲㈰㑤慡搷㉦搱ㄹ攷㉢㘵㑣っ〷㐶搶㐴晤挱㐱㙦㕥愲摢㉡收㍥摤捡慡摡ㅦ慣晥慥㜹㘱㝢晢㜴扢㔸ㄲ㑥慣昶㔳㌸㈳慤ㄷ㈰㜵づ〲愱攵敥㔱搵㈹愷㤵㠵搴㈹戳攸捤愶㘷㠵㌹㌳敢㈱てㅡ㌲㤳攱搶㌶㍤摡㈵挸搲搶ㄲ昴〳㘴戳㠹昴㍡㔶㑡㘷昱㈴㔲㤴㑥㌱扣㕣㈷挸搹慥㡥㤷扢㡤㜱戳攴〹㕦㈸昷ㅡ挰㠸慦搵㈴晡㝡㐸愲㡥㕥昰ㄵ挶㍡㘳ㄴ㔴慡㥢戶户㔰攳摢㈶㉥昱㠹㘸㔵ㄶ慣㌸㔹㐰㔱㔰㉦て㘲㜸つ㐴搳㈰つ攲㉢㐷㠸㠸㙣㄰愳搹搱㜳㍤㤱戱㝥㡣㡣㐰晤㈸ㄱ戲昶㤶搶㌲㠲挴摥㑣愴㙣搴㤲ㅦ㔷愵搹㘲戶扣㉦捤㉥挵挶㘹敢〹㌶㄰㕣㐶戰ㄱ㐰昹ㅢ㈴ㅣ愵ㅣ搲昵㡦㜶〵摥戵㉢〹慥〲㠰㝣搲㈸㜳〲㔱㐵ㅢ㙡㌹㜶㈴敢昵挰㑥㤶㐶戱㉦㡡㘸ㄹ㔷敤捣ㅥ㑢㈲㍡戰㍡㔷㠶慥㑤㑡ㅤ㝢㘳㙢摡㡣㉥㠷ㄴㄹ㔳㌵扡搶㈵慡㐶㌷㠲㔵摢搴㕢㔷愳愹㌶㐰㜰つ㠰慦㔸㘸散㉥捦㥡愷㌹㜹㔱㤸㐴扥㈱搴愶㜲て㠸㤸收㝦㡣㠰㙢㍡扡慣摡捦㌴〵〷㡤㡢摥㝥摥摣㥡户〳愴㌷攸捣㔵㥤㐳㕦搱㜹㕡搰搷㠲扤㤴㍦户搴㉦搷愳㔸扢㠱攰㐶㠰〶晤挲㤳昷昹㝡〹愴㐹㙣㐵㌰户㤶ㅥㄷ㘹攱㑥㉤捣〹愹㝤扡㡤㈹摤㤹ㄱㅥ扣ㄷ晢挷㘰〷㤷ㅤ㐷㤴㜰愰㉤捡っ㥥㕤㌶搴㘷扡攳㑥搹㘲晥慡㝤散㕥ㄴ㡡㈱㤹㔴㍢ㄲつ昶㜱㡣㥤ㄹ昱㌷㐵㈸㠷晡㜷㕢㙢㈱ㄱ㘹㔴㑦㕥㙣ㄷ㝦戶㕣㤵㈴㙤㐸㤲㥢戱慤摡㉤〰㤰ㄲ捡㝢㉤㈵捡㈰慢㙤㤶搵敡慤㔵㝡昷㘲㑥㈶つ晥挳㈶㌹搲攵㍢㙢㐷攰㍢㜰㝢慣㐹搳慡ち㡢㉥㙢㐲㌸〵昸ㄵ捣㤲挸晡㉥㔹㡡㥡㔵㔹㜱㤱挸㡡㡥㡥愶戳㜴㡣㙦㑤搲㐹㠳㤴㠸攵昶搸挲㤸㜳㜸㡤愸攸㠲愴㔰㠹㜱ぢ㔵㈵㄰㈹㡦㜵㔷㐵㑣ㅢ㈲㈶㠷㡤搳㙥㈳搸㐲㌰〴㤰晡〳㈴捤㜲㌷㥥愱戰捥㜹扡戳昳昹㐴㠶㘸㤰敥挱户㕢ち慢敤ㅣ㘶〷挱㘷〰ㅡ捣ㅦ㍡ㅦ㘳〸㔱愲㍣㐲㠸戴㤶㌴攳㤸㈹㑥㤱〶搶ㄸ〸㉡㡤㔶㕣慦㙣㌱慡搴㘳㡣㤵て㤵扤㌱搳㥤㐳ㄴ慡摦〸ㄲ昷捤ちㅢ搴攵挰昶㘹挸㉢捦捤㠹愲㘶㑣㤶㉢㄰㙤晢挷㔶挲愱ㅣ敢㠳㉤㈹捦攵慡㠲愷扤戳㌱扡㔰攴㠹ㄸ扥㔶㝡㘲㤷攵昹收愱慦户戶愳㔳愶㔷ㄲ㕤㠶捦㜴㑣㘷っ散㈲愲〶挵㑥㘳㙡搶ㄱ㘲慣挷搸敢㤸挵㤲㘹ぢ㈲〳㌶㈶〳㜵〷挴っ㈲〴ㄳ㘵挶晦捡㜶㡦㌱攵攸戶㍢愷㌳㤸戸戰戶敥㑤㠶㐴㔲挶㠸㘹扢ㄸ㐶㘲㤱改㕥㘳㜲戶㝣ち搱摡㡡㘵敦搵攷摣ㄵ㠱ㄵㄲ扤晦㐸搴㈸慡愲慡㑡㐶捤戴㡢ㅦㅥ挸ㄳ㠹慤昸㈵〹㈴慥ㄲ㈹晡换㘳戴㌷敤晡㈰㍥㐳㍢㥤㜳敡㐶攴愸㥡搹ㄱ㉢㠵挹愹摡㑥戶戹〳攰敥扤㐷昷搷愲㜲ㄷㄴ慦㑥搱挳ㅦ㈳攳㈵㔹㔴㠳㈰昴捦慤昱㐹㠵㜹愴ㅣ㜰㈰㌰捥户㐶昲换ㅡ戲づ愹㙦㑤㉤㌹㡥㈸㔲户㜱㐰㥦ㄶ㈵挴愲㉤摤㕢攳扦搰㡣戵昴㤲ㅢ㤴㡤㤶㉤㑢㈷㘹㤱㉣㈷ぢ㍡㈹㜸戸攲㤵て㥡戶㘶〰㐸晡ぢ戲昴搳挸搲㑦换慣㙥攳〸挳㠲㌲捤扥捡㌳扡㘳㝡戳㤶㔹挸昰㠵愱扢ㄵ㐱㤳㘰㜲㑡摥昰〹㘵挶㐰㠳㌵㝦ㄴ㈶㥢㥢〳扡㜳㤰愳摣㍡愲ㅦ㤴慢㉡㘹晣㔱摡㜴㉣㐱挰㐸㉦愹㜶㈷㝡㑢挹㥢ㄱ㄰㌹昲㌹ㄷ摥扦㌸昷㔵攴昸㝥㌹㘲㍤㠶㐴攰ㄱ㡣〸㜹扡户搳挶㔱摢昴㠰㍤㘲㙣摣昴挶㕣愰ㅣ〰㐹㜹扣扤㕣㘲㌵搲㘸戰慡ㄵ慥㙥㉥慡㔳ㄳ㥢㥡换愳㝡攳晡㐵㡡㝤㡤ㄲ㔱㈴㑢㔵㤲㥡㘵㤱㌹慥㈴㔵愳㐸挵ㅤ㙡ㅢ㈵捥㙤㕡摢㜷㑡㤱ぢ㔰㑣㤲㘶ㄲ摡㉥㐹㈸〸昲㤲㍡愰愳攸慦㡦㈷㡦㐸戴㠶㌶㐰㤶㝡捡捦敢〹挲㠱晢㜱攵愴㈸戲挱ㅢ昸㝢㑤㤰㍣㕣昱敡㑡昴搳晤㐱挹㜰愹㜴搸㠶㤵㔰搰㥤攲ち㘱㘹慣捤搷㌰㤲㍢摢搵晥晥昶㐶ㄸ㌱㘰㐳㠶㐴㘲晣挰㘰㐳㌰㔷㈴㥡㑡敢慣㠷㕢㕤捤捥昰敤愰搰㙤㠹㠱㐹慦㌸㈶收愵ㄹ㔶戳攴晢㘵㠳敡㘹㔱捡㔱捤ㄸ㥥㜶愱搲㍤捡昱㈰㈵ㄹ㕣㌳㡥搰㉤㠵ぢっ㄰扢㐱㙡愲攰㈱慣㕢敤㠰㈷㠳㤵㠳ㅤ散㠸ㅦ㌶愱㜵㐶〹㥡㡥㈱摣晡㐵㤰㜷摡挴㈸〴愹㈱㥦㝦敤㔶㥥㝢㤶捦换扢ㄳ㘱㈲㘰㈲㠶扡㘲慣〷㈰㌷ㅡ㤵㈴ㄷ昵㠷挱㜲㕦戲㐹愱搵ㅤ收搱挴攸愱挹攷㜸戸挱挳㌸㔶㉦搹愶㠴㍢㙥㥥〹㙤㕡㕡㔸㘳散户ぢ愵㑡㔱㐸㔵ㅣ捡㙡愹㤱㔷〴扥攴昵㍦㥦㥢㘲昶㈵搸㤴晤㌸㑡㜱挹㐴㔲晢㜶户昶㜹㌴㤷㐲づ㝤昸戲㡤挱挷ㄸ户㥣っ㠶㌵摤㔱愰㝤戸戶㜶㜹㐱㕥㥣㠳㐸㙢捡愲㉣㍢㠰扢㜸搵〸戲攴戶㐸戵〳攵〳㘵摡散㤱慣㝤愶㥦戵㈲㜰㠴㜵晡〲㉦㥤㠶㌱搲㈶㜷戰㤳挴戹㈰戲㝢敥慢昲㌵㜱㙥㜷㘰㝣㈸㡣敦昲ㄴ㤴挰慥㠲㤱㘸㜰慢㌵慢㕢㘱攴㤷㤶户戶〷㐰㘱〸㤸〶㉤㙡晡〶捥〸搲㑢ㅢ㌸っ㐶挶㐴㐷愳㠱㔴挶㈸晢攱戰〷搲挰㑤㍣㐸㑦㤵愱㠴扣㜵昲㔲㔸㜸㉦㜱搰挲ㄱ愸散慣㙦挸㥣搰㍤㕣㝤戱㌷㌶㘴てㄷ㡢㌴㜷攱㥦㕢ㄱ㔸挵戵つ摦ㅣ㕤搷㜰㈱㑢慥㠹昶摤㜵つ〵挱㐵挱慤㘳戹㝤扡㔷㤸㥤昴ㄶ晣㑢㕢敤㤲㐴敡㔷昰㐷㉣㍡㍡㙤收愴捤㑢愸昳摣晢散〹扢㝣捡㤶昳㑡戹扣昱㐷㉢㔶敢散攴㈴戳㠹㡦昱㐷㍥㙡㈲昵㈶㝡㕣捥戴搹㐱捤㐱挲㝥攴攳㑢㠳〱愴㘳攸〴戶㝢昵挶〰改㘴㕤〳㥤㐸㐱戰㑡㈸昶捣㈷㐶㈸捡㉦㠱㔶ㄲ㡢㝦㈴挷㥥扦〴搶㔷㝥㠱ㅣ㈲ㅣ敦㠱ㄸ㐹㕤㠳㔴っ敡愴㈰て慥㜷昰㌲挸晦て㤶㐲㙥㕥㤴㥤晥ぢ捣慣扣搱㠸愲㑤㐴搱敢捤㈸㘲㈰昶扣㐲摥㥣晤敡㔱昳㔳扦搶晢㍦㍣㙡摥つっ昳㤱搶ㄸ㠲㙡っ挶㔷㡤㠱㡥㈶㘳攰〶ㄴ㑢㘳攰ㅥ戶㘱扣摥㌷〶〲㙦挷㐱㘴㉣㙤っ㌰㡡ㄷ㘳昲㐵㠲慡ㄱ〷〶捦㕡敢㉤㝡挲昶攱㝡慤㜰ㄱ戹㠷㝡㜲㐷攱㝢摡搰㥣㍤愱㍢扡戵㔱收敦㜵〴搴㤶㌳㠵晢摡戲〹㕢㕣扥㘸㠹㙣戴㠸㔷㈲昴愷慦㝡㑥㤶㜷㑢ㅤ㤸昲ㅦ摦㔱慦㘴㤴昴〵昸㐴ㄴ㥥㄰ㄲ㡦慣㝢㘵敦㕦ㅥ㝥㙣㌷敦愵〵戴㥡㘲㈰戸㥤攰㍣㉤〷㠴㙦㈳㔷㐲㉥攵攷㌷〷昱㈱㤲㌹㔷ㄲ㈳扡㈳敤ㅤ㔷戳挲愴㑦㜸ㄱ挲昴㠹㙦㈵ㄸ㤳戸攱攰ㅢ㤳戹〶挷愶晣㝣㐹㍡〳㜳㤱㠹㑢敦㕤ㄸ㈰㔴㕡慡慣㌶敤捡搴捦愱㜴捥㜳㈲昵昶㈰捦㤷㝣ㄴ攵搵㐶慤戶㠳㕡㑤㥡㠹捡㈰㙡㠴㔲ち㤱〶㔲㐸昴挸挲搰扦㤴㔲ㄳ㐸愴㜲〰㌱㌱戴挶㘰㉥㑦晥慢㐲㐰㔴慦昷戵昹愹ち㜶ㄱ㔸っ扤敥敤㥥㕤㘹㜵㠶慡㠹㐱㔹㜹晡戸ㄷ〹㜹㑣㘱〶愳戴㌲昷〸ㄲ攱㤳ㅡ㐲㙡搹㡥㈷づ搲㘳昹㈱㌶㥦戱㔳ㄶ扤㙡㔹敢㉥扢㠲㍢ㅥ搰㌳㘹愹㌰散戵捣挶搱㔳㐶攳晣慡㔹㍦㡢戰搷㑦㔶ㅢ㜵〵㐵搰㔹昶㐶㥣㍦ㄱ收攳昷㐰㉣ㅦ慣㜵㝤㘹㘳〹㜵㥣摤㠹〵昲〷晢㙢㔳っ㘳㘳㔴㜲っ㈴散戲㙡㘵晣㑢攰㤳㘸㈲敤㜹㐵慢㈵㌹㤶愲㌰ㅡㅤ㜲㔶㠷摡愴晦ㄹ愷㤶㥣㌵挵摡っ㔸搷改晦㘳挸㔸㔲晦㉢㡣戲㐹㤴摤ㄷ㈴昸㤲㘲愴㘴挹攰っ㜷〴㍥㙣㠴㘹攴ㄱ㔸㤳㐹〶户晤搴㈴㍥㔱昵㡢愵〴㠷㠷㉢搹㜸〹愲摡㤶戶㙤㔷㑢〱挸㈸㔰敡㘷㄰㐱㉤摢㜳搲捤攷搸昴晤挸㕥㜷搰㉣㌸㘵户㙣㜸〳㤳〸敦づ昰ぢ㌳〳㌶捦戰昲㔲愳㔰扢づ㍢搱晤〰摡ㅣ㍡っ㠱㝤㐸㜸㥦㔴搴㤱㌱㠴攵挵㉣昸戵㔱㕦㈴㤰㐴敤攰㕥㘲摣㕢搱㑢昸㐰昵㌰扣㥡ㅥ戳㔶㠴戲昳㝤换㡤㜷㌱戸㜵戸㡤㜵て㍣㍦愲㤴㐳ㄸ㑣㉥攱㠱〷戹慦㡤㝢㔰㕦㌷㔸㥢换㥡敤㜹搷戲愹㥦〲愷换ㅢ愵㥥㘴㌸㈶扦㍢捥㙡てㄲ㈲捥㐳敦攸昲㕤戱散慤ㅦ㜴ㅥ㝣戶㑤㤷搷㘰〹㡥戲㘵挴戹扦㠴愶捡ㅥ〲晣戴㝣㤰攰㡢㐲㝦摥㥤㑣扣㠰㘵㤱〱㤰㑥愴㜵㠰搶㔴晤攳挵愸㕡攱搱㠲㔴㤸㔵㝥㠴㜲敥㤲扦摡㈲昳㜰搴㤰㐷〸愴戵愸攴㔶㜸㠴㤰攳㍦㠷〶搵昱㘷㤰摢㝡晣ㅦ㉣㍡㍥㤵扦㕣㕦戴晦扥㔰㜹㘸挷㌹昴〹㠲ㄲ㠱〵搰ㄷ搶散愵㔸愴慣㐹晢㐱㠴㌷㜶㈳㡤攷㥤攰摦昷㜷扦晤ㄶ㥦㝦敥㔶愴㈰㐴㔱晤㉡㈸〸攵㉡㥥㡥慥㘲づ戹慤㔷昱摤挵㔶搱㐷ㄹ挹㤹㘸づ㐰㑦㠷㐲㕡㤱慢㜲㤱攰㠶昲愷㐸㠴㈲㔱㌷㡢㍥㈲㔶戶慤㈰㠱戶摣㜹搹㜶ㅥ㠹戰㙤㡡ㅢㄱ昳〹㡦戴㡦㜸攵㤱㕥㥢戴敦㜶㑤晢㕡㌱㘳〵晥搶ㄵ㈱ㅢ戰㈴㝥ㄳ摢㔲愴愷摢㡣攵㉢㑦㠶㠸搹户㉦晣㍥㑡つ愲㑢㈰っ摦㈲㈵㈱㜱㈳㤵㙦㠶㤵㕦㝤慤收ㅣ㐵〱ㅥ㔰㡦㕦㤹〴㈷㉢㍦ㄱ㔶摥㡡㙦慦㘴㥤〴敦ち昰㜹㍦慣㑣挲㤴㤵ㅦて㉢晦㘳敢挶㙡攵㤰づ晤㥥㔳㈴㤲ㄸ㕢㔷㕡晦㤱敦戰㜹愸㑥ㄹ搴㥦㕤㠶㥦㑤挹㈹㠳挴㈵愹㐱扢㜱敤挳挱㤷搰〷㜰㡢〹㤷㍤㈰㘴晤晦㄰㘱㍦㙥㌷㡤改㥥㡥て㥤攷ㄱ㔶㜶㌴昹挶挶㘹攳戰㠳㡣㑥㘳扦㡢㌳㔵㜱㐵㤱〸捣㠱愴扦扦㑢戸摦㘳㑣挷摡㝥㠴攱㌰㤵户㐵摡㔳ㅥ㌲㠴㤲㔴ㅥぢ㌱㥢㌸㕢愳ㄹ敤换㐰づ挴㈴㈰ㄳ摡㔷〰晤㤰换㍡㘶昴㤱晦㈵㜳㥦㐵㐲㝢㤴攰㙢〰㔹㠵捣㑥㍡㐸㝦ㅤ愰㌷晣敦㈸〶收愵扦㐴㔵捥㠴㠳㐵挹㐸晢〶ㅢ㍣づ搰〱㐷慤ㄲ㄰㘱㔶㝢〲㌹搱㐱㈹㌸攴愰㑦戲攰㈹㠲㙦〱㘴㔳㥣散戲㜷㡤㙢㙡㔳㜳㝤ㅢ㑤ㄵ㙥㠵㤴㘳摦〹ㄲ㝣㐹㥤〵戸戳戵慤捣愳㜰昸昹㍥㠲㥡㜵摦改摦㠵敦敥ㄷ戸攸づ晣户㈳㈹㘹搸㈷搵捦戶搷ㄷ㤹㠰㌶戹晣㌹搸散ぢ攸㠷敢慡搹㤸散昱㜳昸㘵搴戴昲㈸晥㍤㡢㥦㜲ㄲ㈳㜰ㄴ㙡摡っ摣㉣愴〱㔹㌰ㄷㄴ㔰㘵㘹㑦〳㈸挴㌱昱愴㍤挳㌷愲㤶晤㙢摦ぢㄲ㝣㔱㠸搷戳㑣㤴㠲收攱㠰挴戵㉣㌸搱㌰㈰昱㉦ぢ㡥㐷〷晣㍥㜲ㄵ㠹㉣㈴敡戵ㄲ㤱㤶㘴敥戳〰㍤ㅤ扤㥣ㅢ戵㥣㝡㕡㈹㍣㔴㝣攸愱て㝢㤳〳㤷㈷扦戰愷晢搹昷㝦晦挱㌳敦㝥㜱搷摦㍦㝡晥昹㜷晦晡捣㕢ㅦ扤㌹扤敢户㉦扥昸㥢扢㝦昲搶〷㙢㡤ㄷ搴搷㍥㍣昰挲㤹愱ㄳ㘷㑥ㅡ㐷㙦摤㝢收晥攳昷づ㑤㕣㌲搸搱搱搹㜹㔳晦敦㉥扢戹敦散挹搷㤵㕦晦㘹㠳慤挸攵㜲挰㈳〰攱搳挷㘵换㘹晣㄰〹㑣㠳㌳晥㔴愷挱攵㥥挵㑦㈹〶ㅢ㌵㠲㤷っ㝣ㅡ㥣㠰㉣㈸搴ㄷ㜴晤〷㠳㈵戱敢</t>
  </si>
  <si>
    <t>Timing</t>
  </si>
  <si>
    <t>Workforce</t>
  </si>
  <si>
    <t>Baseline Risk Value</t>
  </si>
  <si>
    <t>Susceptible Cost</t>
  </si>
  <si>
    <t>Infectives Cost</t>
  </si>
  <si>
    <t>Recovereds Cost</t>
  </si>
  <si>
    <t>May edit</t>
  </si>
  <si>
    <t>May not Edit</t>
  </si>
  <si>
    <t>Parm = Parameter</t>
  </si>
  <si>
    <t>UNDER CONSTRUCTION --- CRYSTAL BALL INPUTS</t>
  </si>
  <si>
    <t>w</t>
  </si>
  <si>
    <t>R(t+1) = R(t) + gamma*I(t)</t>
  </si>
  <si>
    <t>2003-4 Pneumonia &amp; Influenza Counts Exceeding Epidemic Threshold</t>
  </si>
  <si>
    <t>2012-13 Pneumonia &amp; Influenza Counts Exceeding Epidemic Threshold</t>
  </si>
  <si>
    <t>Susceptible - Infective - Recovered Model</t>
  </si>
  <si>
    <t>Observed</t>
  </si>
  <si>
    <t>Estimated</t>
  </si>
  <si>
    <t>US Flu Epidemic Model</t>
  </si>
  <si>
    <t>Infective Cost Rate</t>
  </si>
  <si>
    <t>Recovered Cost Rate</t>
  </si>
  <si>
    <t>㜸〱敤㝤ぢ㝣㕢搵㤹愷㡥㉣挹㍡戲ㅤぢㄲ摥㠱戸㠵昰㑡㙡攲㍣㐸〲㘴㙣搹㡥㤳㐰ㅥ㈶㜶〲㈵愴㡥㙣㕤搹㑡昴㌰㤲㥣搸㈵㤴㑣换慢㤴㑥㤷㑣㘷换扢挰ㄶ搲改戰搰敥捥㤶搰㤶敤搰㈹换㝢ㅡ㈰㔰㑡㜷㈹愵愵㥤愱挰㡦愱敤㉣㙤愱散晦晦摤㝢愵慢㉢㔹戱㑤昸㑤收户ㅣ㜲㍦㥦挷㜷捥㍤㡦敦㝣慦㜳慥昰㈸㡦挷昳㍥〲晦㌲昸ㄸ㤹搹㌳㤶换ㅢ愹收㡥㑣㌲㘹っ攴ㄳ㤹㜴慥㌹㤲捤㐶挷㔶㈷㜲昹ㅡ㈰〴晡ㄲ㈸捦昹晢㜲㠹㑦ㅢ挱扥敤㐶㌶〷㈴扦挷ㄳっ㙡㉦捡㙢慤㈷㙣㈷㌴㙢㘹ㅦ〱戰㍣㍡㐰㐰㉣ㅤ㈴搰〰昵㈱㠰摥㡥昶㜵晤㕢昱捥㥥㝣㈶㙢捣㙤摡㘸戶扣慣愵愵戹愵㜹挱攲㜹㑢㥡攷捤㙤敡ㄸ㐹收㐷戲挶戲戴㌱㤲捦㐶㤳㜳㥢扡㐷晡㤳㠹㠱昳㡣戱摥捣㌶㈳扤捣攸㥦户愰㍦扡㜰㐹换挲㐵㡢攲㑢㤷㉥愹慦㐳换㙢㍢摡扢戳㐶㍣㜷戰摡慣㘷㥢敢㍡摡㥢搷ㅡ昹㠳搵㘶〳摡㐴㤳㥤㤹㔴㌴㤱㍥㐸㡤晡㌹昳㡢㍡㡤㠱〴㤷挸㌰戲㠹昴㘰㌳扡㕤㌲搱㐸㉤㙥㡥攴㜲㈳愹㘱慥㜶㠷㤱㑣慥㌷攲戲㌴愹捥㕣扥㍢㥡㑤攵敡㔳㥣㍦㈳㙢愴〷㡣摣戴搴昲搱〱㈳㘹㈱收㠲愹㡤搱散摡㘸捡昰㌱搲㤸㌲搷㜰㔵捣㐸攷ㄳ昹戱㠶搴㠶㥣戱㍥㥡ㅥ㌴㠸攲㑦慤ㄸ㐹挴㤴捦㠷㝦㥥㥡㔳㉡昵㑣ㄶち晤㐹㜵っ㐵戳㜹㐹㜱〹㕢㉡攱㍡挸㐵㐶㔱搲㉦㤲㔴㤳慢ㄶ搷慣㈷㤱㍡捦挸愶㡤㈴㕦挲㤵㥣攳㐲㤲〹㌲搷愱㌰㔳㠵攱〰㕦搵㔹㕢㠴㘳攱㕢〲搳〰㑥㙢㌷昲搱敥攵敢㝢攷慥㐹愴㤷捤㙢㙥㤹扢㍡戱捤㐸㈶㡣㕣ㅥ愹昹㡢收慥㠹㡥㌲戲㜸㤱㙥〴扡づ戳攲㘱〰挷慣㐹攴ㄳ㠳搱扣ㄱ㙢敡捥っ㡦㈴愳㕣㠵愶昵挸搰㠷ㄳ㜱㍡㠰昲扤㡥㝤敡㝣㉦攷挴摢ㄷ昵昶昵㝢晢〶扣㝤㌱㙦㥦攱敤㡢㝢晢〶扤㝤㐳摥扥㠴户㙦慢户㙦ㅢ㜰散㄰慣慤昵㕡攱扤扢ㅥ晥挷㍢攷敤㕦昵攰㍤㤷扤扡昳改改㙢ㄴ户愶散散㈳㄰㌹搵㌵㡥㜹ぢ㑡〶戲㘰㠱㌵㤰㠵晡㐸㘰敢愳〰〲㐷〳昸晡㌱㝥㝤っ昳㡥〵㔰敡㔵昴㤸扤扥㘲搶捥㈷㤷晤摢㔵㉢扦㍤晢㠸晢ㅡ扢摦扢挷㑦㈶戰愰搲㥣扢㤷戳ぢ㙣㘰㈰㥡换㕢㤴㐶㤶㜱㜰〹昱挰㜴搸㤵ㅤ昸昰改㄰㉦㌹㈸㜴愸㘷㜲昶㡦〷〸㥣〰㄰㕡㥦挸㙤㙢摡ㄸ㑤㡥ㄸ㝡ㄶ㑢㥡〰㤴晡㤹戵㉥㘷㝤昶摣户㍦㝦昶㙤㥤㕦㝡攰戶㌳昷㥣昹摡㜳㡡㝣㔹挸攰攳㠸㥣散㈲㠳昹㈵㔴㘰㔳昳㔲㝤㈲㜰昵㐹〰㠱搹〰つ敢㡤㠱っ㈴挲㤸㐹扦㈷戳昰ㄴ〰愵㕥戰摥晡摦扡晥晡㘷愷㥥摤戱敥ㅢ攷摥戰攵挲昷㤲攷㈹慥慡㠸㠵搳㠸㝣㍡㐰㘰づ㐰戰挷㐰㍢㘰㈰㝡㉥昳㍦〱愰搴㌳㔶㈳敢㔶摦戹慥昶敡㤹攷㝤攳晣捥晢晥攱㐷摦搹慤挸慤愴敢㘷㈰㜲㡡慢敢愵㍢戱㐰挰㡢昴㍣戶摣〲㄰㤸て㜰摣慡㜴㥣〲㙦扢搱搴㥢㡤愶㜳愹㐴㡥㕣搳ㅣ挹〲愲㉥〴㔰敡〹慢ㄳ搷㍦户昱摥ㅦ晤散㑢㙤户㕤ㄹ敥攸㝣昶搷㜷㉡ち㌲ㄹ挹㤹㐴㕥っ㄰㔸挲㔸㔷搶戸㘴〴㥣㜳㑣㉦㘵昲㉣〰愵ㅥ戶㕡搹㝣攵ㄹ㡦㍥㝡㜲㘷攷㌵て㐵㉥㍡摢晢摣摣晡㜳㔰㝣扥挵㘰㍡戳搱ㅤ㘰搹㐵㘹㌰扦㜹ㅥ晦㍢戰ㄸ㠴ㄴ㡣㉦㡡㉦㡥户戴挴ㄶ捤㡢㉥㠸晡挹㜳㈶捡㙦挹㥡敡攳ㄷ㈴搲戱捣づ㘱挰㌳摢愳㌹愳戸て收㔸㘵敤㤹㤱㜴㉣㜷㕣攵挲㥥㍣㌸搸戱敥戲㘲㈳㘵搵㝡戰摣㐶㑥摥㜷㠲扢㥡㄰㜱㘴㌴㘱ㄶㅦ敦㉡㠶㜰捡昴㡦㕦捡昹㉦㤴㤶昵㈸㈲㑢捥昲戲㔱㥡㐵㘶扦㥡㍡㠶㌲㌹㈳㉤摤㥢㤳敡㑥っ㙣㌳戲㍤〶㌵㈴㈳㈶㐳㍤㠲㐵㤶㠴㥣戳㉥㡤㠱㐲收挵㍥敥捣㡤㉦ㅦ捤ㅢ改㤸ㄱ㐳㝦㠷㡤㙣㝥慣㌷摡㥦㌴㡥㉣㐱㌱摦㠹㠲㘳㑡戲扢㌲〳㈳戹㡥㑣㍡㥦捤㈴㑢㑢㈲戱敤㔱㐸攵搸㥡㑣捣㠰㔰昵㌱㜸㤴愷愶㐶㈹捦改㤵戸㉣摢捤㌵换㐲㌸㤶㤸昲攴攸㔲戲㙢挶㘶捥㘳ㄴ㐹㠳㌴改㍤改〰㡤㐹扢㙣收戴昱ㄱㅤ㘳愲㍡㐹散㔳挷挷㤶㍥ㄶ㔶敥挳㐵昶㝡愷㕢愳㕦扥ㅤ㥡换捡㘸㍡㤶㌴戲㔵㤵㘱挵ㅥ改㘵〰晥ㅦ㘰㌷㡦㍢㝢ㄴ慦㙡㔴㡤昹㜷㈴㘲昹愱挰㤰㤱ㄸㅣ捡㈳てち㜳㌰挸愹㉤ぢ扡ㄵ㔹扡㡤㈰〲㄰ち㜹〲敤昸敢〹㠴㜴㠷㤹昶㜳㡦㑥㕥㈷愲㑡慥㐵〷㠳挲㥣昳愷㈰㘱㜳㌵㌵㤵㐶戹㌲㥡ㅢ捡㤳㍣慢ㄶ㔲晢搱㥤〴换〱晣搴㔷づ愸㜲㤱ㄳ昹愸㔹㌶愴㍡㡤㜸ㄴ晡扣散㙥ㄵ昵愷㑣ㄵ戱搳挸つ㘸敡㤲慢戰㔷㐶〳㠸㐱㠲搵愷㐸晤挶㘸扥㌳㥡㡦搶愶愰㤵㘲㤵㌴㤰收㐸㉤㌳挶㥡つ㤲㘷搷づ㔹㈹戴㄰㤶愸愳㤵㍡挹㌰㕢挲挶挱㝥昱搴㔸戰晡㈰搰㜷捡敢㠰㥢搰㑢戵㑢㈸扤戱ㄵ㐶扡㜷㙣搸挸ㄱ㍤ㄸ愸㍡㤵敥敤挵挶搶つ昴㙦挸㈷㤲戹㘶昴㜴㐵㌶㌳㌲㝣㌰摢㘱㕢扡ぢ挰づ晥〷㐰挵ㄳㅦㄳ㡤挵摡敤㕣㥢扥㍥㑦㤰慤㌱㐷㔳愵搵㐲慤㠸搸㐱㥦㡢㔸愸㕡㤹㥦㙡敥㘴㌴㜱㑡摡晡ㄴ㘶愸㌷㙢㠸㙤ㄱ㤴〴㘶扢㈱㜵㐱㈶扢慤㍦㤳搹㐶㝡㥡㈶愹摣㤰㘱攴愹慦搷㔹昶㠹搸㈱㑡搵搴㤴㈸搵づ挵㥥昶㔸㘰㉤㐰㐳㈴㤹㙣戲㕢捣〵搶㈱慢〶㤶㐳愰ㅢ㤱愶㤵㤹㙣攲搳㤹㜴摦㠶㥥慥攴〸㔹㜰戲㙦晥扣㤶㐵昳ㄶ捦㕢摡㍣㥡捣愵搴㝤㤶㥣晦挱攳挷散㝡户昹愵搵㝢ㅥ戹㝥昵搷㕥㜹敥㍥㜵慦㔵㔰愶㡤㔳慤收ㅥ搱㍤〰敡ㅥ愰㤱扢㈰㕥ㅡ昴〶愴昵㐶㠲ぢ〰挰㈳㘴搶挱㈲㍥㘹㈶ㄵ㔵㜳戲〹㝤ㄱ挱㈶〰㐵昵㕣㡣㡡㡢ㄱ戱㠳晡㉦㘸㥦㙢㉦敢㐷㕤㕥㕡㘲捡づ㝡ぢ㘲㈱㕤愵㑣㔱改攷ㅡ㙡捥㤹收㉣㘹捥㤰扡ㄱつ搳っ㈸㥢㠰ㅢ慣㠲㌲晢㘰㈶慡㔵㔱㔵㑡㔴昲ㄹ挰㉤㔱㔵敡攳㕤㠹㘴摥挸㡡㌴㙡㡣攳㡦㘹晣㑡扡㠱ㄲ㌸ㅢㅤ㌰捤捡ㄹ昱づ〸㘱㔸摢昹㌱㤱㌴㠲㔲愶〴㤸㌲昲㈳㔵攷㤰㔳㜵㐴搱㈹㔱㜷慡愸ㄲ㈰ㅡ㤷戲㔳ㅤ搹㐱㐴㤴昲ㄵㄹ㤳搰㑢㌳㕡㉥㈵㌲攲扢戹愸戸ㄴち昸㑥㈲㈴昶扣昱㔵㈰ㄲ㝢㌹㤱戲搲戸敡挶㐷捡㕡㈵捦愵愹慣㈵㌰㜱㝡㉢挱㌶㠲㈴㐱ち㐰敤㈶㠷挲㐳〶挹攷㠷搰㤴㝥㈱晣㌰㐳㥣㘱㠲㑢〰ㅣ㙣㌶㠷㘴㠰㝡㕣愳敤愷㘸㌲㐹㉣攴㔱戴挱㠵昵㡥㈰愲户〳搴敦〰㔸扢搲㐸㐲昱㍦㔸㝥㐸㍦慤晡敡慡ち攸㠷晣晥挸㔴捦㔸㝡㘰㈸㥢㐹挳㘷㑢つ㉡㌲〰㐷㕥㑥㐵〳愹搵㤹㡥㤱㝣㈰戵㌲㠱㍦昵愹昵挶戰ㄱ捤㜷挰戰㠳㝡戶ㅡ扥ㄷ㔱扥㔶挵㐶晦㍤㤵㌳て㌵㘸搸捣㐵晤㑣戹㜷慦愹㈶㔹搳摢摣㤹㠱㔳搸㄰慦㌵愷㍤㄰㠰愲㝤〸㙡㕦ㅥ㍤㡡摥㝤昵㕦扦㜱昶散㕢敦㝢摦晡㝢㌹愸㔰㠲愶て㐷㈴㌱㤳㠸㑢搰㤷攲㑦愸㕡㤹㙡〲㐶㐱ㄲ〷㜶㈱㔵〳㌲㌰愵昱㘷搰㔴㐵㘹㝣㤹㔵㔰收ㄵ愲㠳㐷搴㤱㉢㄰㔱㤷〲慤戲㍡㜲ㄵ㡡昵搵〴搷〰㌸昶挹戵㘶㔲㥤㠴扦戲㈷扥㐰愴敢〰ㄴ晤㐳愲㡥㝣ㄱㄱ㍢愸㉣摥㔱㔰㐷㘶㈳扢㝣ㄲ慥㐷㙥㐸㔷㈹㔳昴㍡ㄵ㈶挱愱㡥っ㡤㌷〱㠳㔶㐱㤹㠳㡡㝥㈹慡㈴晡㈶㠲㥢〹㙥㈱戸㤵攰㌶〰ㄵ戵㈶攵㍣㈴昸ㄴ㤹挷敤㐸改㍢〸敥〴㜰㑣捡搷㤰っ摣〵㔰㠱㜹㥣㡥㙣㤹愸扢ㄱ搱㝢〰搴㕣〰㙥㜶㡦晥㍡挰戸ㄴ㌳㠷ㄸ㘵扡昷摦㈱㌷愴慢㤴㈹㝡搷㡡㤳戵㡢慤㜴〳愸戵攳㑤搶ㅡ慢愰捣ㄱ㌷て搵㠴㕡晥㥥昵捦戳㈶〶昱搲愰扦㡤戴扥㥦㘰㉦㠰㘳㘲扥㘳㈶ㄵ摤㜲㌲〹摦㈵搲昷〰搴〲〰愱㤶〷ㄱ戱㠳㙡挷㍢ち搴㌲ㅦ搹㌲〱㘰摦㠵愰ㅦ㐲㌴愴慢㤴愹㠵挰㈸㑥㐰㔱㜹㕤㌲摥〴㉣戶ち捡㥣㠰㘷愲㈵愱㤶挷ㄱ搱㑦㄰㍣㐹昰ㄴ挱㍦〱愸ㄶ㙢㔲ㅥ㐵㠲㑦㤱㕡昶ㄱ攷㘹㠲㘷〰ㅣ㤳戲㥦㜹ㄴ㌵㄰㉤㡢昱㐷㈶收㜹㘶晥ㄸ㐰㉤〵㌰愹攳〵挴挶愵㡥㈵慣㐰敡㐰〷㡡晣攴愷挸〸改㉡㘵敡㉣㘰ㄴ㈷㘷ㄷ㔲㈶㜵㥣㘰捤㐱㤹㘶㝦扣㔵攰昶㙤晡改㉢㤹愴㑦㑡挷㌷㈶㡣ㅤ㌴愲愷挵㜱㤲搴㌱㤲换㘷挴攲㙦㠸㜷㘶搶㘶昲㥤㠹摣㜰㌲㍡㌶㍤㙥㐵㉥ㄸ㌲搲昰挷㘵攱㤶㜳攵㘵㠶㠷㡤㤸㡥昷㘴㐶戲〳挶慡捥㐳挱㕦㠷改挰昲㠹慢捥慢㄰愶收㠲㠲㘴㔴愰ㄶ〴㡦扦ㄵつ扡㍤〹づ攵戳㘸攷㤰㠴ㅡ㡢㌳摡㥢挸㈷㡤扡戸㤴㑢㍣ㄸ挷㉣挲挹ㄹ慢㡤昷づ挱挲敥㙣㠸慦挸㈶㘲挹㐴摡攰㘲挰㜶攲昱摣㙡㘳㄰づ捤敥㑣づ㐷㔸㤹㜴㐳㕣ㅣ攷挳昴捤っ㡣ㅤ㕥㤲ㄲ㍤挲ㅦ㙦㑦愴㜳㜸㡤慣㈲攳㡤昱㥥愱捣づ㥣㌵㡦愴搲㉢愲挳戹㐳㘲㔵愸昷㤹㐱㤶㐶㜹㤵搷慢㠲摥攰㔴搷㈷昰㑢戴㜶㠴㝤㉡搱〴㑡捤㘷ㄳ晤㈳㥣㌲㜹つ㌹㤳㡦㐰㔶搱攳㙦㐳慣㡡〵㐱㍢挲㜲㌴搳㠹捡摥㤶ㅣ㡢㔵昴攷ㄵ㡥昰敢㠰慥㕦㘵㥤㕦〱㥣扢㘲挳慡攲昱挲〷㍡㘹昷㐷搰㥥㕢㉦㜳搳㕥挱㥢换愳挶㘹㈶ㄱ㌱㡦㌴㠵扤〹㕡㘰捡㑤㤸愱戸攰㤰㐶愷ㄵ愳㕤㜰〸搶挷㔷㐷晢㡤㈴㌴昰㔴㌴㍦捤㑣搰㥡㑡㐵㤳㌹慢慣㈳㤳㑡㐵㐹㜴㈴搸㥥㠱㘸搲〸挶㈳㈳昹っ㡥㘹㜵ㅣ㐰㈸搳捡㡡㡥㈲㉢㍡㉡㔹昵昱昵㍣摦㤰㌸摢捡っ㐶㜱ㅥ㌵㤴㑡っ〴㤹攰ㄹ挴㈱㐱慤攰㈰㍥㑣愶ㅤ㙣㙥攲戶ぢ㑣つㄹ换摤っ㉢㠵㔳挷攵〷㑤㝢㔵〰晦愹㈹扡扦挱㝢㐴愴攸㝦㐶㙢㝥㑡㕤㌲㈳〹㙦搹昷㑡摥扡ㅣ㌹挲㥥ㄴ扤搷㉣搶晦㘲㐵㤸昰㜵〲㔴昵㡤搶〲㈱戴㍡ㄳ㡤㜵挱㜷㤳挹搶㕡㌷㐳㠲㔸㕡㌲㥢㙣㤸摥敡づ㜸摦㜰戰戲㍤ㄱ㌳戲㐱㘶昴挰搶昱搱捦ㅤ㌰搷㄰㝡㜰㡤挷敦慦ぢ㔶㝡搷㉡扢慤㤳㉣ㅦ愰昳晥换慡戲昶㕦㍦㝦〹㔹㉤㠶挵㘳㐷晤ㅡ挱㙦〰搴㜲〰㡥挷㠵昰㍡ㄱ摥〰昰㜷〱戸搷愶搴㜱っ昷㌲㡦ㄲ㝤㜲愷㠲㉥敤㈰摣扦攲ぢ昷换㐰敡ㅣ㍥散㠰改扥づ愲づ㘲愹㕣愰〷㔴㙥挴㐲㈶㠷愵愵挷攵昰㝡㝤㔸敡㠰摢愹㔶昶㕡㌶搱㘳㠸㜳㕢搵愳ぢ㠱㌷〱㍥挶捤㠲昶晢挶扦愷攰㔶㉡㐲㈱晤ㄶ㙡㝡㐲敡㕣㐰㝢㍡戸攵㐳愱挳〰昵扦ㄲ扣つ愰㝡〰愸ㄶ㌸㠴㤸愲㘷㔳㘶㌷昰㕢挴㈶捥㌸搵㐶愰户攱搱扦〳㔰ㄷ〰㐴昰ㄴ㘸昴摦㄰㍦㌰㡤㝥㤲㌵昰攸晦㙢㐵㤸㔰ㄷ〱搸〳㐱搴㕥昸㜷㄰搵㝦〰㔰㥢〰㉡㈰晣㤱〸㝦㈲挲挵〰㕣晣挰扢〰昵昶愴捡慤㠹ち昳昷㘷㈰㘱晥戶〰摡慤㜲㐵㐲㈱敥〵㑤昵㑤戳㤷㝥㝡㌴慡㌰㕤ㄸ㝥づ扦搷㌴㈰〷攲ㅢ搲㠹㍣昸㈱㝢搰㤵挸昳㌰㈳づ㠰愸㌸愸㡥ㄵ㍥改愸㌴愷愰㠱捤㉡㉦㉡㔱挹㑥㈸㉦㜷敡㘸㈷㔵㈸㌶戵㌷㠷搲㜶㈰㈴搱攲㉡昴昱㔰㔲敢㤴改戰戰㌴㍢㌵㝢㝣昷㥥㘳摥㈹㤷㍦㠰ㄲ㘸㥡㝤摡㉢挴ち捡挰ㄶ慣㐱㥣㍡攱搶〳㤲㠸换摢ㄹ愲㕥㘸收㌵㔸敥昴㔵改ㅣ昸㙡挸㑡㐱㙡㑥戳愲敢㐶昲㈵㈵搱搱改㔶〹㡥㑤搶愵愱敢っ㐴戳戱㐳㐴㔰㘲㈲㑣㡤㑥㘴摥ㄴ戵㙤㌴挲攰㄰㙦戰㥦㜸㜵㤲㜳扤つ㈵㤳㜱ㄶ搳㔶㙥攰㜴ㄷ㝣挸㐱愶搶ㄸ搱戴慣㐲㑦㍥搶㘹㙣ㄷ搳愷摢㠰摤㠲㍢㜵㐹㘳扡㔴㈸㈴㐵㈸攸㜸愴㍦〷㌵㍡㑦つ挹㡡挹㐶搷昱昵〶敦㤴㙤㌷愰搰㔸戱敥㠱㍣㡥㐶ちつ昰晥挲愱戳㐲㤸ㄱ㥦戵㑡㑡搶㈹㔰㠵扦㤵づ㠲㝢㘸㡡慢㡡昵㡢㑢㜸戳㔵摤㜴㈳挳摦戶㝡散㠸㘵㕣㈵搱㝣ㄵ扤ㅣ扣搶敤搹㥦㙥ㅦ㌸㤹ㅣ㑥㤸㔷扤㥤㐷攵扤㠱㘶㔶㌶㡦㑢㍥扣攴搶挸慤㤳㠴㜶㤳㑦㐰㑦㑤㡥㑤㡢慦㑡て㈴㐷㘲㠶㈸戹㌶捦ㄶ㕤昷㤰㔸㉦戹㌰㙣慥㔵㤵㜹戱㈶㘵ㄵ㙥つ摢㤷㍥愶㙥敢㙡㍦㔶㑡㤸ㅤ摡〸改㕡㙢摦愵戰㌴㤳㍥㐶〹愱搲攱挵㐳㐰戹愵ち搶㔶㤶㐵㥥㐶㕦㜸攱㈴㐶㜶㥣〳㙤㜵㘶㜵㠶戶戲㈳㙢㘵挲捣㍡㈴搶〹攳㌴ㄹ㕦㈰〰㔵㝦㡡㍢㠴㡤㠰敢挹ㅦ捦㕢㤷㕢㝦愱愷㤹慡㝤〶ㄹ㐸㘰㜱攸户ㄶㄵ㡡㈶慤户㘸搷慡㘱愴摢昰㘸㡤㔵㔳㤷㈰ㄶ挱〳㘱㘵㥡㄰㜵挸㍤戰㝡㤶㤳ㅡ㘸愴㥥㡤㔸〹挵㜳ㄶ㕢㑦㐲ㄴ㝤ㄲ扤扣〱〸㝡ㅡㄱ户㔷㐶㘸㈴㐲ㄸ挰㍦ち〴㌷愳ㄹ昷㔴㠱㡤晢㔳㔴慦㠳㈹㥡ㄹ搸愶〱㕣㔰挱愹〹搴戳㐰㕤㜰〷捡昵㘱㘸昶愹㈷㥦㌴戵摢㑢ㅤ敦ㄷ㜳挶㔴攴づ攷晢愷〳愸㉢㠰攰㔶㠴慦㐲㥥捣㘹㘰〶㔰㈶愱〸㕦㡤㡡㙤㜸昴ㄱ㙣晡ㅡ挴㈲㜸ち㡡昰㔱挸㍤昰㑣㕦换ㅡ㜸昴搱㙣挴㑡愸㉦㈰㔲㘱愶㡦〱㠲㍥㤶㠸搷㔵㐶㌸㡥〸㌳㠹昰㐵㈰㠸㈲㝣㍣㔲㐷搸㡡㜰改捤搱ちㅡ昱㉣㘰㐳㈳扥摥搱㍣捤㈴㑢㈳㙥㘲昳ㅦ㘳昳㌷㈱㤳㕡戱愵ㄱ㥤挸㙡ち晦㐱㈳㍡〹㜱㐸㘹㜵㌳戲愸ㄵ搹愱㔴㤶捦戶戰㙥㐱㌱攵㌹挷㝥㈰搹愰㙥〵ㅥ攵㠳㐷㥦っ昴㈲㠳㍡搵㙡㡣〷〵㘴㔲㥦㥢昵昳晡㤵昳晡㈲愱晥㡥㔳㑥〹㝦㉥挲㉡っ㘰㘶〸ㅥ㜵㍢攲收㌶㥡挳㙣扥摢扤㡤敥㐰㜶ㅢㅥ㝤㍡ち搵㥤㠸㐹㉢昶㌶㥡㡢摣〳㉦敥搷㔰つ㠸戸㔹换㐶慣㠴扡ㅢ㤱ち㡢摢っ〴㝤〶ㄱ昷㔴㐶㤸㐷㠴ㄶ㈲㝣ㅤ〸摣㑡㝡㍥㔲〵敡晦㍢㐷㌵㜲㕤㙢搱ㄶ戰摡㐲㔶晢㝢㘴扡愹晦摢挸㌳愹㝦ㄱ㔰㈶㐱晤昷愳㘲ㅢㅥ㝤㈶㥢摥㡢㔸〴㑦㠱晡㤷㈰昷挰ㄳ昴ㅤ搶挰愳㤷戲ㄱ㉢愱扥㡢㐸㠵〹㍡ぢ〸晡㙣㈲㝥慦㌲挲㌹㐴㔸㐶㠴〷㠱㈰搴晦ㄷ㐸㥤㘸㔳㝦戵扢挷ㄵ昶㐲ㅢ敡㘲㉦㍣攴㜸㤹挳扡㡥愰㔴户〳愸挷㠱攰搸ぢ㥤慣㘶敤㠵攵㠸㤳攰㥥㐰搶昸㝢愱换挲㝡ㄲ㔸ㄳ摥ぢ㑦〱搹摣ぢ㉢㔰扤戸ㄷ㔶㔹㡤昱ㄸ㠴㝢挱っ攳㡢㤴㝤㐰㌰昷挲ㄲ㐱㐵㜵昷㕥㜸ㅡ〵㙤㜸昴㜹㈸㔴捦㈰ㄶ挱㠳㌱㥡㈲㘵つ㜲て扣搴㍣㕥〱㈲慥㉥戱ㄱ㉢愱㥥㐷愴挲㔲慦〳㠲敥㈶攲㡦㉢㈳㥣㑦㠴昵㐴㜸〱〸戲ㄷ㝡㤰㉡散㠵㥦㍡慡㌹㈴㐱㉦慢㙤㘰㌵㍡㘷昱ㄷ㤷扢㤸㐲㐴愴つㅤ㙣㙥扦㔱㤹㑦捦〷㈴ㄸ㘹昰敥昵攴挷㤲昰愸㌲㑡㍦㤲ㄹ愳愸㌲㡢攱摤捡㘴愱扥昹摣搷㐸ち㜵捦㐱㔳㜵㌳㕣㌷㠲愵ㅡ㑢㝥㠵挷晦户㝦㉥扦昵㕡愸捦㡥ㄷ慦〷戲づ㐳攰㐲攴捦㔸㤳ㄸ挸㘶㜲㤹㜸扥愹〷ㄷ敤㥢㜸挳㍡づ晤㉤攲摦㠳ㄶ㉢扥㤳〳昳愵昹〵搱㜶摥㌸っ㙤㑢㘷㜶愴愵㌷晥ㅣ㉦㥡昳㙤扡戶㤶慦㈱㝦㤱㜰㈲㈶㉦晣㉦㠸戲戲扥〸㈸つ㌵攱搷捣㌲㑦昸㌷㜶攴㜵㍢昲㠶ㄵ昱搳㜷㌵㔱㕦ㄹ摢㔶晤㙡㐰挵㤴攱慢慤㉤㌳昶换㝣㙣㠵晢愰㠱㐰㍤敡晡敦挲㤰摤ㅥ㠲捡㤵㑡㘷㤴㤵㡦挶愳㉦㐶扥摥っ㄰ち搳慤挶づ〵㍥㠵攴攱ㅤ敤㝤戸愷㘸摦㕣㈴ㄵ〴晡㤰㕦㡦㝣㔱㘰搷攳ㅥ㜸㘰ぢ㜲愶㈱挷㜱愸㄰㠸㈲敦㌰攴㤵㝥挹ㄵ㝥摢㙡㕤㑥晦攴晢㈵昳㑢㈶㑥扥ㄲ㡦ㅢ扢ㄳ㘷ちㄱ㜹攸㜱㈳攱慡ㅢ㌱㑡㤲ぢ攲ㅥ㑤ㅡ攰㜲慢慦㈰㠷㑢㕥扡㘴昴扢挹㤲㙤〵ㅥ㤶散ㅤ㘲㈳㠴改㘷㘳〸搳愹挶㄰晥㤳昹搷愳攸㉥攳戲愹扦㐱㜳㥣㔲㤹㥡㈴ㅡ搰㈹㠰㔰㤸㙦㤶㐶㌹㘰捤㜹搰ㅣ愶收㑣㠵搹㔹㈹㍣ㄲ㔸昲㐹㤳收戱㡡っ搴敦㐵捣扤㐰㡥㘳つ㠷ぢ㠷扢㌹散昰慢挹㔲ㅦㄶ㍦㝦㈴㥡挴㠷㉣敢㘰摣攵㤹㜵㈸㤸〴㍥搳挴㍥㈰㤵换㄰㌶㙤㈶戱戹攷愰㤴㐸慤戱挹㑤攷愹ㄹㄸ㈱晦戵㔸户㠹扤〵㑢攲㘰㉥散ㅤ㜹㘴㐸敦㐰〱㠵ㅡ㕤㕦挴搱愳㠴㔶㔰㌴㔷换㜲晤㝥㘴㑤摣㝡㘵晤改挵戳〱㥥〲捤㐹挲㤰㥦挰愱摢ㄸ㕦㑦㠳㤵㙤㤴昶㑣っ㈲收㕥㙡ㄵ㜳㌸㡡〶㤱散㥥㉢㌰㌱昶敥〹㕣㠶摣㜱㌹愸晡㉣㔰换户ㄴ㙤㈵㈱㜰ㅥ挵㘰㑢搱㉥㘲〸搳㌶㤲〸つ㈱㠹搰ㄸ㘲㘸愴昹挲㡤ㄹ㤰攴㐱〴㘱ㅡ㍤ㅣ㘰㘰ㄷ㈲㙥收昳㤷挸㉢㘵㔱㥦㐵㑥〵㜶㐴慢㠹慤ㄴ扦㝡搳㔷㈲㑢㠹挹挳晣慢㤸㐲㐴ㅥ㥡㍣㌲㤷㘳㡥戹㉣㜲愲ㅤㄵ愷敤㘸㔴㤲㘹扢ㄶㄱ㑣ㅢ㡤ㅣ㠶㌰つㅤ㠹搰慡㤱〸㉤ㅢ〶㐵㌳㐵㌸搱〸㥡㉣㜰愲敢㤰慢扦〸㄰ち㌷〱㑡愳ㅣ扤收㜰㌵㐷ㄸ戸ㅥ愰〲捦づ㝦っ昹㠲㝦㈲㥡㤷㑦敤昴㤷㔹愹㥢㙦愳㜵㐳〶ㄵ㔲㕢昱㍡㙥㈰㑥㐹㐸㝦㠵㜹搸〸戴㜸昰捦愳㙦㈰戴㠲㥡㕤㌱㤷㠶ぢ㌷㠳扥㤱挵㌴㕣昰捦㔵㔳㑣づ收摥㙣ㄵ昳㜵㡡㈶㠷㑣㙥っㅤ㈸㄰敡慤挸ㅤ㥦㔰晢㠱㕡㑥愸㥦㐰ㅤㄹ散㔷ㄱ挱㡣搳昲㘰〸搳晡㤰〸㑤つ㠹搰摣㘰㘸愴愵昱攱㄰㉡敤ㄳ改捤ㄶ㐴〲㜷〰捣攸敢捤㘴搳搱㔸愶㙦扤㤱挳愷㉢戹㍥㥣㤷ㄵ挵㐹㤸挶㡣搴㌸つ㍤搳㜷㈱㈵㥦㌴敡㍤㠸㈹㌱㐷㤸晦㜵愶㄰㤱㘷〹愰㑣摥〵㡥挹㉢㔲收㠶㡡昳㐴愳㐴摥㜳て㈲㤸㈷ㅡ㈰っ㘱ㅡ㈱ㄲ愱挵㈱ㄱ㕡ㅤっ慡つㄱ愱捣ㅥ㌴㔹愰捣㝢㤱慢敦〳〸㠵㈳㠰搲㈸㠵愲㌹㈸づ㕣〴㘵戸摤㉥㈴摤挹㔷㤳收昷㤳昷㈳㕦搱戰㌰挹㜰㈵摡㉥㤲攱〳挸㈷ㄹ㉥㈷ㄲ敢㤵昰㘳ㅡㄷ攵戹戴ㄹ㠴っ扦换㘲摡っ攵㌸愲敤戳扤〷慤㘲㈱挳㌵㐸挸㑣戶㍢㘷㤲晣㔲戴㡤戶㡡㌳㐹㥤㕦〶晤㄰㈲㤸㐹敡昷っ㘱敡昸ㄲ愱㐲㉦ㄱ㉡昵っ㡤搴攷㍦ㅣ㡡愳ㄵ挰戱攸㕤㠸ㄴ㤹㐳㤸㠶㠱攴㥦挹挲挵〴㡦㈰㉢㑣ㄳ㐱㝡晦㈸㈲つ㌵㝥㙡戹㘷㡦㝦摥攴搰昲收挰㉤㕢昲㌱攲㜲㝣㕣㌸收㐵换㌵㌸㌳㌷㑦㥡㝤摥戳愶搶ㄶ搵㠶㍡㌴挵挷扦ㄸ昳晥〱摡挱㠸ㅣ戲㥥㉤捥挲愳ㅦ㐷㝥㈳㜵㕦捡㈷㤷㡣㝡㑢慣㐶攴户攱㐱〸戶挹ㅦ㑦搸晡㍢愳慤㜱戳㕤㜳戳晡搸敥㠸晦攵换摤搷收㑣摦晦〳㔶㑢晢㕡捤昴搳慤捡㐰捤攲㜵戸攲㕤挱昹ㄸ㘶挵慢戵㉤㔶㠱晢㑢㥦㌰㔵㘵㔹扣㝤㠸㌴搴㈸敡扢㕣㐰㜵〶㙡㜰搶㘴愰捦㈰愷㌱〹㌰戵㠱愶散㥡攳つ㜴敦〹㔷晥收晣扤户戵捥攲㥦ㄳ㥥戳〶晡㤳㔶㐵ㄵ戸搲㐰㑦ㅦ㙦愰愷㔹〵敥㉦㝡ㄴ搵㌲晣昳攸ㄷ〰㐹挶㝣挲㌶㉦㔰㘳㜶㜱㈱㠷挵㤷㈲㔷㘶攷㐵㐴㌰㍢㔴㕤㘴㜶㘶㍢㘷攷㝦戳敥㤵〰挵㥥敥㐲㙤㔳㍡㌶㡤搷搳㔹㔶㠱晢戶㜳㤸㍡㠳扣昴ㄵ㐴昰㔲ち㝥㜹改昱捥㤷晥ㄲ戹㡤ㄴ改㔳㕢ㄲ敡〱㔲㜳扣㈵㌱㘹敤㌱㡢昶㕥㙥㠵敦〰攱昵㔶㐵挱㕦ㅣ㘸㤱昶㡥ㅥ㙦愰㐷㔹〵㘵户㥡愹㈰攰ㅦ慥慥〰ㄶ㤶攴〶㘶㈱㈸㔱〱㄰㈹攸つ㉣〸㔳攸换散扣㡥〸㘶㠷㐲㕡㘶㘷扡㜳㜶摥㐴慥晦㉥㠰戹㉥收㐱㡢〱ㅦ散慤㠹愶愳㠳㐶戶搹㤲愴㤶㈰㈵㍦㔵㠳搸㕤㜱㌵愴ㄲ搸ぢ摢㔴㔲愵㑡㍥晢挴㡦㠶攰〶て㑦〷捦㤸㔸换晣〴㕢㉣ㄸ㕡〸敥㘳㔹㔷㙦昰愹愶㔸挵〵晣㑡户㠴㈶昶㔵㙣㌰攸扥攴敡㝡㤷㌵㜲戹戱挳慥晤㘷㙦㠵㑢㐷攸㄰晣㈲〳捤㥤〹昹ㄵ㥥㘸㜶㙣换晣㑤㥢㉣挴ㅥ摣㈰攴て〳愴㜲〳㤹㙣㌲搱㕦扣挳㌷昱㥦〸㔸扣㌸扡㘸㘰搱㤹㉤㑢ㄷ㉣㌴收㉤㔹扡㜹敥愶㠹捤慡愹昸捣㔹㤵ㅥㅥ挱攷㈱㔹㜳晤愰〶捤㙤攲㌰て摥㑦攲㙣摥㕣㜵〹㌸㜱攲攵昳㠷㐱㝤㤳愵〸㤰愷㐳慡戰㉤〶㝦㈳㥡㥡っ愱㤴㌷㐳〹慡摦㐶扥晥㉤〰慦㕡㌳攸摦㌱攷昷〰㈱㐵㕤戰戸㠹㜷ㄱ㕦㜴昹㕡㙢慦㤶摤愷づ㔸〵敥摢昶㘱敡㤱戲ㅦ晦㠴〸昶㈳㤵㐱搹㡦㍥搴㈸〸㤰昷㤰摢㐸㌵㙦㙡摣㡡扡攱〴戸搵〳〵〱㠲〱㈱扣摣慡愸ㅡㄶ〷㕡攴㔶敦扦㌷㡥愴晣戳㔵㔰㜶慢㥥㝡㈴晥㜹㜴つ愶搷收㔶㑡ㄴ㐴收㤶挸つ慡㠴㌲㈹㜴晣㘲㔲愸搷挹愴晣ㄱ慤ㄷ㈶愵ㄶ㠵㡡㉡㔴戱㠳扢搸㤴慣挴敦挷敢攰敦慣㠲戲㥢敤㔴扦摣㥢摥攱㈴㤲㥢㑦㡥ㅦ戸㘸挴慢晣㜱扡攴敡攲㘶㌶搹㡥㕣慦㐹㡡㔷戳ㅥ搷㔰戳昸㠹㠹搵戸㙦㡤换愷昸捤㈲换ㄹ㠷㝢搸㍣㜶戴㉦㍡㙡㐹戱㜲㈰扥㉥㡢㥢㡦戵昱㔵㌹㕣㈰㠹〵昱㠹㝣ㅥ摦挱愶て〵㙦ㄳ晣捣㍥敥ぢ慣ㅤ㝦㤶挲㕢搱挵㑢摦慤晢〰搶㌱㠵挵昹戰㉦ㄱ㜸㜹㝢㜵㙡扥愶㐰〳扡㔳㍣㔱㡡㌹㙥㘴晢搴摢㔸㘴搳㌲摤攵㜹㕦㝡敤昱㝡㜴㈳㙡〴昸㥢㘶㌵㜰慡ち㌱〲攰㤳㜶攴㤸㘷つ敤㐴昵㔳㉤㜵て㡦㙥昷㉥攰㜹㕣扦〰㔱㔷㘷扢挵㔹㔵㔱ぢ㈴ㅤ〵愶〳㜷扣捥扤㕥戱㜳㐷戰ㄷ昲㠳㙢愸捦慤ㄲ搲㐷㌱慢ㅤ〹〱㌸ㅢ㐱〹㍢㘷㠷昰ぢ㐸挸㍥㌹㠶㤸挷ㄲㅣ〷㄰㔲㉦愲㐰晡㌱ㄳ挹攲昷㐹攲㜸捦㜹搵㉦散ㅥ晣㘶晥㌱挵改㌹㠱昵㜷愱㜱㠵㠸搹㠳㈶㘶戵㈳㘱昵㠰慡ㅡ㝢搰㝢攳㜷摡摥㕢戰㌹愲愸㘳挹㡢㍥づ捣昱〶晣㝦散搷㜹㥣慢㜱ㄲ㙡〴㘶〳㤴慥挶挹挸㜱扥㤲㡡㕡挹愰㕦㐳㠶っ晡㔴㘲㥥㐶㜰㍡㐰㐸㔱愳㘱㕦㌴〷敤㔵晢敤户㤶っ昲ㄳ挴摦挵攱㈱㘲づ昲っ㘶戵㈳㘱つ㤲捡㑦挹㈰㈹ち㍡㔱敥扡㄰摣挲㝡昳〱ㄴ挵㐴〵㠴〵㐴㔸〸攰愷攸㜰昳㤶㉡ち〵㉤㈴ㄵㄵ㈵ち㘷ㄲ㔰愷〶愱㑣つ愸晥㔲㔵慡愶㠶搳㐰㕤慡㤲㤰㉤㝣㉤㔰戵㜰㌲㠲㤲ㄲ㌶㠸敢㈷㤳㤵搳慣㜷㥦慡愲ㅥ㤱ㅢ㙣㘹搹㌴㌱摤㐵㌴慥㌹㤶晡㘵㉢㌰晦づ㝡㑢㘰ㄱㄶ㜶挱捥昵㤹㑣㝥愷晤昵㜰㙥攷㌰㝥㌱挴挰昷〵㉤晣改㠸搱㥤挵摦攴换敤㉣晣ㅡ搶㤹㈴㡢挵〰敡㔱㤰㈸搵ㄵ挴攵㘷愷㙣㠳搵㌶ㄶ㤰㉤㐱㍤〲㐴慡㐸㑣改戳㠰ㅥ昲㔱ㄱ昹㐸改慣昴㝢㤱㥢㌷㜳㕦㤴㝤㘱㔰昸愰愰〱捥ㄱ戱ㄳ扡愳㠹㙣づ扡㐸㑤㜰㜷㌵昲戴戴昸攵㤷㤸㠷㐰昶㔷〶愴搸て㔱㤵摦ㅣ扣愹㥡㐹攱ㅣ挳晦㜷㐶挵愶捤㔴㈰昵搹搸〸ㄲ㌹㠷㥢㠹ち戴㠸愲㘵㐸㡤㈷㡡㝥㘰ぢ〵㡦㔳ㄴ戵愲㠶㑢昶㐶㤸搵捥户㄰㜸ㄴ㌵昰ㄲ㌱㐴㌵㤶㜴愶㍢㠸搹㐹戰ㅣ㈰愴愸戳㍡挴搰〳昶ㅢ㑢挴搰㑡攲敦㘲挳㠸〰㐲摡㥦换慣㜶㈴慣㌷㔲扤㜵㡡㈱㍦搵㤷〹㙢㔷攸敥㔴て戹㔶攳㍤㡡㑡ㄱ摢搰㙢慣〸ㄳ㡡㑡ち扢愱搷㌲㤷晡㠹攰慣戳㈲㠲㐳㕤㐴㤴昵㙦㘲攴㔴搶愹㈱〵扤〱㐵晤㐴ち敥戳ち㜸㕢㈸㠸ぢ昳搴㔹愴攰㕥慢㠰㕥ㄳ摤挳㐶愹㤳挸ぢ㝢㤹愲㍡㈲㉦摣㘰㐵攴㠵㔴㈴〴㘷㈳㜳愹㍦〸捥〵㑥ㅣ敡ち昲㡡慦扢㍡㐵晤㐱ち昶戸㍡㐵㥤㐲ち敥㜶㜶㙡ㄳㅢ愵づ㈱㉦扣㤸愹㌳〸搸攱捤㠸攰㥦㍣㘱㉡〷っ㘱㉡〸ㄲ愱㌶㈰ㄱ㙡〴っ㡡㠲㐰㙡摡㍥ㅢ挹ㄵ挹㠰㔸挱㙦挳㕣ㅦ㤹晥㝦㌸㈱捡捤㔹昹户㠶戱㜳捥㤹㤰慢愲愲戸㌷㑦戳昱㘳挵㝤㤸ㄵ摢㤶昴㤱ㅤㅣ㡡㡣㥣敢㔷㑢ㄶ㈵㡢㉤摤扤攱㈳搶㕥昱愷㥥㈱扡㙦挷㜶晢㘸㝡㉡晦ㄲ昶㘶戲ㄸ㑦捤㌶ㅣ敥㠸㈹愷㝣㝦㌱愱㑤㘴昹㘷换晤㝤㔴捤〳㔱㌴扡㙥㘷挹㑦愴㤵㈸慥㔵㜴摡昱扦㈷散㐷愳敡㔶慣㈵搷㌳㄰㐳敡慣愹扤㐲扥慥㌳搸摡㑤㜶㙢㠳㐸㥤㍦戵搶慡㕤搲ㅣ攲㑢愸ち〸㙦㑦㌰㐵㉤㐰㌸昴㔶㉢挲㠴愲挴ㄷ搱昰㌷攸㤱㔳挲㔱ぢ㤰㠲㉦㕢〵戶㠴愳㘶㈰〵㝦㙤ㄵ㠸㠴㑢戳㔱㙡〲昲挲っ㔳㔴〲攴㠵挳㔶㐴㕥㈸ㄲㄹ㙦㉥ㄱ〹㘱㑡㘶搱㐰戲㠸挰㑢㈶㌲戹っ㙢㥤㡤㤵ㄷ慣㐶㡡搵ぢ㠰攵ㅤ㔵〳㕢㘲㕢戶扣搳攸㙢㍡搶㜷㘱㕢晤㡤㉦㍦晥捡敥晤ㄷ㉦晢昵扢户摣戲晦㤷扢㥦㝣昷㝢晤换ㅥ戹昳捥ㅦ㥥晢搵㈷㕦㌹㍣㝥扢昷摢敦慣扥㝤㘷换戶㥤㤷挴㌷㥣扥㘲攷㈷户㥥摦搲㝤搸㥣㥡㥡摡摡㔳愶㍦㝡昴愹攱㕤㤷散㔵て晤攴愸戴ㄲ㐹捤㙥搸㉥㍤挴㍤㘱㑡㙣改散㜶改㠶ㄲ㔹㕤㠶㐵㤹㉤㔸愳㠲搵㐸㜱晢愱㜶㔶㈴㌸扢㈱挷愶㠸昰晡㔸㤸摢㑣扡昱㘹㐴昴愵散㡢户㤶戲㐶搶㠶㈵㍥昷㘹㘸ㄵ㙢摥㙤慣㜲搳改㥤㙣昹㌲㠲捦〰㠴晣摣㉦ㅦ㜰㌳ㅦ捥晥㐵攱㈷㌰㜰㤳㤱㐷㌰㠳㍣㝥㔱㘹㤵挱敤㐶昳㌸㘶戸㉥戵㍣㠹捦㘰ㄲ〳戸捤㔶攲㑤挰捦戹愳㍡㠳㜸ㄵ㘰ㄴ㑤敡攸㠷㘳㥡㤸㕦㐰㑣昶挲〹㡤㠲㍦〱愱慡㡦㘲挹㠴㜸㕣㠹愲〰晦ㅥ㡥㌵㠴扢〵〲摦慣㘶摣㑤捡昷㘰昳搱㕥晣㈲㝣㜷〶扦㍡㈸㘶攴挱㜷㍥㔴㥣㡦挲挱㤵搰てて攷挴㔰昰㕦づ㤶㌲搹愹㈷㔷㈹摥散㘵㠳挲㘷慥㕢㜲捤戳㜷㝦㍡ㅦ〹晣攴慥ㄳ㥡晦㜲㐷㘴㕦捤ㅢㄷ㥥戵㜰㘵㈴昷捤慥攳昶扥戸慦㌵晥昳搰㑢㝦昰㍦㑡收㈵㐱㝦㤶〴晣㌹〰扢挴挶昴扣敦晢搶敢㥦晡敦慤晡ちㄴ㘶敦㜹昹攸戳㡦晤改昷㐳㡡㝣㥣㤴㙥㕥慢㘹㐷㈳㙡っ摤攷㄰愴〳㝢㕢扦戲㙡捦搵㠹挸㌵㕤ㅢ㡦晣攱挳㍢㈳昷摣㝤敤㈵㙦愹攱挸戲㝢昷㕦㥥㝦攴戱搶摡晦戹㘱攸㌳㕦晥㜱戱〳搷戰戱捦〳戸㌱㥥㝥敡昹敥㙢愲て户敡㙢㔱戸㜲挶扢㠷㍦晤挴敦㕢㐳㡡㍣摥搵㠱㥣戳〳㉦挴㌷晥散昲愵搹挸㘵户㠶㤷捣晤晥捥挸戹愹晣户㉥慣㌳㈲㤹扦扡敡晥戹晢㕥㙣㝤㘵挱㉦昷摣晦晣ㄳ挵づ晣ㄵ㍢昰㈵〰扢挴挶㝣昷㥦㑦㝤攴㡥挷ㅥ㙢搵晦〹㠵㤷〵摦扣攵搷㝦㝣ㄵ㌳㈰㘲〵攳㉥㘵攵ㄴ㉦挲㜰㜶㈳搲㔰搳㐸挹昰愱昲㍤ㄱ㌶散㐶〹㤳愶搰㤱㙥㝣㔹扡愱㈸㔸㐴㙣㙤挳ㅣ㔱搰戵愳㑡㄰㕦ㅦ㔰㤶㐸挱㔶㔷〱戹扢ㄴ㈴㕣〵㘴攸㔲㌰㔴㕡㄰㈶攳攵㍢ㅢ㝣㡡摣㔶㜰〶㑢㜱ㄴ㌹戰ㄴ挴慤㠲㌰扢㝥㌳㜲晤攴愳ㅦ㠸㐱㤴㜰挱挳㕣㝥挵㌹搱戲㥣㔸㔹㡥㔱㤶㌳㔰㤶㌳㔴㤶㤳㈸换搹㕡㤶戳慤㉣㈷㕥㤶㌳㌸搳摤㘷攷捦㉣攳搷㤰㑤扥㡥㜳昷㑡㑣戶挰㔴㈶攱㥤㥥㉡慦ㄷ㑥㍦㌱㑥㈵摦㜱ㄶ㠴挴〷㤴㡢散㙦搵戱ㄳ㈱愴㙦〱㈵〵㙥〵攸㌲㥤扡㑥摦敤㔴㔴㘰搵て㘲戵㌹摢ぢ㐷昶㕣㜷搹㙦㥦戲㙥收㍣㔰戸づ㠲㌷㈳扣昳扥晤㔷㐵㔱挹昶昴㠶㐲㡡ㅡ〲㐹摣敡摥ㅤ㠸戶㑣慡㝢㔴㥦搵愷ㅣ㍤〹扥㌴敢慡㥡㘵捦ㅥ戸㈷㥢㑢㝢㐲㌵挵搱㤳扢㤰㕣㌹愹㥥㔴㔱扤搵㐵㡥づ㌶ㅣ㝦攱敥㉦摣戱晦挰ㅤ晣㘴㘹〷㈹㡢㈸㐴㑡㌸慢愲㜰㜲㜴晢ㅢ㐸ㅥ慣昵摤攰攸昴㠴搷户搷搱㘹㑤㐹ㄴ昲㔱㐴晥挷搳㔱慡晡㜶㤶㑤㐸㘵慢慣㑥ㄵ㥣㍢昷㘲㕥晣㔸㔰㍥㡡㠲扥㝣㜵㈹昹ㅤ慢晢㉤㈴愷戰㍤搶㍡ㄶ㜲挲摢㘳㡤㜳㈱愹搷㠴ㄴ㔵つ㉥愶晥ㅦ〰㠵㥥㔳㐳㈸敦㌹㔵〶㐷捦昷㈲㜹昰戶搳ち挷㠰㈶扣㥤扡㥣〳愲㥥ㄴ㔲㔴㕤㘴㐰摦㐳愴㌰㈰敡㈸㈲㡤㍢㔰挳愹ㄵ㔰㙢㤰㠲㜶㔷〱㈵㜵㈳ㅥ晤㝤〰㜵ぢ㠰摣愵㔹挴㉣㍡㐱捤搳戰㘵愸㌵愱搳戰㜳㥣㍤㝤ㄸ昵㐳戵愴ㄵ㤹攵㈰晥晡摣搷㘷㉢ㅢ㘷㤵挹㡦挲㐰晦㉦㜶敡ㄱ㠲㐷〹ㅥ㈳㜸ㅣ愰愱愶㤶㙢㝢㄰摦昴〴㥢㝥㤲攰㈹㠲㝦㈲昸ㄱ〰摥挴㐹㍦㠸㙦摡挷愶㥦㈶㜸㠶攰㔹㠲晤〰昰ㅣ挸戲㜰摣㈵㡥㘸捥㉣摤捥晡㜹〰㙥㜷晥昶㤰㥦㔳昳㐱收㤷つ搵愵慣㠳㕢昹扦㐲昴㐶戳㠳㠶㘹㑡搵愵㐴昲㡢㔹〵㍣㘸っ㕣づ摢戸戰捤ㄲ晢㤸㔴㜱㠵搸㥦挵㥦昷晥㘱敥㝦㝤愲㜵昷ㄱ㉦㕦戶㝤攳昶挸〲〹捦戶㉡慥ㅥㄱ㙣昶㝣戳慡晦昸㔵户㡦㐴搰㈸〲敥㌷㜱㘵㠹㤰㝢㜳收㥤慦敥晦㔱敢㍤㌷㉤㝢㌵㔹㍦ㄲ㌱㍦ㄶ晦㔵慢攲慡ぢ㠲㘵〲搹㈶㤲㝤㐴慢戸㠰㐴戰つ㄰摢㠴㈹㜴㤲㡢㑢㠴㘳扥昲昶摥㥦晦挳扥搶攸搵慢昷摦昲挶㈵挵㑥㜲攱㠹㘰戳㥥戲㑥㤲㈸㠸昰㙣换㙢㙦扥戱改戹搶挷晥昱挵つ户搵㡣ㄵ㍢㐹㠲㈱㠲㙤ㅥ搹收㔳愱㤳㕣㝢㈲搸㐶㡡㙤摥ㄴ㍡㐹扡㈰挲て摢慦ㅥ㝣改㤱愷㕢㥦㍦愳攵挱捤㝦摥㔱散㈴㘹㠶〸㌶㍢㈹敢㈴改㠹〸扤㌳昶㜵㝦慢晦挷慤㜷㕦昳㔲摤愵扦挸ㄵ㍢㐹㕡㈳㠲㙤㈰搹愶㤶摤挹㕡㤲㔹㤱摥㍦愸㠳㠵㠲㕦㉣㐳戱捥ㅡ晣㜵晦て扤愰攴戸</t>
  </si>
  <si>
    <t>Number of people infected per unit of time</t>
  </si>
  <si>
    <t>Number of people recovered per unit of time</t>
  </si>
  <si>
    <t>Percentage of total population susceptible to symptoms</t>
  </si>
  <si>
    <t>Percentage of people exhibiting mild symptoms</t>
  </si>
  <si>
    <t>Probability of a $1 million severity</t>
  </si>
  <si>
    <t>Frequency x Severity</t>
  </si>
  <si>
    <t>Title</t>
  </si>
  <si>
    <t>NOTES</t>
  </si>
  <si>
    <t>Flag for changing population maximum and allowing workforce related costs</t>
  </si>
  <si>
    <t>NOT USED</t>
  </si>
  <si>
    <t>Input population without birth or death</t>
  </si>
  <si>
    <t>Cost of outpatient and occasional office visits</t>
  </si>
  <si>
    <t>Cost of inpatient and ICU, ventilation, and other pneumonia related life sustaining procedures</t>
  </si>
  <si>
    <t>Cost of lost productivity and replacement</t>
  </si>
  <si>
    <t>Input workforce population</t>
  </si>
  <si>
    <t>SOURCE</t>
  </si>
  <si>
    <t>Horizon</t>
  </si>
  <si>
    <t>HHS tables</t>
  </si>
  <si>
    <t>USER</t>
  </si>
  <si>
    <t>USER and estimation of bounds using CDC data</t>
  </si>
  <si>
    <t>USER and estimation of bounds using HHS data</t>
  </si>
  <si>
    <t>NA</t>
  </si>
  <si>
    <t>Model calculaton</t>
  </si>
  <si>
    <t>Model</t>
  </si>
  <si>
    <t>$</t>
  </si>
  <si>
    <t>MEAN</t>
  </si>
  <si>
    <t>ASSUMPTIONS and INPUTControl</t>
  </si>
  <si>
    <t>Median severity level &gt; $1 million</t>
  </si>
  <si>
    <t>Input</t>
  </si>
  <si>
    <t>M$</t>
  </si>
  <si>
    <t>Select Outlined Area</t>
  </si>
  <si>
    <t>Goto Data, What If Analysis, Data Table</t>
  </si>
  <si>
    <t>Set Column Input Area to:  E5</t>
  </si>
  <si>
    <t>Monte Carlo Simulation</t>
  </si>
  <si>
    <t>Cost</t>
  </si>
  <si>
    <t>Bins</t>
  </si>
  <si>
    <t>Min</t>
  </si>
  <si>
    <t>Max</t>
  </si>
  <si>
    <t>Bin #</t>
  </si>
  <si>
    <t>Bin size</t>
  </si>
  <si>
    <t>Bin</t>
  </si>
  <si>
    <t>Cumulative %</t>
  </si>
  <si>
    <t>Frequency %</t>
  </si>
  <si>
    <t>alpha</t>
  </si>
  <si>
    <t>Skewness</t>
  </si>
  <si>
    <t>Kurtosis</t>
  </si>
  <si>
    <t>Simulation Summary Statistics</t>
  </si>
  <si>
    <t>ASSUMPTIONS TAB</t>
  </si>
  <si>
    <t>INPUT TAB</t>
  </si>
  <si>
    <t>ESTIMATION RESULTS TAB</t>
  </si>
  <si>
    <t>OTHER TABS</t>
  </si>
  <si>
    <t>Simulation Tab</t>
  </si>
  <si>
    <t>In this tab the deterministic weekly evolution of the epidemic with associated costs is run.</t>
  </si>
  <si>
    <t>Sim2 Tab</t>
  </si>
  <si>
    <t>In this tab the same deterministic simulation as in the Simulation Tax is run, except that sampled parameters are used instead of deterministic parameters.</t>
  </si>
  <si>
    <t>MCSimulation Tab</t>
  </si>
  <si>
    <t>The Monte Carlo simulation is contained and run in this tab. Here are the formula definitions of the distributions (Not easily editable at this time) along with table driven Monte Carlo trials, summary of statistical results, and binned frequencies.</t>
  </si>
  <si>
    <t>2004US</t>
  </si>
  <si>
    <t>This tab contains the estimation and inference routines for the 2004 flu season.</t>
  </si>
  <si>
    <t>2013US</t>
  </si>
  <si>
    <t>This tab contains the estimation and inference routines for the 2013 flu season.</t>
  </si>
  <si>
    <t>Threshold Excession</t>
  </si>
  <si>
    <t>Epidemic Counts</t>
  </si>
  <si>
    <t>NCHSData</t>
  </si>
  <si>
    <t>This tab contains the CDC pneumonia and influenza mortality data with epidemic thresholds as well as analysis of threshold excession counts.</t>
  </si>
  <si>
    <t>STDEV</t>
  </si>
  <si>
    <t>Trial</t>
  </si>
  <si>
    <t>mu</t>
  </si>
  <si>
    <t>sigma</t>
  </si>
  <si>
    <t>delta</t>
  </si>
  <si>
    <t>C(delta)</t>
  </si>
  <si>
    <t>J.M. Herrerías-Velasco, R. Herrerías-P
leguezuelo and J. R.van Dorp (2011). Revi
siting the PERT mean and variance, European
Journal of Operational Research, Vol. 210, 448–451</t>
  </si>
  <si>
    <t>3-Parameter Beta-PERT distribution</t>
  </si>
  <si>
    <t>Mean-variance Beta</t>
  </si>
  <si>
    <t xml:space="preserve">https://en.wikipedia.org/wiki/Beta_distribution </t>
  </si>
  <si>
    <t xml:space="preserve">http://www.seas.gwu.edu/~dorpjr/Publications/JournalPapers/EJOR2011.pdf </t>
  </si>
  <si>
    <t xml:space="preserve">http://www.flu.gov/planning-preparedness/federal/hhspandemicinfluenzaplan.pdf </t>
  </si>
  <si>
    <t>Citation</t>
  </si>
  <si>
    <t xml:space="preserve"> </t>
  </si>
  <si>
    <t>Minimum ($mm)</t>
  </si>
  <si>
    <t>Maximum ($mm)</t>
  </si>
  <si>
    <t>Mean ($mm)</t>
  </si>
  <si>
    <t>Median ($mm)</t>
  </si>
  <si>
    <t>Mode ($mm)</t>
  </si>
  <si>
    <t>Standard Deviation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</si>
</sst>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_(* #,##0.0000_);_(* \(#,##0.0000\);_(* &quot;-&quot;??_);_(@_)"/>
    <numFmt numFmtId="165" formatCode="_(* #,##0_);_(* \(#,##0\);_(* &quot;-&quot;??_);_(@_)"/>
    <numFmt numFmtId="166" formatCode="0.0%"/>
    <numFmt numFmtId="167" formatCode="_(* #,##0.00000_);_(* \(#,##0.00000\);_(* &quot;-&quot;??_);_(@_)"/>
    <numFmt numFmtId="168" formatCode="#,##0.0\ ;\-\ #,##0.0\ "/>
    <numFmt numFmtId="169" formatCode="_-* #,##0_-;\-* #,##0_-;_-* &quot;-&quot;??_-;_-@_-"/>
    <numFmt numFmtId="170" formatCode="_-* #,##0.00_-;\-* #,##0.00_-;_-* &quot;-&quot;??_-;_-@_-"/>
    <numFmt numFmtId="171" formatCode="_-* #,##0.0000_-;\-* #,##0.0000_-;_-* &quot;-&quot;??_-;_-@_-"/>
    <numFmt numFmtId="172" formatCode="0.000%"/>
  </numFmts>
  <fonts count="20">
    <font>
      <sz val="10"/>
      <name val="Arial"/>
    </font>
    <font>
      <sz val="12"/>
      <color theme="1"/>
      <name val="Calibri"/>
      <family val="2"/>
      <scheme val="minor"/>
    </font>
    <font>
      <sz val="10"/>
      <name val="Arial"/>
      <family val="2"/>
    </font>
    <font>
      <sz val="8"/>
      <name val="Arial"/>
      <family val="2"/>
    </font>
    <font>
      <sz val="10"/>
      <name val="Arial"/>
      <family val="2"/>
    </font>
    <font>
      <b/>
      <sz val="10"/>
      <color theme="0"/>
      <name val="Arial"/>
      <family val="2"/>
    </font>
    <font>
      <u/>
      <sz val="10"/>
      <color theme="10"/>
      <name val="Arial"/>
      <family val="2"/>
    </font>
    <font>
      <b/>
      <sz val="12"/>
      <color theme="1"/>
      <name val="Calibri"/>
      <family val="2"/>
      <scheme val="minor"/>
    </font>
    <font>
      <sz val="11"/>
      <color theme="1"/>
      <name val="Calibri"/>
      <family val="2"/>
      <scheme val="minor"/>
    </font>
    <font>
      <b/>
      <sz val="11"/>
      <color theme="1"/>
      <name val="Calibri"/>
      <family val="2"/>
      <scheme val="minor"/>
    </font>
    <font>
      <b/>
      <sz val="11"/>
      <color theme="0"/>
      <name val="Calibri"/>
      <family val="2"/>
      <scheme val="minor"/>
    </font>
    <font>
      <sz val="9"/>
      <name val="Arial"/>
      <family val="2"/>
    </font>
    <font>
      <b/>
      <sz val="10"/>
      <name val="Arial"/>
      <family val="2"/>
    </font>
    <font>
      <u/>
      <sz val="10"/>
      <name val="Arial"/>
      <family val="2"/>
    </font>
    <font>
      <sz val="11"/>
      <color rgb="FF006100"/>
      <name val="Calibri"/>
      <family val="2"/>
      <scheme val="minor"/>
    </font>
    <font>
      <sz val="11"/>
      <color rgb="FF9C6500"/>
      <name val="Calibri"/>
      <family val="2"/>
      <scheme val="minor"/>
    </font>
    <font>
      <sz val="11"/>
      <color theme="1" tint="4.9989318521683403E-2"/>
      <name val="Calibri"/>
      <family val="2"/>
      <scheme val="minor"/>
    </font>
    <font>
      <sz val="11"/>
      <color rgb="FFFF0000"/>
      <name val="Akbar"/>
    </font>
    <font>
      <b/>
      <sz val="12"/>
      <name val="Arial"/>
      <family val="2"/>
    </font>
    <font>
      <b/>
      <sz val="14"/>
      <name val="Arial"/>
      <family val="2"/>
    </font>
  </fonts>
  <fills count="15">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3" tint="-0.249977111117893"/>
        <bgColor indexed="64"/>
      </patternFill>
    </fill>
    <fill>
      <patternFill patternType="solid">
        <fgColor rgb="FFC6EFCE"/>
      </patternFill>
    </fill>
    <fill>
      <patternFill patternType="solid">
        <fgColor rgb="FFFFEB9C"/>
      </patternFill>
    </fill>
    <fill>
      <patternFill patternType="solid">
        <fgColor theme="5" tint="0.79998168889431442"/>
        <bgColor indexed="65"/>
      </patternFill>
    </fill>
    <fill>
      <patternFill patternType="solid">
        <fgColor theme="3"/>
        <bgColor indexed="64"/>
      </patternFill>
    </fill>
    <fill>
      <patternFill patternType="solid">
        <fgColor rgb="FF00FF00"/>
        <bgColor indexed="64"/>
      </patternFill>
    </fill>
    <fill>
      <patternFill patternType="solid">
        <fgColor theme="3" tint="0.79998168889431442"/>
        <bgColor indexed="64"/>
      </patternFill>
    </fill>
    <fill>
      <patternFill patternType="solid">
        <fgColor theme="3"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medium">
        <color theme="4"/>
      </left>
      <right/>
      <top style="medium">
        <color theme="4"/>
      </top>
      <bottom/>
      <diagonal/>
    </border>
    <border>
      <left/>
      <right/>
      <top style="medium">
        <color theme="4"/>
      </top>
      <bottom/>
      <diagonal/>
    </border>
    <border>
      <left/>
      <right style="medium">
        <color theme="4"/>
      </right>
      <top style="medium">
        <color theme="4"/>
      </top>
      <bottom/>
      <diagonal/>
    </border>
    <border>
      <left style="medium">
        <color theme="4"/>
      </left>
      <right/>
      <top/>
      <bottom/>
      <diagonal/>
    </border>
    <border>
      <left/>
      <right style="medium">
        <color theme="4"/>
      </right>
      <top/>
      <bottom/>
      <diagonal/>
    </border>
    <border>
      <left style="medium">
        <color theme="4"/>
      </left>
      <right/>
      <top/>
      <bottom style="medium">
        <color theme="4"/>
      </bottom>
      <diagonal/>
    </border>
    <border>
      <left/>
      <right/>
      <top/>
      <bottom style="medium">
        <color theme="4"/>
      </bottom>
      <diagonal/>
    </border>
    <border>
      <left/>
      <right style="medium">
        <color theme="4"/>
      </right>
      <top/>
      <bottom style="medium">
        <color theme="4"/>
      </bottom>
      <diagonal/>
    </border>
  </borders>
  <cellStyleXfs count="15">
    <xf numFmtId="0" fontId="0" fillId="0" borderId="0"/>
    <xf numFmtId="43" fontId="2" fillId="0" borderId="0" applyFont="0" applyFill="0" applyBorder="0" applyAlignment="0" applyProtection="0"/>
    <xf numFmtId="9" fontId="2" fillId="0" borderId="0" applyFont="0" applyFill="0" applyBorder="0" applyAlignment="0" applyProtection="0"/>
    <xf numFmtId="0" fontId="6" fillId="0" borderId="0" applyNumberFormat="0" applyFill="0" applyBorder="0" applyAlignment="0" applyProtection="0"/>
    <xf numFmtId="0" fontId="1" fillId="0" borderId="0"/>
    <xf numFmtId="0" fontId="8" fillId="0" borderId="0"/>
    <xf numFmtId="44"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2" fillId="0" borderId="0"/>
    <xf numFmtId="0" fontId="11" fillId="0" borderId="0"/>
    <xf numFmtId="0" fontId="8" fillId="10" borderId="0" applyNumberFormat="0" applyBorder="0" applyAlignment="0" applyProtection="0"/>
    <xf numFmtId="0" fontId="14" fillId="8" borderId="0" applyNumberFormat="0" applyBorder="0" applyAlignment="0" applyProtection="0"/>
    <xf numFmtId="170" fontId="8" fillId="0" borderId="0" applyFont="0" applyFill="0" applyBorder="0" applyAlignment="0" applyProtection="0"/>
    <xf numFmtId="0" fontId="15" fillId="9" borderId="0" applyNumberFormat="0" applyBorder="0" applyAlignment="0" applyProtection="0"/>
  </cellStyleXfs>
  <cellXfs count="149">
    <xf numFmtId="0" fontId="0" fillId="0" borderId="0" xfId="0"/>
    <xf numFmtId="0" fontId="4" fillId="0" borderId="0" xfId="0" applyFont="1"/>
    <xf numFmtId="0" fontId="0" fillId="3" borderId="0" xfId="0" applyFill="1"/>
    <xf numFmtId="9" fontId="0" fillId="0" borderId="0" xfId="0" applyNumberFormat="1"/>
    <xf numFmtId="165" fontId="0" fillId="0" borderId="0" xfId="1" applyNumberFormat="1" applyFont="1"/>
    <xf numFmtId="0" fontId="0" fillId="0" borderId="1" xfId="0" applyBorder="1" applyAlignment="1">
      <alignment horizontal="right" vertical="center"/>
    </xf>
    <xf numFmtId="43" fontId="0" fillId="0" borderId="0" xfId="1" applyNumberFormat="1" applyFont="1"/>
    <xf numFmtId="0" fontId="0" fillId="4" borderId="0" xfId="0" applyFill="1"/>
    <xf numFmtId="0" fontId="0" fillId="5" borderId="0" xfId="0" applyFill="1"/>
    <xf numFmtId="43" fontId="0" fillId="0" borderId="0" xfId="1" applyNumberFormat="1" applyFont="1" applyFill="1"/>
    <xf numFmtId="0" fontId="0" fillId="0" borderId="0" xfId="0" applyFill="1"/>
    <xf numFmtId="43" fontId="4" fillId="0" borderId="0" xfId="1" applyNumberFormat="1" applyFont="1" applyFill="1"/>
    <xf numFmtId="0" fontId="4" fillId="6" borderId="1" xfId="0" applyFont="1" applyFill="1" applyBorder="1" applyAlignment="1">
      <alignment horizontal="center" vertical="center"/>
    </xf>
    <xf numFmtId="0" fontId="5" fillId="7" borderId="0" xfId="0" applyFont="1" applyFill="1" applyAlignment="1">
      <alignment horizontal="center" vertical="center"/>
    </xf>
    <xf numFmtId="0" fontId="5" fillId="7" borderId="0" xfId="0" applyFont="1" applyFill="1" applyBorder="1" applyAlignment="1">
      <alignment horizontal="center" vertical="center"/>
    </xf>
    <xf numFmtId="0" fontId="4" fillId="0" borderId="0" xfId="0" quotePrefix="1" applyFont="1"/>
    <xf numFmtId="9" fontId="0" fillId="0" borderId="0" xfId="2" applyFont="1"/>
    <xf numFmtId="164" fontId="0" fillId="0" borderId="0" xfId="1" applyNumberFormat="1" applyFont="1" applyAlignment="1">
      <alignment horizontal="right" vertical="center"/>
    </xf>
    <xf numFmtId="0" fontId="6" fillId="0" borderId="0" xfId="3"/>
    <xf numFmtId="0" fontId="1" fillId="0" borderId="0" xfId="4"/>
    <xf numFmtId="10" fontId="0" fillId="0" borderId="0" xfId="2" applyNumberFormat="1" applyFont="1"/>
    <xf numFmtId="0" fontId="2" fillId="0" borderId="0" xfId="0" applyFont="1"/>
    <xf numFmtId="0" fontId="8" fillId="0" borderId="0" xfId="5"/>
    <xf numFmtId="0" fontId="10" fillId="11" borderId="0" xfId="5" applyFont="1" applyFill="1"/>
    <xf numFmtId="0" fontId="12" fillId="0" borderId="0" xfId="0" applyFont="1"/>
    <xf numFmtId="0" fontId="0" fillId="0" borderId="0" xfId="0" quotePrefix="1"/>
    <xf numFmtId="1" fontId="0" fillId="0" borderId="0" xfId="0" applyNumberFormat="1"/>
    <xf numFmtId="1" fontId="8" fillId="0" borderId="0" xfId="5" applyNumberFormat="1"/>
    <xf numFmtId="43" fontId="8" fillId="12" borderId="0" xfId="1" applyFont="1" applyFill="1"/>
    <xf numFmtId="167" fontId="8" fillId="12" borderId="0" xfId="1" applyNumberFormat="1" applyFont="1" applyFill="1"/>
    <xf numFmtId="43" fontId="8" fillId="0" borderId="0" xfId="1" applyFont="1"/>
    <xf numFmtId="0" fontId="5" fillId="11" borderId="0" xfId="0" applyFont="1" applyFill="1"/>
    <xf numFmtId="43" fontId="2" fillId="0" borderId="0" xfId="1" applyNumberFormat="1" applyFont="1" applyFill="1"/>
    <xf numFmtId="9" fontId="8" fillId="0" borderId="0" xfId="2" applyFont="1"/>
    <xf numFmtId="165" fontId="0" fillId="0" borderId="0" xfId="0" applyNumberFormat="1"/>
    <xf numFmtId="165" fontId="2" fillId="0" borderId="0" xfId="0" applyNumberFormat="1" applyFont="1"/>
    <xf numFmtId="43" fontId="0" fillId="0" borderId="0" xfId="0" applyNumberFormat="1"/>
    <xf numFmtId="0" fontId="0" fillId="0" borderId="3" xfId="0" applyBorder="1"/>
    <xf numFmtId="0" fontId="0" fillId="0" borderId="4" xfId="0" applyBorder="1"/>
    <xf numFmtId="0" fontId="0" fillId="0" borderId="5" xfId="0" applyBorder="1"/>
    <xf numFmtId="0" fontId="0" fillId="0" borderId="6" xfId="0" applyBorder="1"/>
    <xf numFmtId="0" fontId="2" fillId="0" borderId="1" xfId="0" applyFont="1" applyBorder="1"/>
    <xf numFmtId="0" fontId="2" fillId="0" borderId="7" xfId="0" applyFont="1" applyBorder="1"/>
    <xf numFmtId="0" fontId="2" fillId="0" borderId="8" xfId="0" applyFont="1" applyBorder="1"/>
    <xf numFmtId="0" fontId="0" fillId="0" borderId="1" xfId="0" applyBorder="1"/>
    <xf numFmtId="0" fontId="2" fillId="0" borderId="1" xfId="0" quotePrefix="1" applyFont="1" applyBorder="1"/>
    <xf numFmtId="0" fontId="4" fillId="0" borderId="7" xfId="0" applyFont="1" applyBorder="1"/>
    <xf numFmtId="0" fontId="4" fillId="0" borderId="8" xfId="0" applyFont="1" applyBorder="1"/>
    <xf numFmtId="0" fontId="0" fillId="0" borderId="7" xfId="0" applyBorder="1"/>
    <xf numFmtId="0" fontId="0" fillId="3" borderId="1" xfId="0" applyFill="1" applyBorder="1"/>
    <xf numFmtId="9" fontId="0" fillId="0" borderId="1" xfId="0" applyNumberFormat="1" applyBorder="1"/>
    <xf numFmtId="9" fontId="0" fillId="0" borderId="1" xfId="2" applyFont="1" applyBorder="1"/>
    <xf numFmtId="0" fontId="4" fillId="0" borderId="9" xfId="0" applyFont="1" applyBorder="1"/>
    <xf numFmtId="0" fontId="0" fillId="0" borderId="9" xfId="0" applyBorder="1"/>
    <xf numFmtId="0" fontId="4" fillId="0" borderId="10" xfId="0" applyFont="1" applyBorder="1"/>
    <xf numFmtId="0" fontId="2" fillId="0" borderId="10" xfId="0" applyFont="1" applyBorder="1"/>
    <xf numFmtId="3" fontId="0" fillId="0" borderId="7" xfId="0" applyNumberFormat="1" applyBorder="1"/>
    <xf numFmtId="3" fontId="0" fillId="0" borderId="8" xfId="0" applyNumberFormat="1" applyBorder="1"/>
    <xf numFmtId="9" fontId="0" fillId="0" borderId="8" xfId="0" applyNumberFormat="1" applyBorder="1"/>
    <xf numFmtId="164" fontId="0" fillId="2" borderId="7" xfId="1" applyNumberFormat="1" applyFont="1" applyFill="1" applyBorder="1"/>
    <xf numFmtId="164" fontId="0" fillId="0" borderId="7" xfId="1" applyNumberFormat="1" applyFont="1" applyBorder="1"/>
    <xf numFmtId="164" fontId="0" fillId="2" borderId="8" xfId="1" applyNumberFormat="1" applyFont="1" applyFill="1" applyBorder="1"/>
    <xf numFmtId="164" fontId="0" fillId="0" borderId="8" xfId="1" applyNumberFormat="1" applyFont="1" applyBorder="1"/>
    <xf numFmtId="164" fontId="0" fillId="3" borderId="1" xfId="1" applyNumberFormat="1" applyFont="1" applyFill="1" applyBorder="1"/>
    <xf numFmtId="164" fontId="0" fillId="0" borderId="0" xfId="1" applyNumberFormat="1" applyFont="1"/>
    <xf numFmtId="164" fontId="2" fillId="0" borderId="1" xfId="1" applyNumberFormat="1" applyFont="1" applyBorder="1"/>
    <xf numFmtId="164" fontId="0" fillId="0" borderId="1" xfId="1" applyNumberFormat="1" applyFont="1" applyBorder="1"/>
    <xf numFmtId="164" fontId="0" fillId="0" borderId="3" xfId="1" applyNumberFormat="1" applyFont="1" applyBorder="1"/>
    <xf numFmtId="164" fontId="0" fillId="0" borderId="4" xfId="1" applyNumberFormat="1" applyFont="1" applyBorder="1"/>
    <xf numFmtId="164" fontId="0" fillId="0" borderId="5" xfId="1" applyNumberFormat="1" applyFont="1" applyBorder="1"/>
    <xf numFmtId="164" fontId="0" fillId="0" borderId="6" xfId="1" applyNumberFormat="1" applyFont="1" applyBorder="1"/>
    <xf numFmtId="9" fontId="0" fillId="4" borderId="0" xfId="0" applyNumberFormat="1" applyFill="1"/>
    <xf numFmtId="0" fontId="2" fillId="4" borderId="0" xfId="0" applyFont="1" applyFill="1"/>
    <xf numFmtId="43" fontId="0" fillId="4" borderId="0" xfId="1" applyFont="1" applyFill="1"/>
    <xf numFmtId="9" fontId="2" fillId="4" borderId="0" xfId="0" applyNumberFormat="1" applyFont="1" applyFill="1"/>
    <xf numFmtId="1" fontId="0" fillId="3" borderId="0" xfId="0" applyNumberFormat="1" applyFill="1"/>
    <xf numFmtId="9" fontId="0" fillId="3" borderId="0" xfId="2" applyFont="1" applyFill="1"/>
    <xf numFmtId="43" fontId="0" fillId="3" borderId="0" xfId="1" applyFont="1" applyFill="1"/>
    <xf numFmtId="0" fontId="2" fillId="4" borderId="0" xfId="0" applyFont="1" applyFill="1" applyAlignment="1">
      <alignment horizontal="center"/>
    </xf>
    <xf numFmtId="0" fontId="2" fillId="3" borderId="0" xfId="0" applyFont="1" applyFill="1"/>
    <xf numFmtId="43" fontId="4" fillId="0" borderId="3" xfId="1" applyNumberFormat="1" applyFont="1" applyFill="1" applyBorder="1"/>
    <xf numFmtId="0" fontId="2" fillId="0" borderId="9" xfId="0" applyFont="1" applyBorder="1"/>
    <xf numFmtId="43" fontId="4" fillId="0" borderId="11" xfId="1" applyNumberFormat="1" applyFont="1" applyFill="1" applyBorder="1"/>
    <xf numFmtId="0" fontId="2" fillId="0" borderId="0" xfId="0" applyFont="1" applyBorder="1"/>
    <xf numFmtId="0" fontId="0" fillId="0" borderId="0" xfId="0" applyBorder="1"/>
    <xf numFmtId="0" fontId="0" fillId="0" borderId="12" xfId="0" applyBorder="1"/>
    <xf numFmtId="43" fontId="2" fillId="0" borderId="5" xfId="1" applyNumberFormat="1" applyFont="1" applyFill="1" applyBorder="1"/>
    <xf numFmtId="43" fontId="0" fillId="0" borderId="10" xfId="1" applyNumberFormat="1" applyFont="1" applyFill="1" applyBorder="1"/>
    <xf numFmtId="0" fontId="0" fillId="0" borderId="10" xfId="0" applyBorder="1"/>
    <xf numFmtId="43" fontId="0" fillId="0" borderId="1" xfId="1" applyNumberFormat="1" applyFont="1" applyBorder="1"/>
    <xf numFmtId="0" fontId="13" fillId="0" borderId="0" xfId="0" applyFont="1"/>
    <xf numFmtId="0" fontId="2" fillId="6" borderId="1" xfId="0" applyFont="1" applyFill="1" applyBorder="1" applyAlignment="1">
      <alignment horizontal="center" vertical="center"/>
    </xf>
    <xf numFmtId="0" fontId="12" fillId="0" borderId="0" xfId="0" applyFont="1" applyFill="1"/>
    <xf numFmtId="0" fontId="7" fillId="0" borderId="0" xfId="5" applyFont="1"/>
    <xf numFmtId="0" fontId="9" fillId="0" borderId="0" xfId="5" applyFont="1" applyAlignment="1">
      <alignment horizontal="center"/>
    </xf>
    <xf numFmtId="0" fontId="8" fillId="0" borderId="0" xfId="5" applyAlignment="1">
      <alignment horizontal="left"/>
    </xf>
    <xf numFmtId="170" fontId="16" fillId="13" borderId="0" xfId="13" applyFont="1" applyFill="1" applyBorder="1"/>
    <xf numFmtId="171" fontId="8" fillId="0" borderId="0" xfId="5" applyNumberFormat="1"/>
    <xf numFmtId="0" fontId="17" fillId="0" borderId="0" xfId="5" applyFont="1"/>
    <xf numFmtId="170" fontId="0" fillId="0" borderId="0" xfId="13" applyFont="1"/>
    <xf numFmtId="169" fontId="8" fillId="0" borderId="0" xfId="13" applyNumberFormat="1" applyFont="1"/>
    <xf numFmtId="0" fontId="9" fillId="0" borderId="2" xfId="5" applyFont="1" applyBorder="1"/>
    <xf numFmtId="169" fontId="15" fillId="9" borderId="2" xfId="14" applyNumberFormat="1" applyBorder="1"/>
    <xf numFmtId="9" fontId="14" fillId="8" borderId="0" xfId="2" applyFont="1" applyFill="1"/>
    <xf numFmtId="169" fontId="15" fillId="0" borderId="0" xfId="13" applyNumberFormat="1" applyFont="1" applyFill="1"/>
    <xf numFmtId="169" fontId="8" fillId="0" borderId="0" xfId="13" applyNumberFormat="1" applyFont="1" applyFill="1"/>
    <xf numFmtId="166" fontId="8" fillId="0" borderId="0" xfId="2" applyNumberFormat="1" applyFont="1"/>
    <xf numFmtId="43" fontId="16" fillId="13" borderId="0" xfId="1" applyFont="1" applyFill="1" applyBorder="1"/>
    <xf numFmtId="9" fontId="16" fillId="13" borderId="0" xfId="2" applyFont="1" applyFill="1" applyBorder="1"/>
    <xf numFmtId="0" fontId="8" fillId="0" borderId="13" xfId="5" applyBorder="1"/>
    <xf numFmtId="43" fontId="8" fillId="0" borderId="13" xfId="1" applyFont="1" applyBorder="1"/>
    <xf numFmtId="43" fontId="8" fillId="0" borderId="14" xfId="1" applyFont="1" applyBorder="1"/>
    <xf numFmtId="43" fontId="8" fillId="0" borderId="15" xfId="1" applyFont="1" applyBorder="1"/>
    <xf numFmtId="43" fontId="8" fillId="0" borderId="16" xfId="1" applyFont="1" applyBorder="1"/>
    <xf numFmtId="168" fontId="8" fillId="0" borderId="14" xfId="5" applyNumberFormat="1" applyBorder="1"/>
    <xf numFmtId="168" fontId="8" fillId="0" borderId="15" xfId="5" applyNumberFormat="1" applyBorder="1"/>
    <xf numFmtId="168" fontId="8" fillId="0" borderId="16" xfId="5" applyNumberFormat="1" applyBorder="1"/>
    <xf numFmtId="166" fontId="8" fillId="0" borderId="0" xfId="5" applyNumberFormat="1"/>
    <xf numFmtId="43" fontId="8" fillId="0" borderId="0" xfId="5" applyNumberFormat="1"/>
    <xf numFmtId="0" fontId="18" fillId="0" borderId="0" xfId="0" applyFont="1"/>
    <xf numFmtId="9" fontId="8" fillId="0" borderId="13" xfId="2" applyFont="1" applyBorder="1"/>
    <xf numFmtId="172" fontId="8" fillId="0" borderId="13" xfId="2" applyNumberFormat="1" applyFont="1" applyBorder="1"/>
    <xf numFmtId="0" fontId="8" fillId="0" borderId="13" xfId="5" applyBorder="1" applyAlignment="1">
      <alignment horizontal="center"/>
    </xf>
    <xf numFmtId="0" fontId="9" fillId="0" borderId="13" xfId="5" applyFont="1" applyBorder="1"/>
    <xf numFmtId="0" fontId="9" fillId="0" borderId="13" xfId="11" applyFont="1" applyFill="1" applyBorder="1" applyAlignment="1">
      <alignment horizontal="center" wrapText="1"/>
    </xf>
    <xf numFmtId="0" fontId="9" fillId="0" borderId="13" xfId="11" applyFont="1" applyFill="1" applyBorder="1" applyAlignment="1">
      <alignment horizontal="center"/>
    </xf>
    <xf numFmtId="0" fontId="8" fillId="0" borderId="14" xfId="5" applyBorder="1"/>
    <xf numFmtId="0" fontId="0" fillId="0" borderId="14" xfId="11" applyFont="1" applyFill="1" applyBorder="1" applyAlignment="1">
      <alignment horizontal="center" wrapText="1"/>
    </xf>
    <xf numFmtId="0" fontId="0" fillId="0" borderId="14" xfId="11" applyFont="1" applyFill="1" applyBorder="1" applyAlignment="1">
      <alignment horizontal="center"/>
    </xf>
    <xf numFmtId="0" fontId="8" fillId="0" borderId="17" xfId="5" applyBorder="1"/>
    <xf numFmtId="169" fontId="0" fillId="14" borderId="20" xfId="13" quotePrefix="1" applyNumberFormat="1" applyFont="1" applyFill="1" applyBorder="1"/>
    <xf numFmtId="168" fontId="16" fillId="13" borderId="21" xfId="13" applyNumberFormat="1" applyFont="1" applyFill="1" applyBorder="1"/>
    <xf numFmtId="170" fontId="16" fillId="13" borderId="21" xfId="13" applyNumberFormat="1" applyFont="1" applyFill="1" applyBorder="1"/>
    <xf numFmtId="169" fontId="0" fillId="14" borderId="22" xfId="13" quotePrefix="1" applyNumberFormat="1" applyFont="1" applyFill="1" applyBorder="1"/>
    <xf numFmtId="9" fontId="16" fillId="13" borderId="23" xfId="2" applyFont="1" applyFill="1" applyBorder="1"/>
    <xf numFmtId="43" fontId="16" fillId="13" borderId="23" xfId="1" applyFont="1" applyFill="1" applyBorder="1"/>
    <xf numFmtId="170" fontId="16" fillId="13" borderId="23" xfId="13" applyFont="1" applyFill="1" applyBorder="1"/>
    <xf numFmtId="170" fontId="16" fillId="13" borderId="24" xfId="13" applyNumberFormat="1" applyFont="1" applyFill="1" applyBorder="1"/>
    <xf numFmtId="9" fontId="15" fillId="4" borderId="18" xfId="2" applyFont="1" applyFill="1" applyBorder="1"/>
    <xf numFmtId="43" fontId="15" fillId="4" borderId="18" xfId="1" applyFont="1" applyFill="1" applyBorder="1"/>
    <xf numFmtId="170" fontId="15" fillId="4" borderId="18" xfId="13" applyFont="1" applyFill="1" applyBorder="1"/>
    <xf numFmtId="168" fontId="15" fillId="4" borderId="19" xfId="13" applyNumberFormat="1" applyFont="1" applyFill="1" applyBorder="1"/>
    <xf numFmtId="0" fontId="14" fillId="4" borderId="0" xfId="12" applyFill="1"/>
    <xf numFmtId="0" fontId="8" fillId="0" borderId="0" xfId="5" applyAlignment="1"/>
    <xf numFmtId="0" fontId="19" fillId="0" borderId="0" xfId="0" applyFont="1"/>
    <xf numFmtId="0" fontId="0" fillId="0" borderId="1" xfId="0" applyBorder="1" applyAlignment="1">
      <alignment wrapText="1"/>
    </xf>
    <xf numFmtId="0" fontId="2" fillId="0" borderId="1" xfId="0" applyFont="1" applyBorder="1" applyAlignment="1">
      <alignment wrapText="1"/>
    </xf>
    <xf numFmtId="165" fontId="0" fillId="3" borderId="0" xfId="1" applyNumberFormat="1" applyFont="1" applyFill="1"/>
    <xf numFmtId="0" fontId="8" fillId="0" borderId="1" xfId="5" applyBorder="1"/>
  </cellXfs>
  <cellStyles count="15">
    <cellStyle name="20% - Accent2 2" xfId="11" xr:uid="{00000000-0005-0000-0000-000000000000}"/>
    <cellStyle name="Comma" xfId="1" builtinId="3"/>
    <cellStyle name="Comma 2" xfId="8" xr:uid="{00000000-0005-0000-0000-000002000000}"/>
    <cellStyle name="Comma 3" xfId="13" xr:uid="{00000000-0005-0000-0000-000003000000}"/>
    <cellStyle name="Currency 2" xfId="6" xr:uid="{00000000-0005-0000-0000-000004000000}"/>
    <cellStyle name="Good 2" xfId="12" xr:uid="{00000000-0005-0000-0000-000005000000}"/>
    <cellStyle name="Hyperlink" xfId="3" builtinId="8"/>
    <cellStyle name="Neutral 2" xfId="14" xr:uid="{00000000-0005-0000-0000-000007000000}"/>
    <cellStyle name="Normal" xfId="0" builtinId="0"/>
    <cellStyle name="Normal 2" xfId="4" xr:uid="{00000000-0005-0000-0000-000009000000}"/>
    <cellStyle name="Normal 2 2" xfId="10" xr:uid="{00000000-0005-0000-0000-00000A000000}"/>
    <cellStyle name="Normal 3" xfId="5" xr:uid="{00000000-0005-0000-0000-00000B000000}"/>
    <cellStyle name="Normal 3 2" xfId="9" xr:uid="{00000000-0005-0000-0000-00000C000000}"/>
    <cellStyle name="Percent" xfId="2" builtinId="5"/>
    <cellStyle name="Percent 2" xfId="7" xr:uid="{00000000-0005-0000-0000-00000E000000}"/>
  </cellStyles>
  <dxfs count="4">
    <dxf>
      <fill>
        <patternFill>
          <bgColor theme="4" tint="0.59996337778862885"/>
        </patternFill>
      </fill>
    </dxf>
    <dxf>
      <fill>
        <patternFill>
          <bgColor theme="4" tint="0.79998168889431442"/>
        </patternFill>
      </fill>
    </dxf>
    <dxf>
      <fill>
        <patternFill>
          <bgColor theme="4" tint="0.59996337778862885"/>
        </patternFill>
      </fill>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0">
                <a:solidFill>
                  <a:sysClr val="windowText" lastClr="000000"/>
                </a:solidFill>
                <a:latin typeface="Calibri Light" panose="020F0302020204030204" pitchFamily="34" charset="0"/>
              </a:defRPr>
            </a:pPr>
            <a:r>
              <a:rPr lang="en-US" sz="1600" b="0">
                <a:solidFill>
                  <a:sysClr val="windowText" lastClr="000000"/>
                </a:solidFill>
                <a:latin typeface="Calibri Light" panose="020F0302020204030204" pitchFamily="34" charset="0"/>
              </a:rPr>
              <a:t>US</a:t>
            </a:r>
            <a:r>
              <a:rPr lang="en-US" sz="1600" b="0" baseline="0">
                <a:solidFill>
                  <a:sysClr val="windowText" lastClr="000000"/>
                </a:solidFill>
                <a:latin typeface="Calibri Light" panose="020F0302020204030204" pitchFamily="34" charset="0"/>
              </a:rPr>
              <a:t> Flu Epidemic Cost Evolution</a:t>
            </a:r>
            <a:endParaRPr lang="en-US" sz="1600" b="0">
              <a:solidFill>
                <a:sysClr val="windowText" lastClr="000000"/>
              </a:solidFill>
              <a:latin typeface="Calibri Light" panose="020F0302020204030204" pitchFamily="34" charset="0"/>
            </a:endParaRPr>
          </a:p>
        </c:rich>
      </c:tx>
      <c:overlay val="0"/>
    </c:title>
    <c:autoTitleDeleted val="0"/>
    <c:plotArea>
      <c:layout/>
      <c:lineChart>
        <c:grouping val="standard"/>
        <c:varyColors val="0"/>
        <c:ser>
          <c:idx val="0"/>
          <c:order val="0"/>
          <c:tx>
            <c:strRef>
              <c:f>Simulation!$F$3</c:f>
              <c:strCache>
                <c:ptCount val="1"/>
                <c:pt idx="0">
                  <c:v>Susceptible Cost</c:v>
                </c:pt>
              </c:strCache>
            </c:strRef>
          </c:tx>
          <c:marker>
            <c:symbol val="none"/>
          </c:marker>
          <c:val>
            <c:numRef>
              <c:f>Simulation!$F$4:$F$47</c:f>
              <c:numCache>
                <c:formatCode>_(* #,##0_);_(* \(#,##0\);_(* "-"??_);_(@_)</c:formatCode>
                <c:ptCount val="44"/>
                <c:pt idx="0">
                  <c:v>0</c:v>
                </c:pt>
                <c:pt idx="1">
                  <c:v>2129.1480000000092</c:v>
                </c:pt>
                <c:pt idx="2">
                  <c:v>2285.501952038976</c:v>
                </c:pt>
                <c:pt idx="3">
                  <c:v>2431.1710621456086</c:v>
                </c:pt>
                <c:pt idx="4">
                  <c:v>2560.9295034649676</c:v>
                </c:pt>
                <c:pt idx="5">
                  <c:v>2669.519193983092</c:v>
                </c:pt>
                <c:pt idx="6">
                  <c:v>2752.0215785004666</c:v>
                </c:pt>
                <c:pt idx="7">
                  <c:v>2804.2655785202669</c:v>
                </c:pt>
                <c:pt idx="8">
                  <c:v>2823.2231748718277</c:v>
                </c:pt>
                <c:pt idx="9">
                  <c:v>2807.3358044409588</c:v>
                </c:pt>
                <c:pt idx="10">
                  <c:v>2756.7172548275721</c:v>
                </c:pt>
                <c:pt idx="11">
                  <c:v>2673.1937374376457</c:v>
                </c:pt>
                <c:pt idx="12">
                  <c:v>2560.167354486407</c:v>
                </c:pt>
                <c:pt idx="13">
                  <c:v>2422.3196142268534</c:v>
                </c:pt>
                <c:pt idx="14">
                  <c:v>2265.1992579461421</c:v>
                </c:pt>
                <c:pt idx="15">
                  <c:v>2094.7562762633879</c:v>
                </c:pt>
                <c:pt idx="16">
                  <c:v>1916.8875910961788</c:v>
                </c:pt>
                <c:pt idx="17">
                  <c:v>1737.0498653495133</c:v>
                </c:pt>
                <c:pt idx="18">
                  <c:v>1559.9755386812831</c:v>
                </c:pt>
                <c:pt idx="19">
                  <c:v>1389.5056307816503</c:v>
                </c:pt>
                <c:pt idx="20">
                  <c:v>1228.5328322995838</c:v>
                </c:pt>
                <c:pt idx="21">
                  <c:v>1079.0345747646143</c:v>
                </c:pt>
                <c:pt idx="22">
                  <c:v>942.16922560826788</c:v>
                </c:pt>
                <c:pt idx="23">
                  <c:v>818.40831621507277</c:v>
                </c:pt>
                <c:pt idx="24">
                  <c:v>707.68171004701799</c:v>
                </c:pt>
                <c:pt idx="25">
                  <c:v>609.51862723748036</c:v>
                </c:pt>
                <c:pt idx="26">
                  <c:v>523.17368232979788</c:v>
                </c:pt>
                <c:pt idx="27">
                  <c:v>447.7324579816468</c:v>
                </c:pt>
                <c:pt idx="28">
                  <c:v>382.19515037369547</c:v>
                </c:pt>
                <c:pt idx="29">
                  <c:v>325.53944886522004</c:v>
                </c:pt>
                <c:pt idx="30">
                  <c:v>276.7652679525554</c:v>
                </c:pt>
                <c:pt idx="31">
                  <c:v>234.9245394552554</c:v>
                </c:pt>
                <c:pt idx="32">
                  <c:v>199.13929522554099</c:v>
                </c:pt>
                <c:pt idx="33">
                  <c:v>168.61096878240005</c:v>
                </c:pt>
                <c:pt idx="34">
                  <c:v>142.62339355218501</c:v>
                </c:pt>
                <c:pt idx="35">
                  <c:v>120.54148943891505</c:v>
                </c:pt>
                <c:pt idx="36">
                  <c:v>101.80717358130096</c:v>
                </c:pt>
                <c:pt idx="37">
                  <c:v>85.933636907884647</c:v>
                </c:pt>
                <c:pt idx="38">
                  <c:v>72.49880554493302</c:v>
                </c:pt>
                <c:pt idx="39">
                  <c:v>61.138553044634136</c:v>
                </c:pt>
                <c:pt idx="40">
                  <c:v>51.540037493282398</c:v>
                </c:pt>
                <c:pt idx="41">
                  <c:v>43.435396377140023</c:v>
                </c:pt>
                <c:pt idx="42">
                  <c:v>36.595931163788009</c:v>
                </c:pt>
                <c:pt idx="43">
                  <c:v>30.82684355854326</c:v>
                </c:pt>
              </c:numCache>
            </c:numRef>
          </c:val>
          <c:smooth val="0"/>
          <c:extLst>
            <c:ext xmlns:c16="http://schemas.microsoft.com/office/drawing/2014/chart" uri="{C3380CC4-5D6E-409C-BE32-E72D297353CC}">
              <c16:uniqueId val="{00000000-2694-48AE-9077-44971CFE769F}"/>
            </c:ext>
          </c:extLst>
        </c:ser>
        <c:ser>
          <c:idx val="1"/>
          <c:order val="1"/>
          <c:tx>
            <c:strRef>
              <c:f>Simulation!$G$3</c:f>
              <c:strCache>
                <c:ptCount val="1"/>
                <c:pt idx="0">
                  <c:v>Infectives Cost</c:v>
                </c:pt>
              </c:strCache>
            </c:strRef>
          </c:tx>
          <c:marker>
            <c:symbol val="none"/>
          </c:marker>
          <c:val>
            <c:numRef>
              <c:f>Simulation!$G$4:$G$47</c:f>
              <c:numCache>
                <c:formatCode>_(* #,##0_);_(* \(#,##0\);_(* "-"??_);_(@_)</c:formatCode>
                <c:ptCount val="44"/>
                <c:pt idx="0">
                  <c:v>56778.509999999995</c:v>
                </c:pt>
                <c:pt idx="1">
                  <c:v>61191.33579720003</c:v>
                </c:pt>
                <c:pt idx="2">
                  <c:v>65371.554425275965</c:v>
                </c:pt>
                <c:pt idx="3">
                  <c:v>69177.293971072402</c:v>
                </c:pt>
                <c:pt idx="4">
                  <c:v>72461.60250057104</c:v>
                </c:pt>
                <c:pt idx="5">
                  <c:v>75082.036257888903</c:v>
                </c:pt>
                <c:pt idx="6">
                  <c:v>76911.764761066501</c:v>
                </c:pt>
                <c:pt idx="7">
                  <c:v>77851.003868491302</c:v>
                </c:pt>
                <c:pt idx="8">
                  <c:v>77837.246202595066</c:v>
                </c:pt>
                <c:pt idx="9">
                  <c:v>76852.675830843407</c:v>
                </c:pt>
                <c:pt idx="10">
                  <c:v>74927.418219204934</c:v>
                </c:pt>
                <c:pt idx="11">
                  <c:v>72137.88239259884</c:v>
                </c:pt>
                <c:pt idx="12">
                  <c:v>68600.282743199801</c:v>
                </c:pt>
                <c:pt idx="13">
                  <c:v>64460.278537399288</c:v>
                </c:pt>
                <c:pt idx="14">
                  <c:v>59880.315376372557</c:v>
                </c:pt>
                <c:pt idx="15">
                  <c:v>55026.531772324903</c:v>
                </c:pt>
                <c:pt idx="16">
                  <c:v>50056.961810502718</c:v>
                </c:pt>
                <c:pt idx="17">
                  <c:v>45112.303355012526</c:v>
                </c:pt>
                <c:pt idx="18">
                  <c:v>40309.894081823382</c:v>
                </c:pt>
                <c:pt idx="19">
                  <c:v>35740.922369714121</c:v>
                </c:pt>
                <c:pt idx="20">
                  <c:v>31470.429436754086</c:v>
                </c:pt>
                <c:pt idx="21">
                  <c:v>27539.392878371818</c:v>
                </c:pt>
                <c:pt idx="22">
                  <c:v>23968.111748092171</c:v>
                </c:pt>
                <c:pt idx="23">
                  <c:v>20760.188475459116</c:v>
                </c:pt>
                <c:pt idx="24">
                  <c:v>17906.558411077149</c:v>
                </c:pt>
                <c:pt idx="25">
                  <c:v>15389.196624075745</c:v>
                </c:pt>
                <c:pt idx="26">
                  <c:v>13184.294919191203</c:v>
                </c:pt>
                <c:pt idx="27">
                  <c:v>11264.830191677715</c:v>
                </c:pt>
                <c:pt idx="28">
                  <c:v>9602.533343613075</c:v>
                </c:pt>
                <c:pt idx="29">
                  <c:v>8169.3202231913074</c:v>
                </c:pt>
                <c:pt idx="30">
                  <c:v>6938.2705904134082</c:v>
                </c:pt>
                <c:pt idx="31">
                  <c:v>5884.2467158889203</c:v>
                </c:pt>
                <c:pt idx="32">
                  <c:v>4984.2374136647923</c:v>
                </c:pt>
                <c:pt idx="33">
                  <c:v>4217.5017413345086</c:v>
                </c:pt>
                <c:pt idx="34">
                  <c:v>3565.573064978696</c:v>
                </c:pt>
                <c:pt idx="35">
                  <c:v>3012.1709628865001</c:v>
                </c:pt>
                <c:pt idx="36">
                  <c:v>2543.0567145339401</c:v>
                </c:pt>
                <c:pt idx="37">
                  <c:v>2145.8583544678604</c:v>
                </c:pt>
                <c:pt idx="38">
                  <c:v>1809.8835012458674</c:v>
                </c:pt>
                <c:pt idx="39">
                  <c:v>1525.9322119854025</c:v>
                </c:pt>
                <c:pt idx="40">
                  <c:v>1286.117682312135</c:v>
                </c:pt>
                <c:pt idx="41">
                  <c:v>1083.6994113516569</c:v>
                </c:pt>
                <c:pt idx="42">
                  <c:v>912.93120655852897</c:v>
                </c:pt>
                <c:pt idx="43">
                  <c:v>768.92487846026052</c:v>
                </c:pt>
              </c:numCache>
            </c:numRef>
          </c:val>
          <c:smooth val="0"/>
          <c:extLst>
            <c:ext xmlns:c16="http://schemas.microsoft.com/office/drawing/2014/chart" uri="{C3380CC4-5D6E-409C-BE32-E72D297353CC}">
              <c16:uniqueId val="{00000001-2694-48AE-9077-44971CFE769F}"/>
            </c:ext>
          </c:extLst>
        </c:ser>
        <c:ser>
          <c:idx val="2"/>
          <c:order val="2"/>
          <c:tx>
            <c:strRef>
              <c:f>Simulation!$H$3</c:f>
              <c:strCache>
                <c:ptCount val="1"/>
                <c:pt idx="0">
                  <c:v>Recovereds Cost</c:v>
                </c:pt>
              </c:strCache>
            </c:strRef>
          </c:tx>
          <c:marker>
            <c:symbol val="none"/>
          </c:marker>
          <c:val>
            <c:numRef>
              <c:f>Simulation!$H$4:$H$47</c:f>
              <c:numCache>
                <c:formatCode>_(* #,##0_);_(* \(#,##0\);_(* "-"??_);_(@_)</c:formatCode>
                <c:ptCount val="44"/>
                <c:pt idx="0" formatCode="General">
                  <c:v>0</c:v>
                </c:pt>
                <c:pt idx="1">
                  <c:v>2601.4560000000001</c:v>
                </c:pt>
                <c:pt idx="2">
                  <c:v>2803.6411603200022</c:v>
                </c:pt>
                <c:pt idx="3">
                  <c:v>2995.1688145560838</c:v>
                </c:pt>
                <c:pt idx="4">
                  <c:v>3169.5387297907273</c:v>
                </c:pt>
                <c:pt idx="5">
                  <c:v>3320.0179186584073</c:v>
                </c:pt>
                <c:pt idx="6">
                  <c:v>3440.0799477707797</c:v>
                </c:pt>
                <c:pt idx="7">
                  <c:v>3523.9137467373653</c:v>
                </c:pt>
                <c:pt idx="8">
                  <c:v>3566.9474440190475</c:v>
                </c:pt>
                <c:pt idx="9">
                  <c:v>3566.3171005582581</c:v>
                </c:pt>
                <c:pt idx="10">
                  <c:v>3521.2064327894959</c:v>
                </c:pt>
                <c:pt idx="11">
                  <c:v>3432.9957177611736</c:v>
                </c:pt>
                <c:pt idx="12">
                  <c:v>3305.1858348787368</c:v>
                </c:pt>
                <c:pt idx="13">
                  <c:v>3143.1014506015317</c:v>
                </c:pt>
                <c:pt idx="14">
                  <c:v>2953.4163253454226</c:v>
                </c:pt>
                <c:pt idx="15">
                  <c:v>2743.5733293768508</c:v>
                </c:pt>
                <c:pt idx="16">
                  <c:v>2521.1845333437836</c:v>
                </c:pt>
                <c:pt idx="17">
                  <c:v>2293.4906823673828</c:v>
                </c:pt>
                <c:pt idx="18">
                  <c:v>2066.9382172360215</c:v>
                </c:pt>
                <c:pt idx="19">
                  <c:v>1846.9032705952304</c:v>
                </c:pt>
                <c:pt idx="20">
                  <c:v>1637.5638766185878</c:v>
                </c:pt>
                <c:pt idx="21">
                  <c:v>1441.9000688961489</c:v>
                </c:pt>
                <c:pt idx="22">
                  <c:v>1261.7893431827899</c:v>
                </c:pt>
                <c:pt idx="23">
                  <c:v>1098.1617537294494</c:v>
                </c:pt>
                <c:pt idx="24">
                  <c:v>951.18235527163404</c:v>
                </c:pt>
                <c:pt idx="25">
                  <c:v>820.43582717910328</c:v>
                </c:pt>
                <c:pt idx="26">
                  <c:v>705.09631008072915</c:v>
                </c:pt>
                <c:pt idx="27">
                  <c:v>604.07296921492582</c:v>
                </c:pt>
                <c:pt idx="28">
                  <c:v>516.12767033021623</c:v>
                </c:pt>
                <c:pt idx="29">
                  <c:v>439.96519073752415</c:v>
                </c:pt>
                <c:pt idx="30">
                  <c:v>374.2987815379895</c:v>
                </c:pt>
                <c:pt idx="31">
                  <c:v>317.89502149764883</c:v>
                </c:pt>
                <c:pt idx="32">
                  <c:v>269.6021597701212</c:v>
                </c:pt>
                <c:pt idx="33">
                  <c:v>228.36587866082797</c:v>
                </c:pt>
                <c:pt idx="34">
                  <c:v>193.23587762350598</c:v>
                </c:pt>
                <c:pt idx="35">
                  <c:v>163.36605950609163</c:v>
                </c:pt>
                <c:pt idx="36">
                  <c:v>138.01049418920994</c:v>
                </c:pt>
                <c:pt idx="37">
                  <c:v>116.51679743559377</c:v>
                </c:pt>
                <c:pt idx="38">
                  <c:v>98.318115276017011</c:v>
                </c:pt>
                <c:pt idx="39">
                  <c:v>82.924548277459095</c:v>
                </c:pt>
                <c:pt idx="40">
                  <c:v>69.914576984546386</c:v>
                </c:pt>
                <c:pt idx="41">
                  <c:v>58.926846818578234</c:v>
                </c:pt>
                <c:pt idx="42">
                  <c:v>49.652524095071186</c:v>
                </c:pt>
                <c:pt idx="43">
                  <c:v>41.828331967308266</c:v>
                </c:pt>
              </c:numCache>
            </c:numRef>
          </c:val>
          <c:smooth val="0"/>
          <c:extLst>
            <c:ext xmlns:c16="http://schemas.microsoft.com/office/drawing/2014/chart" uri="{C3380CC4-5D6E-409C-BE32-E72D297353CC}">
              <c16:uniqueId val="{00000002-2694-48AE-9077-44971CFE769F}"/>
            </c:ext>
          </c:extLst>
        </c:ser>
        <c:dLbls>
          <c:showLegendKey val="0"/>
          <c:showVal val="0"/>
          <c:showCatName val="0"/>
          <c:showSerName val="0"/>
          <c:showPercent val="0"/>
          <c:showBubbleSize val="0"/>
        </c:dLbls>
        <c:marker val="1"/>
        <c:smooth val="0"/>
        <c:axId val="192328064"/>
        <c:axId val="196557056"/>
      </c:lineChart>
      <c:lineChart>
        <c:grouping val="standard"/>
        <c:varyColors val="0"/>
        <c:ser>
          <c:idx val="3"/>
          <c:order val="3"/>
          <c:tx>
            <c:strRef>
              <c:f>Simulation!$I$3</c:f>
              <c:strCache>
                <c:ptCount val="1"/>
                <c:pt idx="0">
                  <c:v>Cumulative Cost</c:v>
                </c:pt>
              </c:strCache>
            </c:strRef>
          </c:tx>
          <c:marker>
            <c:symbol val="none"/>
          </c:marker>
          <c:val>
            <c:numRef>
              <c:f>Simulation!$I$4:$I$47</c:f>
              <c:numCache>
                <c:formatCode>_(* #,##0_);_(* \(#,##0\);_(* "-"??_);_(@_)</c:formatCode>
                <c:ptCount val="44"/>
                <c:pt idx="0">
                  <c:v>56778.509999999995</c:v>
                </c:pt>
                <c:pt idx="1">
                  <c:v>122700.44979720004</c:v>
                </c:pt>
                <c:pt idx="2">
                  <c:v>193161.147334835</c:v>
                </c:pt>
                <c:pt idx="3">
                  <c:v>267764.78118260909</c:v>
                </c:pt>
                <c:pt idx="4">
                  <c:v>345956.85191643581</c:v>
                </c:pt>
                <c:pt idx="5">
                  <c:v>427028.4252869662</c:v>
                </c:pt>
                <c:pt idx="6">
                  <c:v>510132.29157430393</c:v>
                </c:pt>
                <c:pt idx="7">
                  <c:v>594311.47476805293</c:v>
                </c:pt>
                <c:pt idx="8">
                  <c:v>678538.89158953889</c:v>
                </c:pt>
                <c:pt idx="9">
                  <c:v>761765.22032538161</c:v>
                </c:pt>
                <c:pt idx="10">
                  <c:v>842970.56223220355</c:v>
                </c:pt>
                <c:pt idx="11">
                  <c:v>921214.63408000115</c:v>
                </c:pt>
                <c:pt idx="12">
                  <c:v>995680.27001256612</c:v>
                </c:pt>
                <c:pt idx="13">
                  <c:v>1065705.969614794</c:v>
                </c:pt>
                <c:pt idx="14">
                  <c:v>1130804.9005744581</c:v>
                </c:pt>
                <c:pt idx="15">
                  <c:v>1190669.761952423</c:v>
                </c:pt>
                <c:pt idx="16">
                  <c:v>1245164.7958873657</c:v>
                </c:pt>
                <c:pt idx="17">
                  <c:v>1294307.6397900952</c:v>
                </c:pt>
                <c:pt idx="18">
                  <c:v>1338244.4476278357</c:v>
                </c:pt>
                <c:pt idx="19">
                  <c:v>1377221.7788989267</c:v>
                </c:pt>
                <c:pt idx="20">
                  <c:v>1411558.3050445991</c:v>
                </c:pt>
                <c:pt idx="21">
                  <c:v>1441618.6325666315</c:v>
                </c:pt>
                <c:pt idx="22">
                  <c:v>1467790.7028835146</c:v>
                </c:pt>
                <c:pt idx="23">
                  <c:v>1490467.4614289182</c:v>
                </c:pt>
                <c:pt idx="24">
                  <c:v>1510032.8839053139</c:v>
                </c:pt>
                <c:pt idx="25">
                  <c:v>1526852.0349838063</c:v>
                </c:pt>
                <c:pt idx="26">
                  <c:v>1541264.5998954079</c:v>
                </c:pt>
                <c:pt idx="27">
                  <c:v>1553581.2355142822</c:v>
                </c:pt>
                <c:pt idx="28">
                  <c:v>1564082.0916785994</c:v>
                </c:pt>
                <c:pt idx="29">
                  <c:v>1573016.9165413934</c:v>
                </c:pt>
                <c:pt idx="30">
                  <c:v>1580606.2511812972</c:v>
                </c:pt>
                <c:pt idx="31">
                  <c:v>1587043.317458139</c:v>
                </c:pt>
                <c:pt idx="32">
                  <c:v>1592496.2963267996</c:v>
                </c:pt>
                <c:pt idx="33">
                  <c:v>1597110.7749155774</c:v>
                </c:pt>
                <c:pt idx="34">
                  <c:v>1601012.2072517318</c:v>
                </c:pt>
                <c:pt idx="35">
                  <c:v>1604308.2857635631</c:v>
                </c:pt>
                <c:pt idx="36">
                  <c:v>1607091.1601458674</c:v>
                </c:pt>
                <c:pt idx="37">
                  <c:v>1609439.4689346789</c:v>
                </c:pt>
                <c:pt idx="38">
                  <c:v>1611420.1693567459</c:v>
                </c:pt>
                <c:pt idx="39">
                  <c:v>1613090.1646700532</c:v>
                </c:pt>
                <c:pt idx="40">
                  <c:v>1614497.736966843</c:v>
                </c:pt>
                <c:pt idx="41">
                  <c:v>1615683.7986213905</c:v>
                </c:pt>
                <c:pt idx="42">
                  <c:v>1616682.9782832079</c:v>
                </c:pt>
                <c:pt idx="43">
                  <c:v>1617524.5583371941</c:v>
                </c:pt>
              </c:numCache>
            </c:numRef>
          </c:val>
          <c:smooth val="0"/>
          <c:extLst>
            <c:ext xmlns:c16="http://schemas.microsoft.com/office/drawing/2014/chart" uri="{C3380CC4-5D6E-409C-BE32-E72D297353CC}">
              <c16:uniqueId val="{00000003-2694-48AE-9077-44971CFE769F}"/>
            </c:ext>
          </c:extLst>
        </c:ser>
        <c:dLbls>
          <c:showLegendKey val="0"/>
          <c:showVal val="0"/>
          <c:showCatName val="0"/>
          <c:showSerName val="0"/>
          <c:showPercent val="0"/>
          <c:showBubbleSize val="0"/>
        </c:dLbls>
        <c:marker val="1"/>
        <c:smooth val="0"/>
        <c:axId val="234062592"/>
        <c:axId val="233883520"/>
      </c:lineChart>
      <c:catAx>
        <c:axId val="192328064"/>
        <c:scaling>
          <c:orientation val="minMax"/>
        </c:scaling>
        <c:delete val="0"/>
        <c:axPos val="b"/>
        <c:title>
          <c:tx>
            <c:rich>
              <a:bodyPr/>
              <a:lstStyle/>
              <a:p>
                <a:pPr>
                  <a:defRPr/>
                </a:pPr>
                <a:r>
                  <a:rPr lang="en-US"/>
                  <a:t>Weeks</a:t>
                </a:r>
              </a:p>
            </c:rich>
          </c:tx>
          <c:overlay val="0"/>
        </c:title>
        <c:majorTickMark val="out"/>
        <c:minorTickMark val="none"/>
        <c:tickLblPos val="nextTo"/>
        <c:crossAx val="196557056"/>
        <c:crosses val="autoZero"/>
        <c:auto val="1"/>
        <c:lblAlgn val="ctr"/>
        <c:lblOffset val="100"/>
        <c:tickLblSkip val="4"/>
        <c:noMultiLvlLbl val="0"/>
      </c:catAx>
      <c:valAx>
        <c:axId val="196557056"/>
        <c:scaling>
          <c:orientation val="minMax"/>
          <c:min val="0"/>
        </c:scaling>
        <c:delete val="0"/>
        <c:axPos val="l"/>
        <c:majorGridlines/>
        <c:numFmt formatCode="_(* #,##0_);_(* \(#,##0\);_(* &quot;-&quot;??_);_(@_)" sourceLinked="1"/>
        <c:majorTickMark val="out"/>
        <c:minorTickMark val="none"/>
        <c:tickLblPos val="nextTo"/>
        <c:crossAx val="192328064"/>
        <c:crosses val="autoZero"/>
        <c:crossBetween val="between"/>
      </c:valAx>
      <c:valAx>
        <c:axId val="233883520"/>
        <c:scaling>
          <c:orientation val="minMax"/>
          <c:min val="0"/>
        </c:scaling>
        <c:delete val="0"/>
        <c:axPos val="r"/>
        <c:numFmt formatCode="_(* #,##0_);_(* \(#,##0\);_(* &quot;-&quot;??_);_(@_)" sourceLinked="1"/>
        <c:majorTickMark val="out"/>
        <c:minorTickMark val="none"/>
        <c:tickLblPos val="nextTo"/>
        <c:crossAx val="234062592"/>
        <c:crosses val="max"/>
        <c:crossBetween val="between"/>
      </c:valAx>
      <c:catAx>
        <c:axId val="234062592"/>
        <c:scaling>
          <c:orientation val="minMax"/>
        </c:scaling>
        <c:delete val="1"/>
        <c:axPos val="b"/>
        <c:majorTickMark val="out"/>
        <c:minorTickMark val="none"/>
        <c:tickLblPos val="nextTo"/>
        <c:crossAx val="233883520"/>
        <c:crosses val="autoZero"/>
        <c:auto val="1"/>
        <c:lblAlgn val="ctr"/>
        <c:lblOffset val="100"/>
        <c:noMultiLvlLbl val="0"/>
      </c:catAx>
    </c:plotArea>
    <c:legend>
      <c:legendPos val="r"/>
      <c:overlay val="0"/>
    </c:legend>
    <c:plotVisOnly val="1"/>
    <c:dispBlanksAs val="gap"/>
    <c:showDLblsOverMax val="0"/>
  </c:chart>
  <c:spPr>
    <a:ln>
      <a:solidFill>
        <a:schemeClr val="accent1"/>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0">
                <a:latin typeface="Calibri Light" panose="020F0302020204030204" pitchFamily="34" charset="0"/>
              </a:defRPr>
            </a:pPr>
            <a:r>
              <a:rPr lang="en-US" sz="1600" b="0">
                <a:latin typeface="Calibri Light" panose="020F0302020204030204" pitchFamily="34" charset="0"/>
              </a:rPr>
              <a:t>US</a:t>
            </a:r>
            <a:r>
              <a:rPr lang="en-US" sz="1600" b="0" baseline="0">
                <a:latin typeface="Calibri Light" panose="020F0302020204030204" pitchFamily="34" charset="0"/>
              </a:rPr>
              <a:t> Flu Epidemic Cost Distribution</a:t>
            </a:r>
            <a:endParaRPr lang="en-US" sz="1600" b="0">
              <a:latin typeface="Calibri Light" panose="020F0302020204030204" pitchFamily="34" charset="0"/>
            </a:endParaRPr>
          </a:p>
        </c:rich>
      </c:tx>
      <c:overlay val="0"/>
    </c:title>
    <c:autoTitleDeleted val="0"/>
    <c:plotArea>
      <c:layout/>
      <c:barChart>
        <c:barDir val="col"/>
        <c:grouping val="clustered"/>
        <c:varyColors val="0"/>
        <c:ser>
          <c:idx val="0"/>
          <c:order val="0"/>
          <c:tx>
            <c:strRef>
              <c:f>MCSimulation!$AH$5</c:f>
              <c:strCache>
                <c:ptCount val="1"/>
                <c:pt idx="0">
                  <c:v>Frequency %</c:v>
                </c:pt>
              </c:strCache>
            </c:strRef>
          </c:tx>
          <c:invertIfNegative val="0"/>
          <c:dLbls>
            <c:spPr>
              <a:noFill/>
              <a:ln>
                <a:noFill/>
              </a:ln>
              <a:effectLst/>
            </c:spPr>
            <c:txPr>
              <a:bodyPr/>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MCSimulation!$AG$6:$AG$16</c:f>
              <c:numCache>
                <c:formatCode>_(* #,##0.00_);_(* \(#,##0.00\);_(* "-"??_);_(@_)</c:formatCode>
                <c:ptCount val="11"/>
                <c:pt idx="0">
                  <c:v>7.6936936532781899E-2</c:v>
                </c:pt>
                <c:pt idx="1">
                  <c:v>2.5593187329159472</c:v>
                </c:pt>
                <c:pt idx="2">
                  <c:v>5.0417005292991126</c:v>
                </c:pt>
                <c:pt idx="3">
                  <c:v>7.5240823256822775</c:v>
                </c:pt>
                <c:pt idx="4">
                  <c:v>10.006464122065443</c:v>
                </c:pt>
                <c:pt idx="5">
                  <c:v>12.488845918448609</c:v>
                </c:pt>
                <c:pt idx="6">
                  <c:v>14.971227714831775</c:v>
                </c:pt>
                <c:pt idx="7">
                  <c:v>17.453609511214939</c:v>
                </c:pt>
                <c:pt idx="8">
                  <c:v>19.935991307598105</c:v>
                </c:pt>
                <c:pt idx="9">
                  <c:v>22.418373103981271</c:v>
                </c:pt>
                <c:pt idx="10">
                  <c:v>24.900754900364436</c:v>
                </c:pt>
              </c:numCache>
            </c:numRef>
          </c:cat>
          <c:val>
            <c:numRef>
              <c:f>MCSimulation!$AH$6:$AH$16</c:f>
              <c:numCache>
                <c:formatCode>0.0%</c:formatCode>
                <c:ptCount val="11"/>
                <c:pt idx="0">
                  <c:v>1E-3</c:v>
                </c:pt>
                <c:pt idx="1">
                  <c:v>0.439</c:v>
                </c:pt>
                <c:pt idx="2">
                  <c:v>0.159</c:v>
                </c:pt>
                <c:pt idx="3">
                  <c:v>0.11899999999999999</c:v>
                </c:pt>
                <c:pt idx="4">
                  <c:v>0.122</c:v>
                </c:pt>
                <c:pt idx="5">
                  <c:v>8.3000000000000004E-2</c:v>
                </c:pt>
                <c:pt idx="6">
                  <c:v>3.6999999999999998E-2</c:v>
                </c:pt>
                <c:pt idx="7">
                  <c:v>0.03</c:v>
                </c:pt>
                <c:pt idx="8">
                  <c:v>7.0000000000000001E-3</c:v>
                </c:pt>
                <c:pt idx="9">
                  <c:v>1E-3</c:v>
                </c:pt>
                <c:pt idx="10">
                  <c:v>2E-3</c:v>
                </c:pt>
              </c:numCache>
            </c:numRef>
          </c:val>
          <c:extLst>
            <c:ext xmlns:c16="http://schemas.microsoft.com/office/drawing/2014/chart" uri="{C3380CC4-5D6E-409C-BE32-E72D297353CC}">
              <c16:uniqueId val="{00000000-7969-4303-B0E8-100417A75B3E}"/>
            </c:ext>
          </c:extLst>
        </c:ser>
        <c:dLbls>
          <c:showLegendKey val="0"/>
          <c:showVal val="0"/>
          <c:showCatName val="0"/>
          <c:showSerName val="0"/>
          <c:showPercent val="0"/>
          <c:showBubbleSize val="0"/>
        </c:dLbls>
        <c:gapWidth val="150"/>
        <c:axId val="150605824"/>
        <c:axId val="150607360"/>
      </c:barChart>
      <c:lineChart>
        <c:grouping val="standard"/>
        <c:varyColors val="0"/>
        <c:ser>
          <c:idx val="1"/>
          <c:order val="1"/>
          <c:tx>
            <c:strRef>
              <c:f>MCSimulation!$AI$5</c:f>
              <c:strCache>
                <c:ptCount val="1"/>
                <c:pt idx="0">
                  <c:v>Cumulative %</c:v>
                </c:pt>
              </c:strCache>
            </c:strRef>
          </c:tx>
          <c:marker>
            <c:symbol val="diamond"/>
            <c:size val="4"/>
            <c:spPr>
              <a:solidFill>
                <a:schemeClr val="accent1"/>
              </a:solidFill>
              <a:ln>
                <a:solidFill>
                  <a:schemeClr val="accent1"/>
                </a:solidFill>
              </a:ln>
            </c:spPr>
          </c:marker>
          <c:dLbls>
            <c:spPr>
              <a:noFill/>
              <a:ln>
                <a:noFill/>
              </a:ln>
              <a:effectLst/>
            </c:sp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MCSimulation!$AG$6:$AG$16</c:f>
              <c:numCache>
                <c:formatCode>_(* #,##0.00_);_(* \(#,##0.00\);_(* "-"??_);_(@_)</c:formatCode>
                <c:ptCount val="11"/>
                <c:pt idx="0">
                  <c:v>7.6936936532781899E-2</c:v>
                </c:pt>
                <c:pt idx="1">
                  <c:v>2.5593187329159472</c:v>
                </c:pt>
                <c:pt idx="2">
                  <c:v>5.0417005292991126</c:v>
                </c:pt>
                <c:pt idx="3">
                  <c:v>7.5240823256822775</c:v>
                </c:pt>
                <c:pt idx="4">
                  <c:v>10.006464122065443</c:v>
                </c:pt>
                <c:pt idx="5">
                  <c:v>12.488845918448609</c:v>
                </c:pt>
                <c:pt idx="6">
                  <c:v>14.971227714831775</c:v>
                </c:pt>
                <c:pt idx="7">
                  <c:v>17.453609511214939</c:v>
                </c:pt>
                <c:pt idx="8">
                  <c:v>19.935991307598105</c:v>
                </c:pt>
                <c:pt idx="9">
                  <c:v>22.418373103981271</c:v>
                </c:pt>
                <c:pt idx="10">
                  <c:v>24.900754900364436</c:v>
                </c:pt>
              </c:numCache>
            </c:numRef>
          </c:cat>
          <c:val>
            <c:numRef>
              <c:f>MCSimulation!$AI$6:$AI$16</c:f>
              <c:numCache>
                <c:formatCode>0.0%</c:formatCode>
                <c:ptCount val="11"/>
                <c:pt idx="0">
                  <c:v>1E-3</c:v>
                </c:pt>
                <c:pt idx="1">
                  <c:v>0.44</c:v>
                </c:pt>
                <c:pt idx="2">
                  <c:v>0.59899999999999998</c:v>
                </c:pt>
                <c:pt idx="3">
                  <c:v>0.71799999999999997</c:v>
                </c:pt>
                <c:pt idx="4">
                  <c:v>0.84</c:v>
                </c:pt>
                <c:pt idx="5">
                  <c:v>0.92299999999999993</c:v>
                </c:pt>
                <c:pt idx="6">
                  <c:v>0.96</c:v>
                </c:pt>
                <c:pt idx="7">
                  <c:v>0.99</c:v>
                </c:pt>
                <c:pt idx="8">
                  <c:v>0.997</c:v>
                </c:pt>
                <c:pt idx="9">
                  <c:v>0.998</c:v>
                </c:pt>
                <c:pt idx="10">
                  <c:v>1</c:v>
                </c:pt>
              </c:numCache>
            </c:numRef>
          </c:val>
          <c:smooth val="0"/>
          <c:extLst>
            <c:ext xmlns:c16="http://schemas.microsoft.com/office/drawing/2014/chart" uri="{C3380CC4-5D6E-409C-BE32-E72D297353CC}">
              <c16:uniqueId val="{00000001-7969-4303-B0E8-100417A75B3E}"/>
            </c:ext>
          </c:extLst>
        </c:ser>
        <c:dLbls>
          <c:showLegendKey val="0"/>
          <c:showVal val="0"/>
          <c:showCatName val="0"/>
          <c:showSerName val="0"/>
          <c:showPercent val="0"/>
          <c:showBubbleSize val="0"/>
        </c:dLbls>
        <c:marker val="1"/>
        <c:smooth val="0"/>
        <c:axId val="150610688"/>
        <c:axId val="150608896"/>
      </c:lineChart>
      <c:catAx>
        <c:axId val="150605824"/>
        <c:scaling>
          <c:orientation val="minMax"/>
        </c:scaling>
        <c:delete val="0"/>
        <c:axPos val="b"/>
        <c:numFmt formatCode="_(* #,##0.00_);_(* \(#,##0.00\);_(* &quot;-&quot;??_);_(@_)" sourceLinked="1"/>
        <c:majorTickMark val="out"/>
        <c:minorTickMark val="none"/>
        <c:tickLblPos val="nextTo"/>
        <c:crossAx val="150607360"/>
        <c:crosses val="autoZero"/>
        <c:auto val="1"/>
        <c:lblAlgn val="ctr"/>
        <c:lblOffset val="100"/>
        <c:noMultiLvlLbl val="0"/>
      </c:catAx>
      <c:valAx>
        <c:axId val="150607360"/>
        <c:scaling>
          <c:orientation val="minMax"/>
          <c:max val="1"/>
        </c:scaling>
        <c:delete val="0"/>
        <c:axPos val="l"/>
        <c:majorGridlines/>
        <c:numFmt formatCode="0.0%" sourceLinked="1"/>
        <c:majorTickMark val="out"/>
        <c:minorTickMark val="none"/>
        <c:tickLblPos val="nextTo"/>
        <c:crossAx val="150605824"/>
        <c:crosses val="autoZero"/>
        <c:crossBetween val="between"/>
      </c:valAx>
      <c:valAx>
        <c:axId val="150608896"/>
        <c:scaling>
          <c:orientation val="minMax"/>
        </c:scaling>
        <c:delete val="0"/>
        <c:axPos val="r"/>
        <c:numFmt formatCode="0.0%" sourceLinked="1"/>
        <c:majorTickMark val="out"/>
        <c:minorTickMark val="none"/>
        <c:tickLblPos val="nextTo"/>
        <c:crossAx val="150610688"/>
        <c:crosses val="max"/>
        <c:crossBetween val="between"/>
      </c:valAx>
      <c:catAx>
        <c:axId val="150610688"/>
        <c:scaling>
          <c:orientation val="minMax"/>
        </c:scaling>
        <c:delete val="1"/>
        <c:axPos val="b"/>
        <c:numFmt formatCode="_(* #,##0.00_);_(* \(#,##0.00\);_(* &quot;-&quot;??_);_(@_)" sourceLinked="1"/>
        <c:majorTickMark val="out"/>
        <c:minorTickMark val="none"/>
        <c:tickLblPos val="nextTo"/>
        <c:crossAx val="150608896"/>
        <c:crosses val="autoZero"/>
        <c:auto val="1"/>
        <c:lblAlgn val="ctr"/>
        <c:lblOffset val="100"/>
        <c:noMultiLvlLbl val="0"/>
      </c:catAx>
    </c:plotArea>
    <c:legend>
      <c:legendPos val="r"/>
      <c:overlay val="0"/>
    </c:legend>
    <c:plotVisOnly val="1"/>
    <c:dispBlanksAs val="gap"/>
    <c:showDLblsOverMax val="0"/>
  </c:chart>
  <c:spPr>
    <a:ln>
      <a:solidFill>
        <a:schemeClr val="accent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2004</a:t>
            </a:r>
          </a:p>
        </c:rich>
      </c:tx>
      <c:layout>
        <c:manualLayout>
          <c:xMode val="edge"/>
          <c:yMode val="edge"/>
          <c:x val="0.33712183564496706"/>
          <c:y val="3.5294168333766564E-2"/>
        </c:manualLayout>
      </c:layout>
      <c:overlay val="0"/>
      <c:spPr>
        <a:noFill/>
        <a:ln w="25400">
          <a:noFill/>
        </a:ln>
      </c:spPr>
    </c:title>
    <c:autoTitleDeleted val="0"/>
    <c:plotArea>
      <c:layout>
        <c:manualLayout>
          <c:layoutTarget val="inner"/>
          <c:xMode val="edge"/>
          <c:yMode val="edge"/>
          <c:x val="0.16160756501182033"/>
          <c:y val="0.1352942037623783"/>
          <c:w val="0.79924390248413546"/>
          <c:h val="0.71764808945325342"/>
        </c:manualLayout>
      </c:layout>
      <c:scatterChart>
        <c:scatterStyle val="lineMarker"/>
        <c:varyColors val="0"/>
        <c:ser>
          <c:idx val="0"/>
          <c:order val="0"/>
          <c:tx>
            <c:strRef>
              <c:f>'2004US'!$B$1</c:f>
              <c:strCache>
                <c:ptCount val="1"/>
                <c:pt idx="0">
                  <c:v>Observed</c:v>
                </c:pt>
              </c:strCache>
            </c:strRef>
          </c:tx>
          <c:spPr>
            <a:ln w="28575">
              <a:noFill/>
            </a:ln>
          </c:spPr>
          <c:marker>
            <c:symbol val="circle"/>
            <c:size val="6"/>
            <c:spPr>
              <a:solidFill>
                <a:srgbClr val="000080"/>
              </a:solidFill>
              <a:ln>
                <a:solidFill>
                  <a:srgbClr val="000080"/>
                </a:solidFill>
                <a:prstDash val="solid"/>
              </a:ln>
            </c:spPr>
          </c:marker>
          <c:xVal>
            <c:numRef>
              <c:f>'2004US'!$A$2:$A$50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'2004US'!$B$2:$B$50</c:f>
              <c:numCache>
                <c:formatCode>General</c:formatCode>
                <c:ptCount val="49"/>
                <c:pt idx="0">
                  <c:v>3</c:v>
                </c:pt>
                <c:pt idx="1">
                  <c:v>2</c:v>
                </c:pt>
                <c:pt idx="2">
                  <c:v>7</c:v>
                </c:pt>
                <c:pt idx="3">
                  <c:v>12</c:v>
                </c:pt>
                <c:pt idx="4">
                  <c:v>9</c:v>
                </c:pt>
                <c:pt idx="5">
                  <c:v>10</c:v>
                </c:pt>
                <c:pt idx="6">
                  <c:v>27</c:v>
                </c:pt>
                <c:pt idx="7">
                  <c:v>21</c:v>
                </c:pt>
                <c:pt idx="8">
                  <c:v>36</c:v>
                </c:pt>
                <c:pt idx="9">
                  <c:v>63</c:v>
                </c:pt>
                <c:pt idx="10">
                  <c:v>108</c:v>
                </c:pt>
                <c:pt idx="11">
                  <c:v>255</c:v>
                </c:pt>
                <c:pt idx="12">
                  <c:v>472</c:v>
                </c:pt>
                <c:pt idx="13">
                  <c:v>675</c:v>
                </c:pt>
                <c:pt idx="14">
                  <c:v>580</c:v>
                </c:pt>
                <c:pt idx="15">
                  <c:v>844</c:v>
                </c:pt>
                <c:pt idx="16">
                  <c:v>974</c:v>
                </c:pt>
                <c:pt idx="17">
                  <c:v>1096</c:v>
                </c:pt>
                <c:pt idx="18">
                  <c:v>1354</c:v>
                </c:pt>
                <c:pt idx="19">
                  <c:v>1335</c:v>
                </c:pt>
                <c:pt idx="20">
                  <c:v>1109</c:v>
                </c:pt>
                <c:pt idx="21">
                  <c:v>936</c:v>
                </c:pt>
                <c:pt idx="22">
                  <c:v>627</c:v>
                </c:pt>
                <c:pt idx="23">
                  <c:v>476</c:v>
                </c:pt>
                <c:pt idx="24">
                  <c:v>295</c:v>
                </c:pt>
                <c:pt idx="25">
                  <c:v>164</c:v>
                </c:pt>
                <c:pt idx="26">
                  <c:v>94</c:v>
                </c:pt>
                <c:pt idx="27">
                  <c:v>37</c:v>
                </c:pt>
                <c:pt idx="28">
                  <c:v>26</c:v>
                </c:pt>
                <c:pt idx="29">
                  <c:v>15</c:v>
                </c:pt>
                <c:pt idx="30">
                  <c:v>8</c:v>
                </c:pt>
                <c:pt idx="31">
                  <c:v>5</c:v>
                </c:pt>
                <c:pt idx="32">
                  <c:v>3</c:v>
                </c:pt>
                <c:pt idx="33">
                  <c:v>1</c:v>
                </c:pt>
                <c:pt idx="34">
                  <c:v>2</c:v>
                </c:pt>
                <c:pt idx="35">
                  <c:v>0</c:v>
                </c:pt>
                <c:pt idx="36">
                  <c:v>2</c:v>
                </c:pt>
                <c:pt idx="37">
                  <c:v>1</c:v>
                </c:pt>
                <c:pt idx="38">
                  <c:v>6</c:v>
                </c:pt>
                <c:pt idx="39">
                  <c:v>0</c:v>
                </c:pt>
                <c:pt idx="40">
                  <c:v>0</c:v>
                </c:pt>
                <c:pt idx="41">
                  <c:v>1</c:v>
                </c:pt>
                <c:pt idx="42">
                  <c:v>0</c:v>
                </c:pt>
                <c:pt idx="43">
                  <c:v>0</c:v>
                </c:pt>
                <c:pt idx="44">
                  <c:v>0</c:v>
                </c:pt>
                <c:pt idx="45">
                  <c:v>1</c:v>
                </c:pt>
                <c:pt idx="46">
                  <c:v>0</c:v>
                </c:pt>
                <c:pt idx="47">
                  <c:v>3</c:v>
                </c:pt>
                <c:pt idx="48">
                  <c:v>0</c:v>
                </c:pt>
              </c:numCache>
            </c:numRef>
          </c:yVal>
          <c:smooth val="0"/>
          <c:extLst>
            <c:ext xmlns:c16="http://schemas.microsoft.com/office/drawing/2014/chart" uri="{C3380CC4-5D6E-409C-BE32-E72D297353CC}">
              <c16:uniqueId val="{00000000-5F9F-4084-8F6D-9179C4F9556F}"/>
            </c:ext>
          </c:extLst>
        </c:ser>
        <c:ser>
          <c:idx val="1"/>
          <c:order val="1"/>
          <c:tx>
            <c:strRef>
              <c:f>'2004US'!$D$1</c:f>
              <c:strCache>
                <c:ptCount val="1"/>
                <c:pt idx="0">
                  <c:v>Estimated</c:v>
                </c:pt>
              </c:strCache>
            </c:strRef>
          </c:tx>
          <c:spPr>
            <a:ln w="25400">
              <a:solidFill>
                <a:srgbClr val="008000"/>
              </a:solidFill>
              <a:prstDash val="solid"/>
            </a:ln>
          </c:spPr>
          <c:marker>
            <c:symbol val="none"/>
          </c:marker>
          <c:xVal>
            <c:numRef>
              <c:f>'2004US'!$A$2:$A$50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'2004US'!$D$2:$D$50</c:f>
              <c:numCache>
                <c:formatCode>_(* #,##0_);_(* \(#,##0\);_(* "-"??_);_(@_)</c:formatCode>
                <c:ptCount val="49"/>
                <c:pt idx="0">
                  <c:v>3</c:v>
                </c:pt>
                <c:pt idx="1">
                  <c:v>4.4375133651224017</c:v>
                </c:pt>
                <c:pt idx="2">
                  <c:v>6.5624397587864669</c:v>
                </c:pt>
                <c:pt idx="3">
                  <c:v>9.701832055050744</c:v>
                </c:pt>
                <c:pt idx="4">
                  <c:v>14.33636946614439</c:v>
                </c:pt>
                <c:pt idx="5">
                  <c:v>21.170173885328747</c:v>
                </c:pt>
                <c:pt idx="6">
                  <c:v>31.229560239652862</c:v>
                </c:pt>
                <c:pt idx="7">
                  <c:v>45.999331712482189</c:v>
                </c:pt>
                <c:pt idx="8">
                  <c:v>67.603441145461773</c:v>
                </c:pt>
                <c:pt idx="9">
                  <c:v>99.027909333616222</c:v>
                </c:pt>
                <c:pt idx="10">
                  <c:v>144.35853056678792</c:v>
                </c:pt>
                <c:pt idx="11">
                  <c:v>208.94664739726366</c:v>
                </c:pt>
                <c:pt idx="12">
                  <c:v>299.29525478556627</c:v>
                </c:pt>
                <c:pt idx="13">
                  <c:v>422.24475233204521</c:v>
                </c:pt>
                <c:pt idx="14">
                  <c:v>582.7466080698423</c:v>
                </c:pt>
                <c:pt idx="15">
                  <c:v>779.34216211363878</c:v>
                </c:pt>
                <c:pt idx="16">
                  <c:v>997.06750804306841</c:v>
                </c:pt>
                <c:pt idx="17">
                  <c:v>1200.1341705084872</c:v>
                </c:pt>
                <c:pt idx="18">
                  <c:v>1332.0175360382402</c:v>
                </c:pt>
                <c:pt idx="19">
                  <c:v>1334.1704534181033</c:v>
                </c:pt>
                <c:pt idx="20">
                  <c:v>1183.8566848728703</c:v>
                </c:pt>
                <c:pt idx="21">
                  <c:v>922.34084343410245</c:v>
                </c:pt>
                <c:pt idx="22">
                  <c:v>634.83834783983889</c:v>
                </c:pt>
                <c:pt idx="23">
                  <c:v>394.21147793499915</c:v>
                </c:pt>
                <c:pt idx="24">
                  <c:v>227.21134578507855</c:v>
                </c:pt>
                <c:pt idx="25">
                  <c:v>124.82896861233198</c:v>
                </c:pt>
                <c:pt idx="26">
                  <c:v>66.671102681939516</c:v>
                </c:pt>
                <c:pt idx="27">
                  <c:v>35.0539267294442</c:v>
                </c:pt>
                <c:pt idx="28">
                  <c:v>18.27535926327095</c:v>
                </c:pt>
                <c:pt idx="29">
                  <c:v>9.4854618936054891</c:v>
                </c:pt>
                <c:pt idx="30">
                  <c:v>4.9117852322277713</c:v>
                </c:pt>
                <c:pt idx="31">
                  <c:v>2.5403562633605707</c:v>
                </c:pt>
                <c:pt idx="32">
                  <c:v>1.3130387973151949</c:v>
                </c:pt>
                <c:pt idx="33">
                  <c:v>0.67845274750285456</c:v>
                </c:pt>
                <c:pt idx="34">
                  <c:v>0.35050064590749974</c:v>
                </c:pt>
                <c:pt idx="35">
                  <c:v>0.18105912009934455</c:v>
                </c:pt>
                <c:pt idx="36">
                  <c:v>9.3526039759615681E-2</c:v>
                </c:pt>
                <c:pt idx="37">
                  <c:v>4.8309733382087897E-2</c:v>
                </c:pt>
                <c:pt idx="38">
                  <c:v>2.4953504547903023E-2</c:v>
                </c:pt>
                <c:pt idx="39">
                  <c:v>1.2889194437420773E-2</c:v>
                </c:pt>
                <c:pt idx="40">
                  <c:v>6.6576140995395095E-3</c:v>
                </c:pt>
                <c:pt idx="41">
                  <c:v>3.4388303115763658E-3</c:v>
                </c:pt>
                <c:pt idx="42">
                  <c:v>1.7762435128219926E-3</c:v>
                </c:pt>
                <c:pt idx="43">
                  <c:v>9.1747464838013728E-4</c:v>
                </c:pt>
                <c:pt idx="44">
                  <c:v>4.7389872692397061E-4</c:v>
                </c:pt>
                <c:pt idx="45">
                  <c:v>2.4478058053934489E-4</c:v>
                </c:pt>
                <c:pt idx="46">
                  <c:v>1.2643530268809788E-4</c:v>
                </c:pt>
                <c:pt idx="47">
                  <c:v>6.5306999561700257E-5</c:v>
                </c:pt>
                <c:pt idx="48">
                  <c:v>3.3732699904171344E-5</c:v>
                </c:pt>
              </c:numCache>
            </c:numRef>
          </c:yVal>
          <c:smooth val="0"/>
          <c:extLst>
            <c:ext xmlns:c16="http://schemas.microsoft.com/office/drawing/2014/chart" uri="{C3380CC4-5D6E-409C-BE32-E72D297353CC}">
              <c16:uniqueId val="{00000001-5F9F-4084-8F6D-9179C4F9556F}"/>
            </c:ext>
          </c:extLst>
        </c:ser>
        <c:dLbls>
          <c:showLegendKey val="0"/>
          <c:showVal val="0"/>
          <c:showCatName val="0"/>
          <c:showSerName val="0"/>
          <c:showPercent val="0"/>
          <c:showBubbleSize val="0"/>
        </c:dLbls>
        <c:axId val="150658432"/>
        <c:axId val="150705664"/>
      </c:scatterChart>
      <c:valAx>
        <c:axId val="150658432"/>
        <c:scaling>
          <c:orientation val="minMax"/>
          <c:max val="50"/>
        </c:scaling>
        <c:delete val="0"/>
        <c:axPos val="b"/>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Weeks</a:t>
                </a:r>
              </a:p>
            </c:rich>
          </c:tx>
          <c:layout>
            <c:manualLayout>
              <c:xMode val="edge"/>
              <c:yMode val="edge"/>
              <c:x val="0.50757669636433245"/>
              <c:y val="0.9176483766779306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0705664"/>
        <c:crosses val="autoZero"/>
        <c:crossBetween val="midCat"/>
      </c:valAx>
      <c:valAx>
        <c:axId val="150705664"/>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Infecteds</a:t>
                </a:r>
              </a:p>
            </c:rich>
          </c:tx>
          <c:layout>
            <c:manualLayout>
              <c:xMode val="edge"/>
              <c:yMode val="edge"/>
              <c:x val="2.6515200556345726E-2"/>
              <c:y val="0.3911770323659127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0658432"/>
        <c:crosses val="autoZero"/>
        <c:crossBetween val="midCat"/>
      </c:valAx>
      <c:spPr>
        <a:solidFill>
          <a:schemeClr val="bg1">
            <a:lumMod val="95000"/>
          </a:schemeClr>
        </a:solidFill>
        <a:ln w="12700">
          <a:solidFill>
            <a:srgbClr val="808080"/>
          </a:solidFill>
          <a:prstDash val="solid"/>
        </a:ln>
      </c:spPr>
    </c:plotArea>
    <c:legend>
      <c:legendPos val="r"/>
      <c:overlay val="0"/>
    </c:legend>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2013</a:t>
            </a:r>
          </a:p>
        </c:rich>
      </c:tx>
      <c:overlay val="0"/>
      <c:spPr>
        <a:noFill/>
        <a:ln w="25400">
          <a:noFill/>
        </a:ln>
      </c:spPr>
    </c:title>
    <c:autoTitleDeleted val="0"/>
    <c:plotArea>
      <c:layout>
        <c:manualLayout>
          <c:layoutTarget val="inner"/>
          <c:xMode val="edge"/>
          <c:yMode val="edge"/>
          <c:x val="0.16160760512216951"/>
          <c:y val="0.1403834263455245"/>
          <c:w val="0.79924390248413546"/>
          <c:h val="0.71764808945325342"/>
        </c:manualLayout>
      </c:layout>
      <c:scatterChart>
        <c:scatterStyle val="lineMarker"/>
        <c:varyColors val="0"/>
        <c:ser>
          <c:idx val="0"/>
          <c:order val="0"/>
          <c:tx>
            <c:strRef>
              <c:f>'2013US'!$B$1</c:f>
              <c:strCache>
                <c:ptCount val="1"/>
                <c:pt idx="0">
                  <c:v>Observed</c:v>
                </c:pt>
              </c:strCache>
            </c:strRef>
          </c:tx>
          <c:spPr>
            <a:ln w="28575">
              <a:noFill/>
            </a:ln>
          </c:spPr>
          <c:marker>
            <c:symbol val="circle"/>
            <c:size val="6"/>
            <c:spPr>
              <a:solidFill>
                <a:srgbClr val="000080"/>
              </a:solidFill>
              <a:ln>
                <a:solidFill>
                  <a:srgbClr val="000080"/>
                </a:solidFill>
                <a:prstDash val="solid"/>
              </a:ln>
            </c:spPr>
          </c:marker>
          <c:xVal>
            <c:numRef>
              <c:f>'2013US'!$A$2:$A$50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'2013US'!$B$2:$B$50</c:f>
              <c:numCache>
                <c:formatCode>General</c:formatCode>
                <c:ptCount val="49"/>
                <c:pt idx="0">
                  <c:v>0</c:v>
                </c:pt>
                <c:pt idx="1">
                  <c:v>0</c:v>
                </c:pt>
                <c:pt idx="2">
                  <c:v>0</c:v>
                </c:pt>
                <c:pt idx="3">
                  <c:v>0</c:v>
                </c:pt>
                <c:pt idx="4">
                  <c:v>0</c:v>
                </c:pt>
                <c:pt idx="5">
                  <c:v>6</c:v>
                </c:pt>
                <c:pt idx="6">
                  <c:v>39</c:v>
                </c:pt>
                <c:pt idx="7">
                  <c:v>114</c:v>
                </c:pt>
                <c:pt idx="8">
                  <c:v>183</c:v>
                </c:pt>
                <c:pt idx="9">
                  <c:v>180</c:v>
                </c:pt>
                <c:pt idx="10">
                  <c:v>136</c:v>
                </c:pt>
                <c:pt idx="11">
                  <c:v>93</c:v>
                </c:pt>
                <c:pt idx="12">
                  <c:v>56</c:v>
                </c:pt>
                <c:pt idx="13">
                  <c:v>46</c:v>
                </c:pt>
                <c:pt idx="14">
                  <c:v>21</c:v>
                </c:pt>
                <c:pt idx="15">
                  <c:v>15</c:v>
                </c:pt>
                <c:pt idx="16">
                  <c:v>5</c:v>
                </c:pt>
                <c:pt idx="17">
                  <c:v>8</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3</c:v>
                </c:pt>
                <c:pt idx="43">
                  <c:v>0</c:v>
                </c:pt>
                <c:pt idx="44">
                  <c:v>0</c:v>
                </c:pt>
                <c:pt idx="45">
                  <c:v>1</c:v>
                </c:pt>
                <c:pt idx="46">
                  <c:v>0</c:v>
                </c:pt>
                <c:pt idx="47">
                  <c:v>3</c:v>
                </c:pt>
                <c:pt idx="48">
                  <c:v>0</c:v>
                </c:pt>
              </c:numCache>
            </c:numRef>
          </c:yVal>
          <c:smooth val="0"/>
          <c:extLst>
            <c:ext xmlns:c16="http://schemas.microsoft.com/office/drawing/2014/chart" uri="{C3380CC4-5D6E-409C-BE32-E72D297353CC}">
              <c16:uniqueId val="{00000000-91B8-40CC-9759-704A000C97BF}"/>
            </c:ext>
          </c:extLst>
        </c:ser>
        <c:ser>
          <c:idx val="1"/>
          <c:order val="1"/>
          <c:tx>
            <c:strRef>
              <c:f>'2013US'!$D$1</c:f>
              <c:strCache>
                <c:ptCount val="1"/>
                <c:pt idx="0">
                  <c:v>Estimated</c:v>
                </c:pt>
              </c:strCache>
            </c:strRef>
          </c:tx>
          <c:spPr>
            <a:ln w="25400">
              <a:solidFill>
                <a:srgbClr val="008000"/>
              </a:solidFill>
              <a:prstDash val="solid"/>
            </a:ln>
          </c:spPr>
          <c:marker>
            <c:symbol val="none"/>
          </c:marker>
          <c:xVal>
            <c:numRef>
              <c:f>'2013US'!$A$2:$A$50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'2013US'!$D$2:$D$50</c:f>
              <c:numCache>
                <c:formatCode>_(* #,##0_);_(* \(#,##0\);_(* "-"??_);_(@_)</c:formatCode>
                <c:ptCount val="49"/>
                <c:pt idx="0">
                  <c:v>3</c:v>
                </c:pt>
                <c:pt idx="1">
                  <c:v>5.1901771390421398</c:v>
                </c:pt>
                <c:pt idx="2">
                  <c:v>8.9462117179326945</c:v>
                </c:pt>
                <c:pt idx="3">
                  <c:v>15.321901618486038</c:v>
                </c:pt>
                <c:pt idx="4">
                  <c:v>25.951502341316473</c:v>
                </c:pt>
                <c:pt idx="5">
                  <c:v>43.119515977642536</c:v>
                </c:pt>
                <c:pt idx="6">
                  <c:v>69.315991515116011</c:v>
                </c:pt>
                <c:pt idx="7">
                  <c:v>105.31247092675378</c:v>
                </c:pt>
                <c:pt idx="8">
                  <c:v>145.48688632073311</c:v>
                </c:pt>
                <c:pt idx="9">
                  <c:v>171.89784815506758</c:v>
                </c:pt>
                <c:pt idx="10">
                  <c:v>158.88300125494891</c:v>
                </c:pt>
                <c:pt idx="11">
                  <c:v>103.14319994452973</c:v>
                </c:pt>
                <c:pt idx="12">
                  <c:v>43.670877610639053</c:v>
                </c:pt>
                <c:pt idx="13">
                  <c:v>12.75266251022731</c:v>
                </c:pt>
                <c:pt idx="14">
                  <c:v>3.0623167648259439</c:v>
                </c:pt>
                <c:pt idx="15">
                  <c:v>0.69028123311262579</c:v>
                </c:pt>
                <c:pt idx="16">
                  <c:v>0.15317759613756721</c:v>
                </c:pt>
                <c:pt idx="17">
                  <c:v>3.3870246840049606E-2</c:v>
                </c:pt>
                <c:pt idx="18">
                  <c:v>7.4833799914712992E-3</c:v>
                </c:pt>
                <c:pt idx="19">
                  <c:v>1.6531079457677931E-3</c:v>
                </c:pt>
                <c:pt idx="20">
                  <c:v>3.6516389468154104E-4</c:v>
                </c:pt>
                <c:pt idx="21">
                  <c:v>8.0662325152767024E-5</c:v>
                </c:pt>
                <c:pt idx="22">
                  <c:v>1.781774845065537E-5</c:v>
                </c:pt>
                <c:pt idx="23">
                  <c:v>3.9358154738161715E-6</c:v>
                </c:pt>
                <c:pt idx="24">
                  <c:v>8.693939113700341E-7</c:v>
                </c:pt>
                <c:pt idx="25">
                  <c:v>1.9204298646099101E-7</c:v>
                </c:pt>
                <c:pt idx="26">
                  <c:v>4.2420941762762279E-8</c:v>
                </c:pt>
                <c:pt idx="27">
                  <c:v>9.3704869488631687E-9</c:v>
                </c:pt>
                <c:pt idx="28">
                  <c:v>2.06987450044402E-9</c:v>
                </c:pt>
                <c:pt idx="29">
                  <c:v>4.5722068348866973E-10</c:v>
                </c:pt>
                <c:pt idx="30">
                  <c:v>1.0099682534509467E-10</c:v>
                </c:pt>
                <c:pt idx="31">
                  <c:v>2.2309486639871611E-11</c:v>
                </c:pt>
                <c:pt idx="32">
                  <c:v>4.9280083055454575E-12</c:v>
                </c:pt>
                <c:pt idx="33">
                  <c:v>1.0885622897355013E-12</c:v>
                </c:pt>
                <c:pt idx="34">
                  <c:v>2.4045573488598419E-13</c:v>
                </c:pt>
                <c:pt idx="35">
                  <c:v>5.3114976501351348E-14</c:v>
                </c:pt>
                <c:pt idx="36">
                  <c:v>1.173272382160825E-14</c:v>
                </c:pt>
                <c:pt idx="37">
                  <c:v>2.5916759705359468E-15</c:v>
                </c:pt>
                <c:pt idx="38">
                  <c:v>5.7248294926051828E-16</c:v>
                </c:pt>
                <c:pt idx="39">
                  <c:v>1.2645744719632036E-16</c:v>
                </c:pt>
                <c:pt idx="40">
                  <c:v>2.7933558496487091E-17</c:v>
                </c:pt>
                <c:pt idx="41">
                  <c:v>6.1703261261102762E-18</c:v>
                </c:pt>
                <c:pt idx="42">
                  <c:v>1.3629815373271202E-18</c:v>
                </c:pt>
                <c:pt idx="43">
                  <c:v>3.010730118840077E-19</c:v>
                </c:pt>
                <c:pt idx="44">
                  <c:v>6.6504905607648491E-20</c:v>
                </c:pt>
                <c:pt idx="45">
                  <c:v>1.4690464755393676E-20</c:v>
                </c:pt>
                <c:pt idx="46">
                  <c:v>3.2450200892345035E-21</c:v>
                </c:pt>
                <c:pt idx="47">
                  <c:v>7.168020586734202E-22</c:v>
                </c:pt>
                <c:pt idx="48">
                  <c:v>1.5833652094266673E-22</c:v>
                </c:pt>
              </c:numCache>
            </c:numRef>
          </c:yVal>
          <c:smooth val="0"/>
          <c:extLst>
            <c:ext xmlns:c16="http://schemas.microsoft.com/office/drawing/2014/chart" uri="{C3380CC4-5D6E-409C-BE32-E72D297353CC}">
              <c16:uniqueId val="{00000001-91B8-40CC-9759-704A000C97BF}"/>
            </c:ext>
          </c:extLst>
        </c:ser>
        <c:dLbls>
          <c:showLegendKey val="0"/>
          <c:showVal val="0"/>
          <c:showCatName val="0"/>
          <c:showSerName val="0"/>
          <c:showPercent val="0"/>
          <c:showBubbleSize val="0"/>
        </c:dLbls>
        <c:axId val="150915328"/>
        <c:axId val="150921600"/>
      </c:scatterChart>
      <c:valAx>
        <c:axId val="150915328"/>
        <c:scaling>
          <c:orientation val="minMax"/>
          <c:max val="50"/>
        </c:scaling>
        <c:delete val="0"/>
        <c:axPos val="b"/>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Weeks</a:t>
                </a:r>
              </a:p>
            </c:rich>
          </c:tx>
          <c:layout>
            <c:manualLayout>
              <c:xMode val="edge"/>
              <c:yMode val="edge"/>
              <c:x val="0.50757669636433245"/>
              <c:y val="0.9176483766779306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0921600"/>
        <c:crosses val="autoZero"/>
        <c:crossBetween val="midCat"/>
      </c:valAx>
      <c:valAx>
        <c:axId val="150921600"/>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Infecteds</a:t>
                </a:r>
              </a:p>
            </c:rich>
          </c:tx>
          <c:layout>
            <c:manualLayout>
              <c:xMode val="edge"/>
              <c:yMode val="edge"/>
              <c:x val="2.6515200556345726E-2"/>
              <c:y val="0.3911770323659127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0915328"/>
        <c:crosses val="autoZero"/>
        <c:crossBetween val="midCat"/>
      </c:valAx>
      <c:spPr>
        <a:solidFill>
          <a:schemeClr val="bg1">
            <a:lumMod val="95000"/>
          </a:schemeClr>
        </a:solidFill>
        <a:ln w="12700">
          <a:solidFill>
            <a:srgbClr val="808080"/>
          </a:solidFill>
          <a:prstDash val="solid"/>
        </a:ln>
      </c:spPr>
    </c:plotArea>
    <c:legend>
      <c:legendPos val="r"/>
      <c:overlay val="1"/>
    </c:legend>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MCSimulation!$AH$5</c:f>
              <c:strCache>
                <c:ptCount val="1"/>
                <c:pt idx="0">
                  <c:v>Frequency %</c:v>
                </c:pt>
              </c:strCache>
            </c:strRef>
          </c:tx>
          <c:invertIfNegative val="0"/>
          <c:dLbls>
            <c:spPr>
              <a:noFill/>
              <a:ln>
                <a:noFill/>
              </a:ln>
              <a:effectLst/>
            </c:spPr>
            <c:txPr>
              <a:bodyPr/>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MCSimulation!$AG$6:$AG$16</c:f>
              <c:numCache>
                <c:formatCode>_(* #,##0.00_);_(* \(#,##0.00\);_(* "-"??_);_(@_)</c:formatCode>
                <c:ptCount val="11"/>
                <c:pt idx="0">
                  <c:v>7.6936936532781899E-2</c:v>
                </c:pt>
                <c:pt idx="1">
                  <c:v>2.5593187329159472</c:v>
                </c:pt>
                <c:pt idx="2">
                  <c:v>5.0417005292991126</c:v>
                </c:pt>
                <c:pt idx="3">
                  <c:v>7.5240823256822775</c:v>
                </c:pt>
                <c:pt idx="4">
                  <c:v>10.006464122065443</c:v>
                </c:pt>
                <c:pt idx="5">
                  <c:v>12.488845918448609</c:v>
                </c:pt>
                <c:pt idx="6">
                  <c:v>14.971227714831775</c:v>
                </c:pt>
                <c:pt idx="7">
                  <c:v>17.453609511214939</c:v>
                </c:pt>
                <c:pt idx="8">
                  <c:v>19.935991307598105</c:v>
                </c:pt>
                <c:pt idx="9">
                  <c:v>22.418373103981271</c:v>
                </c:pt>
                <c:pt idx="10">
                  <c:v>24.900754900364436</c:v>
                </c:pt>
              </c:numCache>
            </c:numRef>
          </c:cat>
          <c:val>
            <c:numRef>
              <c:f>MCSimulation!$AH$6:$AH$16</c:f>
              <c:numCache>
                <c:formatCode>0.0%</c:formatCode>
                <c:ptCount val="11"/>
                <c:pt idx="0">
                  <c:v>1E-3</c:v>
                </c:pt>
                <c:pt idx="1">
                  <c:v>0.439</c:v>
                </c:pt>
                <c:pt idx="2">
                  <c:v>0.159</c:v>
                </c:pt>
                <c:pt idx="3">
                  <c:v>0.11899999999999999</c:v>
                </c:pt>
                <c:pt idx="4">
                  <c:v>0.122</c:v>
                </c:pt>
                <c:pt idx="5">
                  <c:v>8.3000000000000004E-2</c:v>
                </c:pt>
                <c:pt idx="6">
                  <c:v>3.6999999999999998E-2</c:v>
                </c:pt>
                <c:pt idx="7">
                  <c:v>0.03</c:v>
                </c:pt>
                <c:pt idx="8">
                  <c:v>7.0000000000000001E-3</c:v>
                </c:pt>
                <c:pt idx="9">
                  <c:v>1E-3</c:v>
                </c:pt>
                <c:pt idx="10">
                  <c:v>2E-3</c:v>
                </c:pt>
              </c:numCache>
            </c:numRef>
          </c:val>
          <c:extLst>
            <c:ext xmlns:c16="http://schemas.microsoft.com/office/drawing/2014/chart" uri="{C3380CC4-5D6E-409C-BE32-E72D297353CC}">
              <c16:uniqueId val="{00000000-D210-4F9D-8633-4CD762297914}"/>
            </c:ext>
          </c:extLst>
        </c:ser>
        <c:dLbls>
          <c:showLegendKey val="0"/>
          <c:showVal val="0"/>
          <c:showCatName val="0"/>
          <c:showSerName val="0"/>
          <c:showPercent val="0"/>
          <c:showBubbleSize val="0"/>
        </c:dLbls>
        <c:gapWidth val="150"/>
        <c:axId val="152003328"/>
        <c:axId val="152004864"/>
      </c:barChart>
      <c:lineChart>
        <c:grouping val="standard"/>
        <c:varyColors val="0"/>
        <c:ser>
          <c:idx val="1"/>
          <c:order val="1"/>
          <c:tx>
            <c:strRef>
              <c:f>MCSimulation!$AI$5</c:f>
              <c:strCache>
                <c:ptCount val="1"/>
                <c:pt idx="0">
                  <c:v>Cumulative %</c:v>
                </c:pt>
              </c:strCache>
            </c:strRef>
          </c:tx>
          <c:marker>
            <c:symbol val="none"/>
          </c:marker>
          <c:cat>
            <c:numRef>
              <c:f>MCSimulation!$AG$6:$AG$16</c:f>
              <c:numCache>
                <c:formatCode>_(* #,##0.00_);_(* \(#,##0.00\);_(* "-"??_);_(@_)</c:formatCode>
                <c:ptCount val="11"/>
                <c:pt idx="0">
                  <c:v>7.6936936532781899E-2</c:v>
                </c:pt>
                <c:pt idx="1">
                  <c:v>2.5593187329159472</c:v>
                </c:pt>
                <c:pt idx="2">
                  <c:v>5.0417005292991126</c:v>
                </c:pt>
                <c:pt idx="3">
                  <c:v>7.5240823256822775</c:v>
                </c:pt>
                <c:pt idx="4">
                  <c:v>10.006464122065443</c:v>
                </c:pt>
                <c:pt idx="5">
                  <c:v>12.488845918448609</c:v>
                </c:pt>
                <c:pt idx="6">
                  <c:v>14.971227714831775</c:v>
                </c:pt>
                <c:pt idx="7">
                  <c:v>17.453609511214939</c:v>
                </c:pt>
                <c:pt idx="8">
                  <c:v>19.935991307598105</c:v>
                </c:pt>
                <c:pt idx="9">
                  <c:v>22.418373103981271</c:v>
                </c:pt>
                <c:pt idx="10">
                  <c:v>24.900754900364436</c:v>
                </c:pt>
              </c:numCache>
            </c:numRef>
          </c:cat>
          <c:val>
            <c:numRef>
              <c:f>MCSimulation!$AI$6:$AI$16</c:f>
              <c:numCache>
                <c:formatCode>0.0%</c:formatCode>
                <c:ptCount val="11"/>
                <c:pt idx="0">
                  <c:v>1E-3</c:v>
                </c:pt>
                <c:pt idx="1">
                  <c:v>0.44</c:v>
                </c:pt>
                <c:pt idx="2">
                  <c:v>0.59899999999999998</c:v>
                </c:pt>
                <c:pt idx="3">
                  <c:v>0.71799999999999997</c:v>
                </c:pt>
                <c:pt idx="4">
                  <c:v>0.84</c:v>
                </c:pt>
                <c:pt idx="5">
                  <c:v>0.92299999999999993</c:v>
                </c:pt>
                <c:pt idx="6">
                  <c:v>0.96</c:v>
                </c:pt>
                <c:pt idx="7">
                  <c:v>0.99</c:v>
                </c:pt>
                <c:pt idx="8">
                  <c:v>0.997</c:v>
                </c:pt>
                <c:pt idx="9">
                  <c:v>0.998</c:v>
                </c:pt>
                <c:pt idx="10">
                  <c:v>1</c:v>
                </c:pt>
              </c:numCache>
            </c:numRef>
          </c:val>
          <c:smooth val="0"/>
          <c:extLst>
            <c:ext xmlns:c16="http://schemas.microsoft.com/office/drawing/2014/chart" uri="{C3380CC4-5D6E-409C-BE32-E72D297353CC}">
              <c16:uniqueId val="{00000001-D210-4F9D-8633-4CD762297914}"/>
            </c:ext>
          </c:extLst>
        </c:ser>
        <c:dLbls>
          <c:showLegendKey val="0"/>
          <c:showVal val="0"/>
          <c:showCatName val="0"/>
          <c:showSerName val="0"/>
          <c:showPercent val="0"/>
          <c:showBubbleSize val="0"/>
        </c:dLbls>
        <c:marker val="1"/>
        <c:smooth val="0"/>
        <c:axId val="152012288"/>
        <c:axId val="152010752"/>
      </c:lineChart>
      <c:catAx>
        <c:axId val="152003328"/>
        <c:scaling>
          <c:orientation val="minMax"/>
        </c:scaling>
        <c:delete val="0"/>
        <c:axPos val="b"/>
        <c:numFmt formatCode="_(* #,##0.00_);_(* \(#,##0.00\);_(* &quot;-&quot;??_);_(@_)" sourceLinked="1"/>
        <c:majorTickMark val="out"/>
        <c:minorTickMark val="none"/>
        <c:tickLblPos val="nextTo"/>
        <c:crossAx val="152004864"/>
        <c:crosses val="autoZero"/>
        <c:auto val="1"/>
        <c:lblAlgn val="ctr"/>
        <c:lblOffset val="100"/>
        <c:noMultiLvlLbl val="0"/>
      </c:catAx>
      <c:valAx>
        <c:axId val="152004864"/>
        <c:scaling>
          <c:orientation val="minMax"/>
          <c:max val="1"/>
        </c:scaling>
        <c:delete val="0"/>
        <c:axPos val="l"/>
        <c:majorGridlines/>
        <c:numFmt formatCode="0.0%" sourceLinked="1"/>
        <c:majorTickMark val="out"/>
        <c:minorTickMark val="none"/>
        <c:tickLblPos val="nextTo"/>
        <c:crossAx val="152003328"/>
        <c:crosses val="autoZero"/>
        <c:crossBetween val="between"/>
      </c:valAx>
      <c:valAx>
        <c:axId val="152010752"/>
        <c:scaling>
          <c:orientation val="minMax"/>
        </c:scaling>
        <c:delete val="0"/>
        <c:axPos val="r"/>
        <c:numFmt formatCode="0.0%" sourceLinked="1"/>
        <c:majorTickMark val="out"/>
        <c:minorTickMark val="none"/>
        <c:tickLblPos val="nextTo"/>
        <c:crossAx val="152012288"/>
        <c:crosses val="max"/>
        <c:crossBetween val="between"/>
      </c:valAx>
      <c:catAx>
        <c:axId val="152012288"/>
        <c:scaling>
          <c:orientation val="minMax"/>
        </c:scaling>
        <c:delete val="1"/>
        <c:axPos val="b"/>
        <c:numFmt formatCode="_(* #,##0.00_);_(* \(#,##0.00\);_(* &quot;-&quot;??_);_(@_)" sourceLinked="1"/>
        <c:majorTickMark val="out"/>
        <c:minorTickMark val="none"/>
        <c:tickLblPos val="nextTo"/>
        <c:crossAx val="152010752"/>
        <c:crosses val="autoZero"/>
        <c:auto val="1"/>
        <c:lblAlgn val="ctr"/>
        <c:lblOffset val="100"/>
        <c:noMultiLvlLbl val="0"/>
      </c:cat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2004</a:t>
            </a:r>
          </a:p>
        </c:rich>
      </c:tx>
      <c:layout>
        <c:manualLayout>
          <c:xMode val="edge"/>
          <c:yMode val="edge"/>
          <c:x val="0.33712183564496706"/>
          <c:y val="3.5294168333766564E-2"/>
        </c:manualLayout>
      </c:layout>
      <c:overlay val="0"/>
      <c:spPr>
        <a:noFill/>
        <a:ln w="25400">
          <a:noFill/>
        </a:ln>
      </c:spPr>
    </c:title>
    <c:autoTitleDeleted val="0"/>
    <c:plotArea>
      <c:layout>
        <c:manualLayout>
          <c:layoutTarget val="inner"/>
          <c:xMode val="edge"/>
          <c:yMode val="edge"/>
          <c:x val="0.15530331754431068"/>
          <c:y val="0.13529431194610517"/>
          <c:w val="0.79924390248413546"/>
          <c:h val="0.71764808945325342"/>
        </c:manualLayout>
      </c:layout>
      <c:scatterChart>
        <c:scatterStyle val="lineMarker"/>
        <c:varyColors val="0"/>
        <c:ser>
          <c:idx val="0"/>
          <c:order val="0"/>
          <c:tx>
            <c:strRef>
              <c:f>'2004US'!$B$1</c:f>
              <c:strCache>
                <c:ptCount val="1"/>
                <c:pt idx="0">
                  <c:v>Observed</c:v>
                </c:pt>
              </c:strCache>
            </c:strRef>
          </c:tx>
          <c:spPr>
            <a:ln w="28575">
              <a:noFill/>
            </a:ln>
          </c:spPr>
          <c:marker>
            <c:symbol val="circle"/>
            <c:size val="6"/>
            <c:spPr>
              <a:solidFill>
                <a:srgbClr val="000080"/>
              </a:solidFill>
              <a:ln>
                <a:solidFill>
                  <a:srgbClr val="000080"/>
                </a:solidFill>
                <a:prstDash val="solid"/>
              </a:ln>
            </c:spPr>
          </c:marker>
          <c:xVal>
            <c:numRef>
              <c:f>'2004US'!$A$2:$A$50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'2004US'!$B$2:$B$50</c:f>
              <c:numCache>
                <c:formatCode>General</c:formatCode>
                <c:ptCount val="49"/>
                <c:pt idx="0">
                  <c:v>3</c:v>
                </c:pt>
                <c:pt idx="1">
                  <c:v>2</c:v>
                </c:pt>
                <c:pt idx="2">
                  <c:v>7</c:v>
                </c:pt>
                <c:pt idx="3">
                  <c:v>12</c:v>
                </c:pt>
                <c:pt idx="4">
                  <c:v>9</c:v>
                </c:pt>
                <c:pt idx="5">
                  <c:v>10</c:v>
                </c:pt>
                <c:pt idx="6">
                  <c:v>27</c:v>
                </c:pt>
                <c:pt idx="7">
                  <c:v>21</c:v>
                </c:pt>
                <c:pt idx="8">
                  <c:v>36</c:v>
                </c:pt>
                <c:pt idx="9">
                  <c:v>63</c:v>
                </c:pt>
                <c:pt idx="10">
                  <c:v>108</c:v>
                </c:pt>
                <c:pt idx="11">
                  <c:v>255</c:v>
                </c:pt>
                <c:pt idx="12">
                  <c:v>472</c:v>
                </c:pt>
                <c:pt idx="13">
                  <c:v>675</c:v>
                </c:pt>
                <c:pt idx="14">
                  <c:v>580</c:v>
                </c:pt>
                <c:pt idx="15">
                  <c:v>844</c:v>
                </c:pt>
                <c:pt idx="16">
                  <c:v>974</c:v>
                </c:pt>
                <c:pt idx="17">
                  <c:v>1096</c:v>
                </c:pt>
                <c:pt idx="18">
                  <c:v>1354</c:v>
                </c:pt>
                <c:pt idx="19">
                  <c:v>1335</c:v>
                </c:pt>
                <c:pt idx="20">
                  <c:v>1109</c:v>
                </c:pt>
                <c:pt idx="21">
                  <c:v>936</c:v>
                </c:pt>
                <c:pt idx="22">
                  <c:v>627</c:v>
                </c:pt>
                <c:pt idx="23">
                  <c:v>476</c:v>
                </c:pt>
                <c:pt idx="24">
                  <c:v>295</c:v>
                </c:pt>
                <c:pt idx="25">
                  <c:v>164</c:v>
                </c:pt>
                <c:pt idx="26">
                  <c:v>94</c:v>
                </c:pt>
                <c:pt idx="27">
                  <c:v>37</c:v>
                </c:pt>
                <c:pt idx="28">
                  <c:v>26</c:v>
                </c:pt>
                <c:pt idx="29">
                  <c:v>15</c:v>
                </c:pt>
                <c:pt idx="30">
                  <c:v>8</c:v>
                </c:pt>
                <c:pt idx="31">
                  <c:v>5</c:v>
                </c:pt>
                <c:pt idx="32">
                  <c:v>3</c:v>
                </c:pt>
                <c:pt idx="33">
                  <c:v>1</c:v>
                </c:pt>
                <c:pt idx="34">
                  <c:v>2</c:v>
                </c:pt>
                <c:pt idx="35">
                  <c:v>0</c:v>
                </c:pt>
                <c:pt idx="36">
                  <c:v>2</c:v>
                </c:pt>
                <c:pt idx="37">
                  <c:v>1</c:v>
                </c:pt>
                <c:pt idx="38">
                  <c:v>6</c:v>
                </c:pt>
                <c:pt idx="39">
                  <c:v>0</c:v>
                </c:pt>
                <c:pt idx="40">
                  <c:v>0</c:v>
                </c:pt>
                <c:pt idx="41">
                  <c:v>1</c:v>
                </c:pt>
                <c:pt idx="42">
                  <c:v>0</c:v>
                </c:pt>
                <c:pt idx="43">
                  <c:v>0</c:v>
                </c:pt>
                <c:pt idx="44">
                  <c:v>0</c:v>
                </c:pt>
                <c:pt idx="45">
                  <c:v>1</c:v>
                </c:pt>
                <c:pt idx="46">
                  <c:v>0</c:v>
                </c:pt>
                <c:pt idx="47">
                  <c:v>3</c:v>
                </c:pt>
                <c:pt idx="48">
                  <c:v>0</c:v>
                </c:pt>
              </c:numCache>
            </c:numRef>
          </c:yVal>
          <c:smooth val="0"/>
          <c:extLst>
            <c:ext xmlns:c16="http://schemas.microsoft.com/office/drawing/2014/chart" uri="{C3380CC4-5D6E-409C-BE32-E72D297353CC}">
              <c16:uniqueId val="{00000000-C565-4ABE-BFDA-458F86DB1945}"/>
            </c:ext>
          </c:extLst>
        </c:ser>
        <c:ser>
          <c:idx val="1"/>
          <c:order val="1"/>
          <c:tx>
            <c:strRef>
              <c:f>'2004US'!$D$1</c:f>
              <c:strCache>
                <c:ptCount val="1"/>
                <c:pt idx="0">
                  <c:v>Estimated</c:v>
                </c:pt>
              </c:strCache>
            </c:strRef>
          </c:tx>
          <c:spPr>
            <a:ln w="25400">
              <a:solidFill>
                <a:srgbClr val="008000"/>
              </a:solidFill>
              <a:prstDash val="solid"/>
            </a:ln>
          </c:spPr>
          <c:marker>
            <c:symbol val="none"/>
          </c:marker>
          <c:xVal>
            <c:numRef>
              <c:f>'2004US'!$A$2:$A$50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'2004US'!$D$2:$D$50</c:f>
              <c:numCache>
                <c:formatCode>_(* #,##0_);_(* \(#,##0\);_(* "-"??_);_(@_)</c:formatCode>
                <c:ptCount val="49"/>
                <c:pt idx="0">
                  <c:v>3</c:v>
                </c:pt>
                <c:pt idx="1">
                  <c:v>4.4375133651224017</c:v>
                </c:pt>
                <c:pt idx="2">
                  <c:v>6.5624397587864669</c:v>
                </c:pt>
                <c:pt idx="3">
                  <c:v>9.701832055050744</c:v>
                </c:pt>
                <c:pt idx="4">
                  <c:v>14.33636946614439</c:v>
                </c:pt>
                <c:pt idx="5">
                  <c:v>21.170173885328747</c:v>
                </c:pt>
                <c:pt idx="6">
                  <c:v>31.229560239652862</c:v>
                </c:pt>
                <c:pt idx="7">
                  <c:v>45.999331712482189</c:v>
                </c:pt>
                <c:pt idx="8">
                  <c:v>67.603441145461773</c:v>
                </c:pt>
                <c:pt idx="9">
                  <c:v>99.027909333616222</c:v>
                </c:pt>
                <c:pt idx="10">
                  <c:v>144.35853056678792</c:v>
                </c:pt>
                <c:pt idx="11">
                  <c:v>208.94664739726366</c:v>
                </c:pt>
                <c:pt idx="12">
                  <c:v>299.29525478556627</c:v>
                </c:pt>
                <c:pt idx="13">
                  <c:v>422.24475233204521</c:v>
                </c:pt>
                <c:pt idx="14">
                  <c:v>582.7466080698423</c:v>
                </c:pt>
                <c:pt idx="15">
                  <c:v>779.34216211363878</c:v>
                </c:pt>
                <c:pt idx="16">
                  <c:v>997.06750804306841</c:v>
                </c:pt>
                <c:pt idx="17">
                  <c:v>1200.1341705084872</c:v>
                </c:pt>
                <c:pt idx="18">
                  <c:v>1332.0175360382402</c:v>
                </c:pt>
                <c:pt idx="19">
                  <c:v>1334.1704534181033</c:v>
                </c:pt>
                <c:pt idx="20">
                  <c:v>1183.8566848728703</c:v>
                </c:pt>
                <c:pt idx="21">
                  <c:v>922.34084343410245</c:v>
                </c:pt>
                <c:pt idx="22">
                  <c:v>634.83834783983889</c:v>
                </c:pt>
                <c:pt idx="23">
                  <c:v>394.21147793499915</c:v>
                </c:pt>
                <c:pt idx="24">
                  <c:v>227.21134578507855</c:v>
                </c:pt>
                <c:pt idx="25">
                  <c:v>124.82896861233198</c:v>
                </c:pt>
                <c:pt idx="26">
                  <c:v>66.671102681939516</c:v>
                </c:pt>
                <c:pt idx="27">
                  <c:v>35.0539267294442</c:v>
                </c:pt>
                <c:pt idx="28">
                  <c:v>18.27535926327095</c:v>
                </c:pt>
                <c:pt idx="29">
                  <c:v>9.4854618936054891</c:v>
                </c:pt>
                <c:pt idx="30">
                  <c:v>4.9117852322277713</c:v>
                </c:pt>
                <c:pt idx="31">
                  <c:v>2.5403562633605707</c:v>
                </c:pt>
                <c:pt idx="32">
                  <c:v>1.3130387973151949</c:v>
                </c:pt>
                <c:pt idx="33">
                  <c:v>0.67845274750285456</c:v>
                </c:pt>
                <c:pt idx="34">
                  <c:v>0.35050064590749974</c:v>
                </c:pt>
                <c:pt idx="35">
                  <c:v>0.18105912009934455</c:v>
                </c:pt>
                <c:pt idx="36">
                  <c:v>9.3526039759615681E-2</c:v>
                </c:pt>
                <c:pt idx="37">
                  <c:v>4.8309733382087897E-2</c:v>
                </c:pt>
                <c:pt idx="38">
                  <c:v>2.4953504547903023E-2</c:v>
                </c:pt>
                <c:pt idx="39">
                  <c:v>1.2889194437420773E-2</c:v>
                </c:pt>
                <c:pt idx="40">
                  <c:v>6.6576140995395095E-3</c:v>
                </c:pt>
                <c:pt idx="41">
                  <c:v>3.4388303115763658E-3</c:v>
                </c:pt>
                <c:pt idx="42">
                  <c:v>1.7762435128219926E-3</c:v>
                </c:pt>
                <c:pt idx="43">
                  <c:v>9.1747464838013728E-4</c:v>
                </c:pt>
                <c:pt idx="44">
                  <c:v>4.7389872692397061E-4</c:v>
                </c:pt>
                <c:pt idx="45">
                  <c:v>2.4478058053934489E-4</c:v>
                </c:pt>
                <c:pt idx="46">
                  <c:v>1.2643530268809788E-4</c:v>
                </c:pt>
                <c:pt idx="47">
                  <c:v>6.5306999561700257E-5</c:v>
                </c:pt>
                <c:pt idx="48">
                  <c:v>3.3732699904171344E-5</c:v>
                </c:pt>
              </c:numCache>
            </c:numRef>
          </c:yVal>
          <c:smooth val="0"/>
          <c:extLst>
            <c:ext xmlns:c16="http://schemas.microsoft.com/office/drawing/2014/chart" uri="{C3380CC4-5D6E-409C-BE32-E72D297353CC}">
              <c16:uniqueId val="{00000001-C565-4ABE-BFDA-458F86DB1945}"/>
            </c:ext>
          </c:extLst>
        </c:ser>
        <c:dLbls>
          <c:showLegendKey val="0"/>
          <c:showVal val="0"/>
          <c:showCatName val="0"/>
          <c:showSerName val="0"/>
          <c:showPercent val="0"/>
          <c:showBubbleSize val="0"/>
        </c:dLbls>
        <c:axId val="152029824"/>
        <c:axId val="152032000"/>
      </c:scatterChart>
      <c:valAx>
        <c:axId val="152029824"/>
        <c:scaling>
          <c:orientation val="minMax"/>
          <c:max val="50"/>
        </c:scaling>
        <c:delete val="0"/>
        <c:axPos val="b"/>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Weeks</a:t>
                </a:r>
              </a:p>
            </c:rich>
          </c:tx>
          <c:layout>
            <c:manualLayout>
              <c:xMode val="edge"/>
              <c:yMode val="edge"/>
              <c:x val="0.50757669636433245"/>
              <c:y val="0.9176483766779306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2032000"/>
        <c:crosses val="autoZero"/>
        <c:crossBetween val="midCat"/>
      </c:valAx>
      <c:valAx>
        <c:axId val="152032000"/>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Infecteds</a:t>
                </a:r>
              </a:p>
            </c:rich>
          </c:tx>
          <c:layout>
            <c:manualLayout>
              <c:xMode val="edge"/>
              <c:yMode val="edge"/>
              <c:x val="2.6515200556345726E-2"/>
              <c:y val="0.3911770323659127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2029824"/>
        <c:crosses val="autoZero"/>
        <c:crossBetween val="midCat"/>
      </c:valAx>
      <c:spPr>
        <a:solidFill>
          <a:schemeClr val="bg1">
            <a:lumMod val="95000"/>
          </a:schemeClr>
        </a:solidFill>
        <a:ln w="12700">
          <a:solidFill>
            <a:srgbClr val="808080"/>
          </a:solidFill>
          <a:prstDash val="solid"/>
        </a:ln>
      </c:spPr>
    </c:plotArea>
    <c:legend>
      <c:legendPos val="r"/>
      <c:overlay val="0"/>
    </c:legend>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2013</a:t>
            </a:r>
          </a:p>
        </c:rich>
      </c:tx>
      <c:layout>
        <c:manualLayout>
          <c:xMode val="edge"/>
          <c:yMode val="edge"/>
          <c:x val="0.33712183564496706"/>
          <c:y val="3.5294168333766564E-2"/>
        </c:manualLayout>
      </c:layout>
      <c:overlay val="0"/>
      <c:spPr>
        <a:noFill/>
        <a:ln w="25400">
          <a:noFill/>
        </a:ln>
      </c:spPr>
    </c:title>
    <c:autoTitleDeleted val="0"/>
    <c:plotArea>
      <c:layout>
        <c:manualLayout>
          <c:layoutTarget val="inner"/>
          <c:xMode val="edge"/>
          <c:yMode val="edge"/>
          <c:x val="0.15530331754431068"/>
          <c:y val="0.13529431194610517"/>
          <c:w val="0.79924390248413546"/>
          <c:h val="0.71764808945325342"/>
        </c:manualLayout>
      </c:layout>
      <c:scatterChart>
        <c:scatterStyle val="lineMarker"/>
        <c:varyColors val="0"/>
        <c:ser>
          <c:idx val="0"/>
          <c:order val="0"/>
          <c:tx>
            <c:strRef>
              <c:f>'2013US'!$B$1</c:f>
              <c:strCache>
                <c:ptCount val="1"/>
                <c:pt idx="0">
                  <c:v>Observed</c:v>
                </c:pt>
              </c:strCache>
            </c:strRef>
          </c:tx>
          <c:spPr>
            <a:ln w="28575">
              <a:noFill/>
            </a:ln>
          </c:spPr>
          <c:marker>
            <c:symbol val="circle"/>
            <c:size val="6"/>
            <c:spPr>
              <a:solidFill>
                <a:srgbClr val="000080"/>
              </a:solidFill>
              <a:ln>
                <a:solidFill>
                  <a:srgbClr val="000080"/>
                </a:solidFill>
                <a:prstDash val="solid"/>
              </a:ln>
            </c:spPr>
          </c:marker>
          <c:xVal>
            <c:numRef>
              <c:f>'2013US'!$A$2:$A$50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'2013US'!$B$2:$B$50</c:f>
              <c:numCache>
                <c:formatCode>General</c:formatCode>
                <c:ptCount val="49"/>
                <c:pt idx="0">
                  <c:v>0</c:v>
                </c:pt>
                <c:pt idx="1">
                  <c:v>0</c:v>
                </c:pt>
                <c:pt idx="2">
                  <c:v>0</c:v>
                </c:pt>
                <c:pt idx="3">
                  <c:v>0</c:v>
                </c:pt>
                <c:pt idx="4">
                  <c:v>0</c:v>
                </c:pt>
                <c:pt idx="5">
                  <c:v>6</c:v>
                </c:pt>
                <c:pt idx="6">
                  <c:v>39</c:v>
                </c:pt>
                <c:pt idx="7">
                  <c:v>114</c:v>
                </c:pt>
                <c:pt idx="8">
                  <c:v>183</c:v>
                </c:pt>
                <c:pt idx="9">
                  <c:v>180</c:v>
                </c:pt>
                <c:pt idx="10">
                  <c:v>136</c:v>
                </c:pt>
                <c:pt idx="11">
                  <c:v>93</c:v>
                </c:pt>
                <c:pt idx="12">
                  <c:v>56</c:v>
                </c:pt>
                <c:pt idx="13">
                  <c:v>46</c:v>
                </c:pt>
                <c:pt idx="14">
                  <c:v>21</c:v>
                </c:pt>
                <c:pt idx="15">
                  <c:v>15</c:v>
                </c:pt>
                <c:pt idx="16">
                  <c:v>5</c:v>
                </c:pt>
                <c:pt idx="17">
                  <c:v>8</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3</c:v>
                </c:pt>
                <c:pt idx="43">
                  <c:v>0</c:v>
                </c:pt>
                <c:pt idx="44">
                  <c:v>0</c:v>
                </c:pt>
                <c:pt idx="45">
                  <c:v>1</c:v>
                </c:pt>
                <c:pt idx="46">
                  <c:v>0</c:v>
                </c:pt>
                <c:pt idx="47">
                  <c:v>3</c:v>
                </c:pt>
                <c:pt idx="48">
                  <c:v>0</c:v>
                </c:pt>
              </c:numCache>
            </c:numRef>
          </c:yVal>
          <c:smooth val="0"/>
          <c:extLst>
            <c:ext xmlns:c16="http://schemas.microsoft.com/office/drawing/2014/chart" uri="{C3380CC4-5D6E-409C-BE32-E72D297353CC}">
              <c16:uniqueId val="{00000000-47E1-4C02-B304-523F9378E11F}"/>
            </c:ext>
          </c:extLst>
        </c:ser>
        <c:ser>
          <c:idx val="1"/>
          <c:order val="1"/>
          <c:tx>
            <c:strRef>
              <c:f>'2013US'!$D$1</c:f>
              <c:strCache>
                <c:ptCount val="1"/>
                <c:pt idx="0">
                  <c:v>Estimated</c:v>
                </c:pt>
              </c:strCache>
            </c:strRef>
          </c:tx>
          <c:spPr>
            <a:ln w="25400">
              <a:solidFill>
                <a:srgbClr val="008000"/>
              </a:solidFill>
              <a:prstDash val="solid"/>
            </a:ln>
          </c:spPr>
          <c:marker>
            <c:symbol val="none"/>
          </c:marker>
          <c:xVal>
            <c:numRef>
              <c:f>'2013US'!$A$2:$A$50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'2013US'!$D$2:$D$50</c:f>
              <c:numCache>
                <c:formatCode>_(* #,##0_);_(* \(#,##0\);_(* "-"??_);_(@_)</c:formatCode>
                <c:ptCount val="49"/>
                <c:pt idx="0">
                  <c:v>3</c:v>
                </c:pt>
                <c:pt idx="1">
                  <c:v>5.1901771390421398</c:v>
                </c:pt>
                <c:pt idx="2">
                  <c:v>8.9462117179326945</c:v>
                </c:pt>
                <c:pt idx="3">
                  <c:v>15.321901618486038</c:v>
                </c:pt>
                <c:pt idx="4">
                  <c:v>25.951502341316473</c:v>
                </c:pt>
                <c:pt idx="5">
                  <c:v>43.119515977642536</c:v>
                </c:pt>
                <c:pt idx="6">
                  <c:v>69.315991515116011</c:v>
                </c:pt>
                <c:pt idx="7">
                  <c:v>105.31247092675378</c:v>
                </c:pt>
                <c:pt idx="8">
                  <c:v>145.48688632073311</c:v>
                </c:pt>
                <c:pt idx="9">
                  <c:v>171.89784815506758</c:v>
                </c:pt>
                <c:pt idx="10">
                  <c:v>158.88300125494891</c:v>
                </c:pt>
                <c:pt idx="11">
                  <c:v>103.14319994452973</c:v>
                </c:pt>
                <c:pt idx="12">
                  <c:v>43.670877610639053</c:v>
                </c:pt>
                <c:pt idx="13">
                  <c:v>12.75266251022731</c:v>
                </c:pt>
                <c:pt idx="14">
                  <c:v>3.0623167648259439</c:v>
                </c:pt>
                <c:pt idx="15">
                  <c:v>0.69028123311262579</c:v>
                </c:pt>
                <c:pt idx="16">
                  <c:v>0.15317759613756721</c:v>
                </c:pt>
                <c:pt idx="17">
                  <c:v>3.3870246840049606E-2</c:v>
                </c:pt>
                <c:pt idx="18">
                  <c:v>7.4833799914712992E-3</c:v>
                </c:pt>
                <c:pt idx="19">
                  <c:v>1.6531079457677931E-3</c:v>
                </c:pt>
                <c:pt idx="20">
                  <c:v>3.6516389468154104E-4</c:v>
                </c:pt>
                <c:pt idx="21">
                  <c:v>8.0662325152767024E-5</c:v>
                </c:pt>
                <c:pt idx="22">
                  <c:v>1.781774845065537E-5</c:v>
                </c:pt>
                <c:pt idx="23">
                  <c:v>3.9358154738161715E-6</c:v>
                </c:pt>
                <c:pt idx="24">
                  <c:v>8.693939113700341E-7</c:v>
                </c:pt>
                <c:pt idx="25">
                  <c:v>1.9204298646099101E-7</c:v>
                </c:pt>
                <c:pt idx="26">
                  <c:v>4.2420941762762279E-8</c:v>
                </c:pt>
                <c:pt idx="27">
                  <c:v>9.3704869488631687E-9</c:v>
                </c:pt>
                <c:pt idx="28">
                  <c:v>2.06987450044402E-9</c:v>
                </c:pt>
                <c:pt idx="29">
                  <c:v>4.5722068348866973E-10</c:v>
                </c:pt>
                <c:pt idx="30">
                  <c:v>1.0099682534509467E-10</c:v>
                </c:pt>
                <c:pt idx="31">
                  <c:v>2.2309486639871611E-11</c:v>
                </c:pt>
                <c:pt idx="32">
                  <c:v>4.9280083055454575E-12</c:v>
                </c:pt>
                <c:pt idx="33">
                  <c:v>1.0885622897355013E-12</c:v>
                </c:pt>
                <c:pt idx="34">
                  <c:v>2.4045573488598419E-13</c:v>
                </c:pt>
                <c:pt idx="35">
                  <c:v>5.3114976501351348E-14</c:v>
                </c:pt>
                <c:pt idx="36">
                  <c:v>1.173272382160825E-14</c:v>
                </c:pt>
                <c:pt idx="37">
                  <c:v>2.5916759705359468E-15</c:v>
                </c:pt>
                <c:pt idx="38">
                  <c:v>5.7248294926051828E-16</c:v>
                </c:pt>
                <c:pt idx="39">
                  <c:v>1.2645744719632036E-16</c:v>
                </c:pt>
                <c:pt idx="40">
                  <c:v>2.7933558496487091E-17</c:v>
                </c:pt>
                <c:pt idx="41">
                  <c:v>6.1703261261102762E-18</c:v>
                </c:pt>
                <c:pt idx="42">
                  <c:v>1.3629815373271202E-18</c:v>
                </c:pt>
                <c:pt idx="43">
                  <c:v>3.010730118840077E-19</c:v>
                </c:pt>
                <c:pt idx="44">
                  <c:v>6.6504905607648491E-20</c:v>
                </c:pt>
                <c:pt idx="45">
                  <c:v>1.4690464755393676E-20</c:v>
                </c:pt>
                <c:pt idx="46">
                  <c:v>3.2450200892345035E-21</c:v>
                </c:pt>
                <c:pt idx="47">
                  <c:v>7.168020586734202E-22</c:v>
                </c:pt>
                <c:pt idx="48">
                  <c:v>1.5833652094266673E-22</c:v>
                </c:pt>
              </c:numCache>
            </c:numRef>
          </c:yVal>
          <c:smooth val="0"/>
          <c:extLst>
            <c:ext xmlns:c16="http://schemas.microsoft.com/office/drawing/2014/chart" uri="{C3380CC4-5D6E-409C-BE32-E72D297353CC}">
              <c16:uniqueId val="{00000001-47E1-4C02-B304-523F9378E11F}"/>
            </c:ext>
          </c:extLst>
        </c:ser>
        <c:dLbls>
          <c:showLegendKey val="0"/>
          <c:showVal val="0"/>
          <c:showCatName val="0"/>
          <c:showSerName val="0"/>
          <c:showPercent val="0"/>
          <c:showBubbleSize val="0"/>
        </c:dLbls>
        <c:axId val="152078976"/>
        <c:axId val="152097536"/>
      </c:scatterChart>
      <c:valAx>
        <c:axId val="152078976"/>
        <c:scaling>
          <c:orientation val="minMax"/>
          <c:max val="50"/>
        </c:scaling>
        <c:delete val="0"/>
        <c:axPos val="b"/>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Weeks</a:t>
                </a:r>
              </a:p>
            </c:rich>
          </c:tx>
          <c:layout>
            <c:manualLayout>
              <c:xMode val="edge"/>
              <c:yMode val="edge"/>
              <c:x val="0.50757669636433245"/>
              <c:y val="0.9176483766779306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2097536"/>
        <c:crosses val="autoZero"/>
        <c:crossBetween val="midCat"/>
      </c:valAx>
      <c:valAx>
        <c:axId val="152097536"/>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000000"/>
                    </a:solidFill>
                    <a:latin typeface="Arial"/>
                    <a:ea typeface="Arial"/>
                    <a:cs typeface="Arial"/>
                  </a:defRPr>
                </a:pPr>
                <a:r>
                  <a:rPr lang="en-US"/>
                  <a:t>Infecteds</a:t>
                </a:r>
              </a:p>
            </c:rich>
          </c:tx>
          <c:layout>
            <c:manualLayout>
              <c:xMode val="edge"/>
              <c:yMode val="edge"/>
              <c:x val="2.6515200556345726E-2"/>
              <c:y val="0.3911770323659127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52078976"/>
        <c:crosses val="autoZero"/>
        <c:crossBetween val="midCat"/>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Scroll" dx="16" fmlaLink="ASSUMPTIONS!$C$6" horiz="1" max="100" noThreeD="1" page="10" val="100"/>
</file>

<file path=xl/ctrlProps/ctrlProp2.xml><?xml version="1.0" encoding="utf-8"?>
<formControlPr xmlns="http://schemas.microsoft.com/office/spreadsheetml/2009/9/main" objectType="Scroll" dx="16" fmlaLink="ASSUMPTIONS!$C$7" horiz="1" max="100" page="10" val="65"/>
</file>

<file path=xl/ctrlProps/ctrlProp3.xml><?xml version="1.0" encoding="utf-8"?>
<formControlPr xmlns="http://schemas.microsoft.com/office/spreadsheetml/2009/9/main" objectType="Scroll" dx="16" fmlaLink="ASSUMPTIONS!$C$8" horiz="1" max="100" page="10" val="20"/>
</file>

<file path=xl/ctrlProps/ctrlProp4.xml><?xml version="1.0" encoding="utf-8"?>
<formControlPr xmlns="http://schemas.microsoft.com/office/spreadsheetml/2009/9/main" objectType="Scroll" dx="16" fmlaLink="ASSUMPTIONS!$C$9" horiz="1" max="100" page="10" val="45"/>
</file>

<file path=xl/ctrlProps/ctrlProp5.xml><?xml version="1.0" encoding="utf-8"?>
<formControlPr xmlns="http://schemas.microsoft.com/office/spreadsheetml/2009/9/main" objectType="Scroll" dx="16" fmlaLink="ASSUMPTIONS!$C$11" horiz="1" max="100" page="10" val="39"/>
</file>

<file path=xl/ctrlProps/ctrlProp6.xml><?xml version="1.0" encoding="utf-8"?>
<formControlPr xmlns="http://schemas.microsoft.com/office/spreadsheetml/2009/9/main" objectType="Scroll" dx="16" fmlaLink="ASSUMPTIONS!$C$12" horiz="1" max="100" page="10" val="31"/>
</file>

<file path=xl/ctrlProps/ctrlProp7.xml><?xml version="1.0" encoding="utf-8"?>
<formControlPr xmlns="http://schemas.microsoft.com/office/spreadsheetml/2009/9/main" objectType="Scroll" dx="16" fmlaLink="ASSUMPTIONS!$C$13" horiz="1" max="100" page="10" val="79"/>
</file>

<file path=xl/ctrlProps/ctrlProp8.xml><?xml version="1.0" encoding="utf-8"?>
<formControlPr xmlns="http://schemas.microsoft.com/office/spreadsheetml/2009/9/main" objectType="Scroll" dx="16" fmlaLink="ASSUMPTIONS!$C$14" horiz="1" max="100" page="10" val="100"/>
</file>

<file path=xl/ctrlProps/ctrlProp9.xml><?xml version="1.0" encoding="utf-8"?>
<formControlPr xmlns="http://schemas.microsoft.com/office/spreadsheetml/2009/9/main" objectType="Scroll" dx="16" fmlaLink="ASSUMPTIONS!$C$10" horiz="1" max="100" page="10" val="100"/>
</file>

<file path=xl/ctrlProps/ctrlProp10.xml><?xml version="1.0" encoding="utf-8"?>
<formControlPr xmlns="http://schemas.microsoft.com/office/spreadsheetml/2009/9/main" objectType="CheckBox" checked="Checked" fmlaLink="ASSUMPTIONS!$C$15" lockText="1" noThreeD="1"/>
</file>

<file path=xl/ctrlProps/ctrlProp11.xml><?xml version="1.0" encoding="utf-8"?>
<formControlPr xmlns="http://schemas.microsoft.com/office/spreadsheetml/2009/9/main" objectType="Scroll" dx="16" fmlaLink="ASSUMPTIONS!$C$17" horiz="1" max="100" page="10" val="10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247650</xdr:colOff>
      <xdr:row>0</xdr:row>
      <xdr:rowOff>57150</xdr:rowOff>
    </xdr:from>
    <xdr:to>
      <xdr:col>16</xdr:col>
      <xdr:colOff>533400</xdr:colOff>
      <xdr:row>36</xdr:row>
      <xdr:rowOff>57150</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57150"/>
          <a:ext cx="8210550" cy="586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114300</xdr:colOff>
      <xdr:row>64</xdr:row>
      <xdr:rowOff>123825</xdr:rowOff>
    </xdr:from>
    <xdr:to>
      <xdr:col>14</xdr:col>
      <xdr:colOff>238125</xdr:colOff>
      <xdr:row>100</xdr:row>
      <xdr:rowOff>28575</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43100" y="10563225"/>
          <a:ext cx="6829425" cy="5734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219075</xdr:colOff>
      <xdr:row>3</xdr:row>
      <xdr:rowOff>76200</xdr:rowOff>
    </xdr:from>
    <xdr:to>
      <xdr:col>3</xdr:col>
      <xdr:colOff>9525</xdr:colOff>
      <xdr:row>9</xdr:row>
      <xdr:rowOff>19050</xdr:rowOff>
    </xdr:to>
    <xdr:sp macro="" textlink="">
      <xdr:nvSpPr>
        <xdr:cNvPr id="3" name="Rectangular Callout 2" descr="438ce392-48a4-4a85-a969-13f6448b31ad">
          <a:extLst>
            <a:ext uri="{FF2B5EF4-FFF2-40B4-BE49-F238E27FC236}">
              <a16:creationId xmlns:a16="http://schemas.microsoft.com/office/drawing/2014/main" id="{00000000-0008-0000-0100-000003000000}"/>
            </a:ext>
          </a:extLst>
        </xdr:cNvPr>
        <xdr:cNvSpPr/>
      </xdr:nvSpPr>
      <xdr:spPr>
        <a:xfrm>
          <a:off x="219075" y="561975"/>
          <a:ext cx="1619250" cy="914400"/>
        </a:xfrm>
        <a:prstGeom prst="wedgeRectCallout">
          <a:avLst>
            <a:gd name="adj1" fmla="val 93081"/>
            <a:gd name="adj2" fmla="val -75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Check</a:t>
          </a:r>
          <a:r>
            <a:rPr lang="en-US" sz="1100" baseline="0"/>
            <a:t> box to switch on workforce population size. Unchecked will display member sizes.</a:t>
          </a:r>
          <a:endParaRPr lang="en-US" sz="1100"/>
        </a:p>
      </xdr:txBody>
    </xdr:sp>
    <xdr:clientData/>
  </xdr:twoCellAnchor>
  <xdr:twoCellAnchor>
    <xdr:from>
      <xdr:col>0</xdr:col>
      <xdr:colOff>190500</xdr:colOff>
      <xdr:row>11</xdr:row>
      <xdr:rowOff>57150</xdr:rowOff>
    </xdr:from>
    <xdr:to>
      <xdr:col>2</xdr:col>
      <xdr:colOff>590550</xdr:colOff>
      <xdr:row>16</xdr:row>
      <xdr:rowOff>133350</xdr:rowOff>
    </xdr:to>
    <xdr:sp macro="" textlink="">
      <xdr:nvSpPr>
        <xdr:cNvPr id="4" name="Rectangular Callout 3" descr="f8e84395-ee45-4c97-9925-0689b13b0389">
          <a:extLst>
            <a:ext uri="{FF2B5EF4-FFF2-40B4-BE49-F238E27FC236}">
              <a16:creationId xmlns:a16="http://schemas.microsoft.com/office/drawing/2014/main" id="{00000000-0008-0000-0100-000004000000}"/>
            </a:ext>
          </a:extLst>
        </xdr:cNvPr>
        <xdr:cNvSpPr/>
      </xdr:nvSpPr>
      <xdr:spPr>
        <a:xfrm>
          <a:off x="190500" y="1838325"/>
          <a:ext cx="1619250" cy="885825"/>
        </a:xfrm>
        <a:prstGeom prst="wedgeRectCallout">
          <a:avLst>
            <a:gd name="adj1" fmla="val 106022"/>
            <a:gd name="adj2" fmla="val -1009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Slide bars</a:t>
          </a:r>
          <a:r>
            <a:rPr lang="en-US" sz="1100" baseline="0"/>
            <a:t> to set new scenario, including user defined frequency of a $1 million severity.</a:t>
          </a:r>
          <a:endParaRPr lang="en-US" sz="1100"/>
        </a:p>
      </xdr:txBody>
    </xdr:sp>
    <xdr:clientData/>
  </xdr:twoCellAnchor>
  <xdr:twoCellAnchor>
    <xdr:from>
      <xdr:col>0</xdr:col>
      <xdr:colOff>200025</xdr:colOff>
      <xdr:row>22</xdr:row>
      <xdr:rowOff>95250</xdr:rowOff>
    </xdr:from>
    <xdr:to>
      <xdr:col>2</xdr:col>
      <xdr:colOff>600075</xdr:colOff>
      <xdr:row>36</xdr:row>
      <xdr:rowOff>57150</xdr:rowOff>
    </xdr:to>
    <xdr:sp macro="" textlink="">
      <xdr:nvSpPr>
        <xdr:cNvPr id="5" name="Rectangular Callout 4" descr="7ce1c604-5fcd-46a0-ba34-a7111d163ca4">
          <a:extLst>
            <a:ext uri="{FF2B5EF4-FFF2-40B4-BE49-F238E27FC236}">
              <a16:creationId xmlns:a16="http://schemas.microsoft.com/office/drawing/2014/main" id="{00000000-0008-0000-0100-000005000000}"/>
            </a:ext>
          </a:extLst>
        </xdr:cNvPr>
        <xdr:cNvSpPr/>
      </xdr:nvSpPr>
      <xdr:spPr>
        <a:xfrm>
          <a:off x="200025" y="3657600"/>
          <a:ext cx="1619250" cy="2228850"/>
        </a:xfrm>
        <a:prstGeom prst="wedgeRectCallout">
          <a:avLst>
            <a:gd name="adj1" fmla="val 106022"/>
            <a:gd name="adj2" fmla="val -1009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Monte Carlo simulation summary statistics  for set scenario:</a:t>
          </a:r>
        </a:p>
        <a:p>
          <a:pPr algn="l"/>
          <a:r>
            <a:rPr lang="en-US" sz="1100"/>
            <a:t>1000</a:t>
          </a:r>
          <a:r>
            <a:rPr lang="en-US" sz="1100" baseline="0"/>
            <a:t> trials across the Attack Rate, Infective Transmission Rate, Revocery Rate, and Mild Symptoms Rate parameters using a Beta distribution. The output is the deistribution of total cost.</a:t>
          </a:r>
          <a:endParaRPr lang="en-US" sz="1100"/>
        </a:p>
      </xdr:txBody>
    </xdr:sp>
    <xdr:clientData/>
  </xdr:twoCellAnchor>
  <xdr:twoCellAnchor>
    <xdr:from>
      <xdr:col>17</xdr:col>
      <xdr:colOff>28575</xdr:colOff>
      <xdr:row>3</xdr:row>
      <xdr:rowOff>85725</xdr:rowOff>
    </xdr:from>
    <xdr:to>
      <xdr:col>21</xdr:col>
      <xdr:colOff>28575</xdr:colOff>
      <xdr:row>14</xdr:row>
      <xdr:rowOff>85725</xdr:rowOff>
    </xdr:to>
    <xdr:sp macro="" textlink="">
      <xdr:nvSpPr>
        <xdr:cNvPr id="6" name="Rectangular Callout 5" descr="58f71d20-6bc4-4a30-90ab-edf2d994b2e3">
          <a:extLst>
            <a:ext uri="{FF2B5EF4-FFF2-40B4-BE49-F238E27FC236}">
              <a16:creationId xmlns:a16="http://schemas.microsoft.com/office/drawing/2014/main" id="{00000000-0008-0000-0100-000006000000}"/>
            </a:ext>
          </a:extLst>
        </xdr:cNvPr>
        <xdr:cNvSpPr/>
      </xdr:nvSpPr>
      <xdr:spPr>
        <a:xfrm>
          <a:off x="10391775" y="609600"/>
          <a:ext cx="2438400" cy="1781175"/>
        </a:xfrm>
        <a:prstGeom prst="wedgeRectCallout">
          <a:avLst>
            <a:gd name="adj1" fmla="val -73390"/>
            <a:gd name="adj2" fmla="val -3573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Frequency is set  according to scenario. Severity is the cost associated with the evolution</a:t>
          </a:r>
          <a:r>
            <a:rPr lang="en-US" sz="1100" baseline="0"/>
            <a:t> of epidemic across stages of susceptibility, infection, and recover, conditioned by the strength of symptoms. Severity is the Monte Carlo Median value. Baseline Risk Value is the expected value of epidemic cost.</a:t>
          </a:r>
          <a:endParaRPr lang="en-US" sz="1100"/>
        </a:p>
      </xdr:txBody>
    </xdr:sp>
    <xdr:clientData/>
  </xdr:twoCellAnchor>
  <xdr:twoCellAnchor>
    <xdr:from>
      <xdr:col>16</xdr:col>
      <xdr:colOff>609599</xdr:colOff>
      <xdr:row>16</xdr:row>
      <xdr:rowOff>95249</xdr:rowOff>
    </xdr:from>
    <xdr:to>
      <xdr:col>21</xdr:col>
      <xdr:colOff>9525</xdr:colOff>
      <xdr:row>23</xdr:row>
      <xdr:rowOff>38099</xdr:rowOff>
    </xdr:to>
    <xdr:sp macro="" textlink="">
      <xdr:nvSpPr>
        <xdr:cNvPr id="7" name="Rectangular Callout 6" descr="11209d3b-e3aa-4642-a0e9-3aa15b31f500">
          <a:extLst>
            <a:ext uri="{FF2B5EF4-FFF2-40B4-BE49-F238E27FC236}">
              <a16:creationId xmlns:a16="http://schemas.microsoft.com/office/drawing/2014/main" id="{00000000-0008-0000-0100-000007000000}"/>
            </a:ext>
          </a:extLst>
        </xdr:cNvPr>
        <xdr:cNvSpPr/>
      </xdr:nvSpPr>
      <xdr:spPr>
        <a:xfrm>
          <a:off x="10363199" y="2724149"/>
          <a:ext cx="2447926" cy="1076325"/>
        </a:xfrm>
        <a:prstGeom prst="wedgeRectCallout">
          <a:avLst>
            <a:gd name="adj1" fmla="val -140449"/>
            <a:gd name="adj2" fmla="val -5325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The</a:t>
          </a:r>
          <a:r>
            <a:rPr lang="en-US" sz="1100" baseline="0"/>
            <a:t> evolution of cost each week and cumulatively in total is tracked in this graph. This graph depends on the slidebar parameters, interpreted as the mode or most likely values.</a:t>
          </a:r>
          <a:endParaRPr lang="en-US" sz="1100"/>
        </a:p>
      </xdr:txBody>
    </xdr:sp>
    <xdr:clientData/>
  </xdr:twoCellAnchor>
  <xdr:twoCellAnchor>
    <xdr:from>
      <xdr:col>17</xdr:col>
      <xdr:colOff>28574</xdr:colOff>
      <xdr:row>28</xdr:row>
      <xdr:rowOff>38099</xdr:rowOff>
    </xdr:from>
    <xdr:to>
      <xdr:col>21</xdr:col>
      <xdr:colOff>19050</xdr:colOff>
      <xdr:row>36</xdr:row>
      <xdr:rowOff>66674</xdr:rowOff>
    </xdr:to>
    <xdr:sp macro="" textlink="">
      <xdr:nvSpPr>
        <xdr:cNvPr id="8" name="Rectangular Callout 7" descr="73ccd371-802d-41d5-8331-01f625d53c66">
          <a:extLst>
            <a:ext uri="{FF2B5EF4-FFF2-40B4-BE49-F238E27FC236}">
              <a16:creationId xmlns:a16="http://schemas.microsoft.com/office/drawing/2014/main" id="{00000000-0008-0000-0100-000008000000}"/>
            </a:ext>
          </a:extLst>
        </xdr:cNvPr>
        <xdr:cNvSpPr/>
      </xdr:nvSpPr>
      <xdr:spPr>
        <a:xfrm>
          <a:off x="10391774" y="4610099"/>
          <a:ext cx="2428876" cy="1323975"/>
        </a:xfrm>
        <a:prstGeom prst="wedgeRectCallout">
          <a:avLst>
            <a:gd name="adj1" fmla="val -108684"/>
            <a:gd name="adj2" fmla="val -2214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The</a:t>
          </a:r>
          <a:r>
            <a:rPr lang="en-US" sz="1100" baseline="0"/>
            <a:t>  results of the 1000 Monte Carlo simulation trials for total cost are tracked across 10 cost bins by frequency (left vertical axis)  and cumulative frequency (right vertical axis) in this graph.</a:t>
          </a:r>
          <a:endParaRPr lang="en-US" sz="1100"/>
        </a:p>
      </xdr:txBody>
    </xdr:sp>
    <xdr:clientData/>
  </xdr:twoCellAnchor>
  <xdr:twoCellAnchor editAs="oneCell">
    <xdr:from>
      <xdr:col>3</xdr:col>
      <xdr:colOff>190500</xdr:colOff>
      <xdr:row>39</xdr:row>
      <xdr:rowOff>123825</xdr:rowOff>
    </xdr:from>
    <xdr:to>
      <xdr:col>25</xdr:col>
      <xdr:colOff>581025</xdr:colOff>
      <xdr:row>60</xdr:row>
      <xdr:rowOff>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19300" y="6438900"/>
          <a:ext cx="13801725" cy="327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39</xdr:row>
      <xdr:rowOff>152399</xdr:rowOff>
    </xdr:from>
    <xdr:to>
      <xdr:col>2</xdr:col>
      <xdr:colOff>600075</xdr:colOff>
      <xdr:row>55</xdr:row>
      <xdr:rowOff>85724</xdr:rowOff>
    </xdr:to>
    <xdr:sp macro="" textlink="">
      <xdr:nvSpPr>
        <xdr:cNvPr id="10" name="Rectangular Callout 9" descr="e0118e4e-73f0-4315-8c48-d5f8d857f1a9">
          <a:extLst>
            <a:ext uri="{FF2B5EF4-FFF2-40B4-BE49-F238E27FC236}">
              <a16:creationId xmlns:a16="http://schemas.microsoft.com/office/drawing/2014/main" id="{00000000-0008-0000-0100-00000A000000}"/>
            </a:ext>
          </a:extLst>
        </xdr:cNvPr>
        <xdr:cNvSpPr/>
      </xdr:nvSpPr>
      <xdr:spPr>
        <a:xfrm>
          <a:off x="200025" y="6543674"/>
          <a:ext cx="1619250" cy="2524125"/>
        </a:xfrm>
        <a:prstGeom prst="wedgeRectCallout">
          <a:avLst>
            <a:gd name="adj1" fmla="val 78963"/>
            <a:gd name="adj2" fmla="val -2505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The user may "edit"</a:t>
          </a:r>
          <a:r>
            <a:rPr lang="en-US" sz="1100" baseline="0"/>
            <a:t> certain content in this model without altering the inherent programming. An example is to change "Attack Rate" to "Susceptibility Rate." As long as the label has substantially the same meaning, interpretation of model results will be the same after the change.</a:t>
          </a:r>
          <a:endParaRPr lang="en-US" sz="1100"/>
        </a:p>
      </xdr:txBody>
    </xdr:sp>
    <xdr:clientData/>
  </xdr:twoCellAnchor>
  <xdr:twoCellAnchor>
    <xdr:from>
      <xdr:col>12</xdr:col>
      <xdr:colOff>333375</xdr:colOff>
      <xdr:row>47</xdr:row>
      <xdr:rowOff>142874</xdr:rowOff>
    </xdr:from>
    <xdr:to>
      <xdr:col>16</xdr:col>
      <xdr:colOff>390525</xdr:colOff>
      <xdr:row>60</xdr:row>
      <xdr:rowOff>114300</xdr:rowOff>
    </xdr:to>
    <xdr:sp macro="" textlink="">
      <xdr:nvSpPr>
        <xdr:cNvPr id="15" name="Rectangular Callout 14" descr="4f16d522-8e24-431c-a2a9-005b83bf2457">
          <a:extLst>
            <a:ext uri="{FF2B5EF4-FFF2-40B4-BE49-F238E27FC236}">
              <a16:creationId xmlns:a16="http://schemas.microsoft.com/office/drawing/2014/main" id="{00000000-0008-0000-0100-00000F000000}"/>
            </a:ext>
          </a:extLst>
        </xdr:cNvPr>
        <xdr:cNvSpPr/>
      </xdr:nvSpPr>
      <xdr:spPr>
        <a:xfrm>
          <a:off x="7648575" y="7829549"/>
          <a:ext cx="2495550" cy="2076451"/>
        </a:xfrm>
        <a:prstGeom prst="wedgeRectCallout">
          <a:avLst>
            <a:gd name="adj1" fmla="val -126919"/>
            <a:gd name="adj2" fmla="val -4467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Another change contemplated is the</a:t>
          </a:r>
          <a:r>
            <a:rPr lang="en-US" sz="1100" baseline="0"/>
            <a:t> calibration of the model to new parameter assumptions. This is accomplished by changing maximum and minimum values in the MinParm and MaxParm columns.  The slidebars move from the minimum value at 0 to the maximum value at a slide value of 100. The parameter value is interpolated between the minimum and maximum values.</a:t>
          </a:r>
          <a:endParaRPr lang="en-US" sz="1100"/>
        </a:p>
      </xdr:txBody>
    </xdr:sp>
    <xdr:clientData/>
  </xdr:twoCellAnchor>
  <xdr:twoCellAnchor>
    <xdr:from>
      <xdr:col>3</xdr:col>
      <xdr:colOff>219075</xdr:colOff>
      <xdr:row>36</xdr:row>
      <xdr:rowOff>114299</xdr:rowOff>
    </xdr:from>
    <xdr:to>
      <xdr:col>11</xdr:col>
      <xdr:colOff>114300</xdr:colOff>
      <xdr:row>40</xdr:row>
      <xdr:rowOff>19050</xdr:rowOff>
    </xdr:to>
    <xdr:sp macro="" textlink="">
      <xdr:nvSpPr>
        <xdr:cNvPr id="16" name="Rectangular Callout 15" descr="93a51e1e-82ec-4db0-b894-b3ab601bee18">
          <a:extLst>
            <a:ext uri="{FF2B5EF4-FFF2-40B4-BE49-F238E27FC236}">
              <a16:creationId xmlns:a16="http://schemas.microsoft.com/office/drawing/2014/main" id="{00000000-0008-0000-0100-000010000000}"/>
            </a:ext>
          </a:extLst>
        </xdr:cNvPr>
        <xdr:cNvSpPr/>
      </xdr:nvSpPr>
      <xdr:spPr>
        <a:xfrm>
          <a:off x="2047875" y="5981699"/>
          <a:ext cx="4772025" cy="590551"/>
        </a:xfrm>
        <a:prstGeom prst="wedgeRectCallout">
          <a:avLst>
            <a:gd name="adj1" fmla="val 4261"/>
            <a:gd name="adj2" fmla="val 14575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Editing of items in</a:t>
          </a:r>
          <a:r>
            <a:rPr lang="en-US" sz="1100" baseline="0"/>
            <a:t> blue will not alter programming. However, if items in red are altered it is possible that substantial program changes may occur.</a:t>
          </a:r>
          <a:endParaRPr lang="en-US" sz="1100"/>
        </a:p>
      </xdr:txBody>
    </xdr:sp>
    <xdr:clientData/>
  </xdr:twoCellAnchor>
  <xdr:twoCellAnchor>
    <xdr:from>
      <xdr:col>0</xdr:col>
      <xdr:colOff>104775</xdr:colOff>
      <xdr:row>65</xdr:row>
      <xdr:rowOff>123825</xdr:rowOff>
    </xdr:from>
    <xdr:to>
      <xdr:col>2</xdr:col>
      <xdr:colOff>504825</xdr:colOff>
      <xdr:row>78</xdr:row>
      <xdr:rowOff>123826</xdr:rowOff>
    </xdr:to>
    <xdr:sp macro="" textlink="">
      <xdr:nvSpPr>
        <xdr:cNvPr id="18" name="Rectangular Callout 17" descr="3d1a6747-4606-47f7-aa7b-858ccda20b3d">
          <a:extLst>
            <a:ext uri="{FF2B5EF4-FFF2-40B4-BE49-F238E27FC236}">
              <a16:creationId xmlns:a16="http://schemas.microsoft.com/office/drawing/2014/main" id="{00000000-0008-0000-0100-000012000000}"/>
            </a:ext>
          </a:extLst>
        </xdr:cNvPr>
        <xdr:cNvSpPr/>
      </xdr:nvSpPr>
      <xdr:spPr>
        <a:xfrm>
          <a:off x="104775" y="10725150"/>
          <a:ext cx="1619250" cy="2105026"/>
        </a:xfrm>
        <a:prstGeom prst="wedgeRectCallout">
          <a:avLst>
            <a:gd name="adj1" fmla="val 69551"/>
            <a:gd name="adj2" fmla="val -3637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a:t>
          </a:r>
          <a:r>
            <a:rPr lang="en-US" sz="1100" baseline="0"/>
            <a:t> standard Susceptible-Infected-Recovered epidemilogical model is constructed of transitions from one stage of the epidemic to another.  Ther e are entrance rates from one stage to another that form the parameter set of the simulation. </a:t>
          </a:r>
          <a:endParaRPr lang="en-US" sz="1100"/>
        </a:p>
      </xdr:txBody>
    </xdr:sp>
    <xdr:clientData/>
  </xdr:twoCellAnchor>
  <xdr:twoCellAnchor>
    <xdr:from>
      <xdr:col>14</xdr:col>
      <xdr:colOff>409575</xdr:colOff>
      <xdr:row>65</xdr:row>
      <xdr:rowOff>66675</xdr:rowOff>
    </xdr:from>
    <xdr:to>
      <xdr:col>21</xdr:col>
      <xdr:colOff>561975</xdr:colOff>
      <xdr:row>75</xdr:row>
      <xdr:rowOff>104775</xdr:rowOff>
    </xdr:to>
    <xdr:sp macro="" textlink="">
      <xdr:nvSpPr>
        <xdr:cNvPr id="19" name="Rectangular Callout 18" descr="4f638df4-a936-42b4-9857-6cb2cc6971c5">
          <a:extLst>
            <a:ext uri="{FF2B5EF4-FFF2-40B4-BE49-F238E27FC236}">
              <a16:creationId xmlns:a16="http://schemas.microsoft.com/office/drawing/2014/main" id="{00000000-0008-0000-0100-000013000000}"/>
            </a:ext>
          </a:extLst>
        </xdr:cNvPr>
        <xdr:cNvSpPr/>
      </xdr:nvSpPr>
      <xdr:spPr>
        <a:xfrm>
          <a:off x="8943975" y="10668000"/>
          <a:ext cx="4419600" cy="1657350"/>
        </a:xfrm>
        <a:prstGeom prst="wedgeRectCallout">
          <a:avLst>
            <a:gd name="adj1" fmla="val -140338"/>
            <a:gd name="adj2" fmla="val 1476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The standard Susceptible-Infected-Recovered epidemilogical model is ransformed into an estimation model  that relates infecteds to susceptibles, and by implication to recovereds. Two parameters are estimated from weekly CDC Pneumonia &amp; Influenza mortality data: beta is the rate of transmission from an infected person to susceptible persons; gamma is the rate that infected persons become recovered. Assumed is a maximum attack rate of 40% in  2004 and 35% in 2013, the two flu seasons that are used to provide a range of epidemiological parameter values. </a:t>
          </a:r>
          <a:endParaRPr lang="en-US" sz="1100"/>
        </a:p>
      </xdr:txBody>
    </xdr:sp>
    <xdr:clientData/>
  </xdr:twoCellAnchor>
  <xdr:twoCellAnchor>
    <xdr:from>
      <xdr:col>14</xdr:col>
      <xdr:colOff>419100</xdr:colOff>
      <xdr:row>76</xdr:row>
      <xdr:rowOff>38100</xdr:rowOff>
    </xdr:from>
    <xdr:to>
      <xdr:col>21</xdr:col>
      <xdr:colOff>571500</xdr:colOff>
      <xdr:row>82</xdr:row>
      <xdr:rowOff>123825</xdr:rowOff>
    </xdr:to>
    <xdr:sp macro="" textlink="">
      <xdr:nvSpPr>
        <xdr:cNvPr id="20" name="Rectangular Callout 19" descr="3e8d6796-3ea8-4b70-b739-1bff6db9fc93">
          <a:extLst>
            <a:ext uri="{FF2B5EF4-FFF2-40B4-BE49-F238E27FC236}">
              <a16:creationId xmlns:a16="http://schemas.microsoft.com/office/drawing/2014/main" id="{00000000-0008-0000-0100-000014000000}"/>
            </a:ext>
          </a:extLst>
        </xdr:cNvPr>
        <xdr:cNvSpPr/>
      </xdr:nvSpPr>
      <xdr:spPr>
        <a:xfrm>
          <a:off x="8953500" y="12420600"/>
          <a:ext cx="4419600" cy="1057275"/>
        </a:xfrm>
        <a:prstGeom prst="wedgeRectCallout">
          <a:avLst>
            <a:gd name="adj1" fmla="val -140554"/>
            <a:gd name="adj2" fmla="val -6051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A non-linear least quares estimation procedure results in a strong goodness of fit of the model to the observed data. A very low  p-value indicates it is very probable that the parameter values are not equal to zero, and are thus significantly influential in determining the progression of the epidemic.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600075</xdr:colOff>
      <xdr:row>9</xdr:row>
      <xdr:rowOff>85724</xdr:rowOff>
    </xdr:from>
    <xdr:to>
      <xdr:col>18</xdr:col>
      <xdr:colOff>276225</xdr:colOff>
      <xdr:row>26</xdr:row>
      <xdr:rowOff>76199</xdr:rowOff>
    </xdr:to>
    <xdr:graphicFrame macro="">
      <xdr:nvGraphicFramePr>
        <xdr:cNvPr id="38" name="Chart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238125</xdr:colOff>
      <xdr:row>3</xdr:row>
      <xdr:rowOff>151765</xdr:rowOff>
    </xdr:from>
    <xdr:to>
      <xdr:col>8</xdr:col>
      <xdr:colOff>499745</xdr:colOff>
      <xdr:row>25</xdr:row>
      <xdr:rowOff>60324</xdr:rowOff>
    </xdr:to>
    <xdr:grpSp>
      <xdr:nvGrpSpPr>
        <xdr:cNvPr id="7186" name="Group 7185">
          <a:extLst>
            <a:ext uri="{FF2B5EF4-FFF2-40B4-BE49-F238E27FC236}">
              <a16:creationId xmlns:a16="http://schemas.microsoft.com/office/drawing/2014/main" id="{00000000-0008-0000-0200-0000121C0000}"/>
            </a:ext>
          </a:extLst>
        </xdr:cNvPr>
        <xdr:cNvGrpSpPr/>
      </xdr:nvGrpSpPr>
      <xdr:grpSpPr>
        <a:xfrm>
          <a:off x="847725" y="647065"/>
          <a:ext cx="5011420" cy="3540759"/>
          <a:chOff x="847725" y="657225"/>
          <a:chExt cx="4733925" cy="3638549"/>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847725" y="657225"/>
            <a:ext cx="4733925" cy="3638549"/>
          </a:xfrm>
          <a:prstGeom prst="rect">
            <a:avLst/>
          </a:prstGeom>
          <a:solidFill>
            <a:schemeClr val="accent1">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185" name="Group 7184">
            <a:extLst>
              <a:ext uri="{FF2B5EF4-FFF2-40B4-BE49-F238E27FC236}">
                <a16:creationId xmlns:a16="http://schemas.microsoft.com/office/drawing/2014/main" id="{00000000-0008-0000-0200-0000111C0000}"/>
              </a:ext>
            </a:extLst>
          </xdr:cNvPr>
          <xdr:cNvGrpSpPr/>
        </xdr:nvGrpSpPr>
        <xdr:grpSpPr>
          <a:xfrm>
            <a:off x="1265023" y="971550"/>
            <a:ext cx="4173752" cy="3193082"/>
            <a:chOff x="1265023" y="971550"/>
            <a:chExt cx="4173752" cy="3193082"/>
          </a:xfrm>
        </xdr:grpSpPr>
        <xdr:grpSp>
          <xdr:nvGrpSpPr>
            <xdr:cNvPr id="13" name="Group 12">
              <a:extLst>
                <a:ext uri="{FF2B5EF4-FFF2-40B4-BE49-F238E27FC236}">
                  <a16:creationId xmlns:a16="http://schemas.microsoft.com/office/drawing/2014/main" id="{00000000-0008-0000-0200-00000D000000}"/>
                </a:ext>
              </a:extLst>
            </xdr:cNvPr>
            <xdr:cNvGrpSpPr/>
          </xdr:nvGrpSpPr>
          <xdr:grpSpPr>
            <a:xfrm>
              <a:off x="1914714" y="1277186"/>
              <a:ext cx="3409761" cy="253722"/>
              <a:chOff x="1914714" y="1277186"/>
              <a:chExt cx="3409761" cy="253722"/>
            </a:xfrm>
          </xdr:grpSpPr>
          <xdr:sp macro="" textlink="ASSUMPTIONS!B6">
            <xdr:nvSpPr>
              <xdr:cNvPr id="8" name="TextBox 7">
                <a:extLst>
                  <a:ext uri="{FF2B5EF4-FFF2-40B4-BE49-F238E27FC236}">
                    <a16:creationId xmlns:a16="http://schemas.microsoft.com/office/drawing/2014/main" id="{00000000-0008-0000-0200-000008000000}"/>
                  </a:ext>
                </a:extLst>
              </xdr:cNvPr>
              <xdr:cNvSpPr txBox="1"/>
            </xdr:nvSpPr>
            <xdr:spPr>
              <a:xfrm>
                <a:off x="1914714" y="1277186"/>
                <a:ext cx="1011247"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5007EAA5-AB74-4CF4-9873-372E75407FE1}" type="TxLink">
                  <a:rPr lang="en-US" sz="1000" b="0" i="0" u="none" strike="noStrike">
                    <a:solidFill>
                      <a:srgbClr val="000000"/>
                    </a:solidFill>
                    <a:latin typeface="Arial"/>
                    <a:cs typeface="Arial"/>
                  </a:rPr>
                  <a:pPr algn="r"/>
                  <a:t>Population Size</a:t>
                </a:fld>
                <a:endParaRPr lang="en-US" sz="1100"/>
              </a:p>
            </xdr:txBody>
          </xdr:sp>
          <mc:AlternateContent xmlns:mc="http://schemas.openxmlformats.org/markup-compatibility/2006">
            <mc:Choice xmlns:a14="http://schemas.microsoft.com/office/drawing/2010/main" Requires="a14">
              <xdr:sp macro="" textlink="">
                <xdr:nvSpPr>
                  <xdr:cNvPr id="7169" name="Scroll Bar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2967037" y="1325411"/>
                    <a:ext cx="1276350" cy="152400"/>
                  </a:xfrm>
                  <a:prstGeom prst="rect">
                    <a:avLst/>
                  </a:prstGeom>
                  <a:noFill/>
                  <a:ln w="9525">
                    <a:miter lim="800000"/>
                    <a:headEnd/>
                    <a:tailEnd/>
                  </a:ln>
                </xdr:spPr>
              </xdr:sp>
            </mc:Choice>
            <mc:Fallback/>
          </mc:AlternateContent>
          <xdr:sp macro="" textlink="ASSUMPTIONS!G6">
            <xdr:nvSpPr>
              <xdr:cNvPr id="15" name="TextBox 14">
                <a:extLst>
                  <a:ext uri="{FF2B5EF4-FFF2-40B4-BE49-F238E27FC236}">
                    <a16:creationId xmlns:a16="http://schemas.microsoft.com/office/drawing/2014/main" id="{00000000-0008-0000-0200-00000F000000}"/>
                  </a:ext>
                </a:extLst>
              </xdr:cNvPr>
              <xdr:cNvSpPr txBox="1"/>
            </xdr:nvSpPr>
            <xdr:spPr>
              <a:xfrm>
                <a:off x="4284769" y="1277186"/>
                <a:ext cx="1039706" cy="253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7C9ECEA-5E15-4714-8182-4DD65C661D09}" type="TxLink">
                  <a:rPr lang="en-US" sz="1000" b="0" i="0" u="none" strike="noStrike">
                    <a:solidFill>
                      <a:srgbClr val="000000"/>
                    </a:solidFill>
                    <a:latin typeface="Arial"/>
                    <a:cs typeface="Arial"/>
                  </a:rPr>
                  <a:pPr/>
                  <a:t>6,000</a:t>
                </a:fld>
                <a:endParaRPr lang="en-US" sz="1100"/>
              </a:p>
            </xdr:txBody>
          </xdr:sp>
        </xdr:grpSp>
        <xdr:grpSp>
          <xdr:nvGrpSpPr>
            <xdr:cNvPr id="14" name="Group 13">
              <a:extLst>
                <a:ext uri="{FF2B5EF4-FFF2-40B4-BE49-F238E27FC236}">
                  <a16:creationId xmlns:a16="http://schemas.microsoft.com/office/drawing/2014/main" id="{00000000-0008-0000-0200-00000E000000}"/>
                </a:ext>
              </a:extLst>
            </xdr:cNvPr>
            <xdr:cNvGrpSpPr/>
          </xdr:nvGrpSpPr>
          <xdr:grpSpPr>
            <a:xfrm>
              <a:off x="2129187" y="1564482"/>
              <a:ext cx="3195288" cy="253722"/>
              <a:chOff x="2129187" y="1564482"/>
              <a:chExt cx="3195288" cy="253722"/>
            </a:xfrm>
          </xdr:grpSpPr>
          <xdr:sp macro="" textlink="ASSUMPTIONS!B7">
            <xdr:nvSpPr>
              <xdr:cNvPr id="4" name="TextBox 3">
                <a:extLst>
                  <a:ext uri="{FF2B5EF4-FFF2-40B4-BE49-F238E27FC236}">
                    <a16:creationId xmlns:a16="http://schemas.microsoft.com/office/drawing/2014/main" id="{00000000-0008-0000-0200-000004000000}"/>
                  </a:ext>
                </a:extLst>
              </xdr:cNvPr>
              <xdr:cNvSpPr txBox="1"/>
            </xdr:nvSpPr>
            <xdr:spPr>
              <a:xfrm>
                <a:off x="2129187" y="1564482"/>
                <a:ext cx="796773"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6095F0B5-AD13-40E6-BC1D-EEC7CA520AF5}" type="TxLink">
                  <a:rPr lang="en-US" sz="1000" b="0" i="0" u="none" strike="noStrike">
                    <a:solidFill>
                      <a:srgbClr val="000000"/>
                    </a:solidFill>
                    <a:latin typeface="Arial"/>
                    <a:cs typeface="Arial"/>
                  </a:rPr>
                  <a:pPr algn="r"/>
                  <a:t>Attack Rate</a:t>
                </a:fld>
                <a:endParaRPr lang="en-US" sz="1100"/>
              </a:p>
            </xdr:txBody>
          </xdr:sp>
          <mc:AlternateContent xmlns:mc="http://schemas.openxmlformats.org/markup-compatibility/2006">
            <mc:Choice xmlns:a14="http://schemas.microsoft.com/office/drawing/2010/main" Requires="a14">
              <xdr:sp macro="" textlink="">
                <xdr:nvSpPr>
                  <xdr:cNvPr id="7170" name="Scroll Bar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2967037" y="1612707"/>
                    <a:ext cx="1276350" cy="152400"/>
                  </a:xfrm>
                  <a:prstGeom prst="rect">
                    <a:avLst/>
                  </a:prstGeom>
                  <a:noFill/>
                  <a:ln w="9525">
                    <a:miter lim="800000"/>
                    <a:headEnd/>
                    <a:tailEnd/>
                  </a:ln>
                </xdr:spPr>
              </xdr:sp>
            </mc:Choice>
            <mc:Fallback/>
          </mc:AlternateContent>
          <xdr:sp macro="" textlink="ASSUMPTIONS!G7">
            <xdr:nvSpPr>
              <xdr:cNvPr id="16" name="TextBox 15">
                <a:extLst>
                  <a:ext uri="{FF2B5EF4-FFF2-40B4-BE49-F238E27FC236}">
                    <a16:creationId xmlns:a16="http://schemas.microsoft.com/office/drawing/2014/main" id="{00000000-0008-0000-0200-000010000000}"/>
                  </a:ext>
                </a:extLst>
              </xdr:cNvPr>
              <xdr:cNvSpPr txBox="1"/>
            </xdr:nvSpPr>
            <xdr:spPr>
              <a:xfrm>
                <a:off x="4284769" y="1564482"/>
                <a:ext cx="1039706" cy="253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A357913-C186-4486-866F-89848FC6D12F}" type="TxLink">
                  <a:rPr lang="en-US" sz="1000" b="0" i="0" u="none" strike="noStrike">
                    <a:solidFill>
                      <a:srgbClr val="000000"/>
                    </a:solidFill>
                    <a:latin typeface="Arial"/>
                    <a:cs typeface="Arial"/>
                  </a:rPr>
                  <a:pPr/>
                  <a:t>30%</a:t>
                </a:fld>
                <a:endParaRPr lang="en-US" sz="1100"/>
              </a:p>
            </xdr:txBody>
          </xdr:sp>
        </xdr:grpSp>
        <xdr:grpSp>
          <xdr:nvGrpSpPr>
            <xdr:cNvPr id="21" name="Group 20">
              <a:extLst>
                <a:ext uri="{FF2B5EF4-FFF2-40B4-BE49-F238E27FC236}">
                  <a16:creationId xmlns:a16="http://schemas.microsoft.com/office/drawing/2014/main" id="{00000000-0008-0000-0200-000015000000}"/>
                </a:ext>
              </a:extLst>
            </xdr:cNvPr>
            <xdr:cNvGrpSpPr/>
          </xdr:nvGrpSpPr>
          <xdr:grpSpPr>
            <a:xfrm>
              <a:off x="1265023" y="1826419"/>
              <a:ext cx="4059452" cy="253722"/>
              <a:chOff x="1265023" y="1826419"/>
              <a:chExt cx="4059452" cy="253722"/>
            </a:xfrm>
          </xdr:grpSpPr>
          <xdr:sp macro="" textlink="ASSUMPTIONS!B8">
            <xdr:nvSpPr>
              <xdr:cNvPr id="5" name="TextBox 4">
                <a:extLst>
                  <a:ext uri="{FF2B5EF4-FFF2-40B4-BE49-F238E27FC236}">
                    <a16:creationId xmlns:a16="http://schemas.microsoft.com/office/drawing/2014/main" id="{00000000-0008-0000-0200-000005000000}"/>
                  </a:ext>
                </a:extLst>
              </xdr:cNvPr>
              <xdr:cNvSpPr txBox="1"/>
            </xdr:nvSpPr>
            <xdr:spPr>
              <a:xfrm>
                <a:off x="1265023" y="1826419"/>
                <a:ext cx="1660938"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826610CD-463A-4AE6-9AF9-3F79ABC3CA51}" type="TxLink">
                  <a:rPr lang="en-US" sz="1000" b="0" i="0" u="none" strike="noStrike">
                    <a:solidFill>
                      <a:srgbClr val="000000"/>
                    </a:solidFill>
                    <a:latin typeface="Arial"/>
                    <a:cs typeface="Arial"/>
                  </a:rPr>
                  <a:pPr algn="r"/>
                  <a:t>Infective Transmission Rate</a:t>
                </a:fld>
                <a:endParaRPr lang="en-US" sz="1100"/>
              </a:p>
            </xdr:txBody>
          </xdr:sp>
          <mc:AlternateContent xmlns:mc="http://schemas.openxmlformats.org/markup-compatibility/2006">
            <mc:Choice xmlns:a14="http://schemas.microsoft.com/office/drawing/2010/main" Requires="a14">
              <xdr:sp macro="" textlink="">
                <xdr:nvSpPr>
                  <xdr:cNvPr id="7171" name="Scroll Ba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2967037" y="1874644"/>
                    <a:ext cx="1276350" cy="152400"/>
                  </a:xfrm>
                  <a:prstGeom prst="rect">
                    <a:avLst/>
                  </a:prstGeom>
                  <a:noFill/>
                  <a:ln w="9525">
                    <a:miter lim="800000"/>
                    <a:headEnd/>
                    <a:tailEnd/>
                  </a:ln>
                </xdr:spPr>
              </xdr:sp>
            </mc:Choice>
            <mc:Fallback/>
          </mc:AlternateContent>
          <xdr:sp macro="" textlink="ASSUMPTIONS!G8">
            <xdr:nvSpPr>
              <xdr:cNvPr id="17" name="TextBox 16">
                <a:extLst>
                  <a:ext uri="{FF2B5EF4-FFF2-40B4-BE49-F238E27FC236}">
                    <a16:creationId xmlns:a16="http://schemas.microsoft.com/office/drawing/2014/main" id="{00000000-0008-0000-0200-000011000000}"/>
                  </a:ext>
                </a:extLst>
              </xdr:cNvPr>
              <xdr:cNvSpPr txBox="1"/>
            </xdr:nvSpPr>
            <xdr:spPr>
              <a:xfrm>
                <a:off x="4284769" y="1826419"/>
                <a:ext cx="1039706" cy="253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1A55197-7679-4AA6-A500-79566467C623}" type="TxLink">
                  <a:rPr lang="en-US" sz="1000" b="0" i="0" u="none" strike="noStrike">
                    <a:solidFill>
                      <a:srgbClr val="000000"/>
                    </a:solidFill>
                    <a:latin typeface="Arial"/>
                    <a:cs typeface="Arial"/>
                  </a:rPr>
                  <a:pPr/>
                  <a:t>1.14 per day</a:t>
                </a:fld>
                <a:endParaRPr lang="en-US" sz="1100"/>
              </a:p>
            </xdr:txBody>
          </xdr:sp>
        </xdr:grpSp>
        <xdr:grpSp>
          <xdr:nvGrpSpPr>
            <xdr:cNvPr id="24" name="Group 23">
              <a:extLst>
                <a:ext uri="{FF2B5EF4-FFF2-40B4-BE49-F238E27FC236}">
                  <a16:creationId xmlns:a16="http://schemas.microsoft.com/office/drawing/2014/main" id="{00000000-0008-0000-0200-000018000000}"/>
                </a:ext>
              </a:extLst>
            </xdr:cNvPr>
            <xdr:cNvGrpSpPr/>
          </xdr:nvGrpSpPr>
          <xdr:grpSpPr>
            <a:xfrm>
              <a:off x="1955101" y="2074069"/>
              <a:ext cx="3369374" cy="253722"/>
              <a:chOff x="1955101" y="2074069"/>
              <a:chExt cx="3369374" cy="253722"/>
            </a:xfrm>
          </xdr:grpSpPr>
          <xdr:sp macro="" textlink="ASSUMPTIONS!B9">
            <xdr:nvSpPr>
              <xdr:cNvPr id="6" name="TextBox 5">
                <a:extLst>
                  <a:ext uri="{FF2B5EF4-FFF2-40B4-BE49-F238E27FC236}">
                    <a16:creationId xmlns:a16="http://schemas.microsoft.com/office/drawing/2014/main" id="{00000000-0008-0000-0200-000006000000}"/>
                  </a:ext>
                </a:extLst>
              </xdr:cNvPr>
              <xdr:cNvSpPr txBox="1"/>
            </xdr:nvSpPr>
            <xdr:spPr>
              <a:xfrm>
                <a:off x="1955101" y="2074069"/>
                <a:ext cx="970860"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C695680F-541D-4B72-BFEB-22AA69393CC5}" type="TxLink">
                  <a:rPr lang="en-US" sz="1000" b="0" i="0" u="none" strike="noStrike">
                    <a:solidFill>
                      <a:srgbClr val="000000"/>
                    </a:solidFill>
                    <a:latin typeface="Arial"/>
                    <a:cs typeface="Arial"/>
                  </a:rPr>
                  <a:pPr algn="r"/>
                  <a:t>Recovery Rate</a:t>
                </a:fld>
                <a:endParaRPr lang="en-US" sz="1100"/>
              </a:p>
            </xdr:txBody>
          </xdr:sp>
          <mc:AlternateContent xmlns:mc="http://schemas.openxmlformats.org/markup-compatibility/2006">
            <mc:Choice xmlns:a14="http://schemas.microsoft.com/office/drawing/2010/main" Requires="a14">
              <xdr:sp macro="" textlink="">
                <xdr:nvSpPr>
                  <xdr:cNvPr id="7172" name="Scroll Bar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2967037" y="2122294"/>
                    <a:ext cx="1276350" cy="152400"/>
                  </a:xfrm>
                  <a:prstGeom prst="rect">
                    <a:avLst/>
                  </a:prstGeom>
                  <a:noFill/>
                  <a:ln w="9525">
                    <a:miter lim="800000"/>
                    <a:headEnd/>
                    <a:tailEnd/>
                  </a:ln>
                </xdr:spPr>
              </xdr:sp>
            </mc:Choice>
            <mc:Fallback/>
          </mc:AlternateContent>
          <xdr:sp macro="" textlink="ASSUMPTIONS!G9">
            <xdr:nvSpPr>
              <xdr:cNvPr id="18" name="TextBox 17">
                <a:extLst>
                  <a:ext uri="{FF2B5EF4-FFF2-40B4-BE49-F238E27FC236}">
                    <a16:creationId xmlns:a16="http://schemas.microsoft.com/office/drawing/2014/main" id="{00000000-0008-0000-0200-000012000000}"/>
                  </a:ext>
                </a:extLst>
              </xdr:cNvPr>
              <xdr:cNvSpPr txBox="1"/>
            </xdr:nvSpPr>
            <xdr:spPr>
              <a:xfrm>
                <a:off x="4284769" y="2074069"/>
                <a:ext cx="1039706" cy="253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D2A5A63-39A0-47E0-AA47-D2B3CE5BE64B}" type="TxLink">
                  <a:rPr lang="en-US" sz="1000" b="0" i="0" u="none" strike="noStrike">
                    <a:solidFill>
                      <a:srgbClr val="000000"/>
                    </a:solidFill>
                    <a:latin typeface="Arial"/>
                    <a:cs typeface="Arial"/>
                  </a:rPr>
                  <a:pPr/>
                  <a:t>0.33 per day</a:t>
                </a:fld>
                <a:endParaRPr lang="en-US" sz="1100"/>
              </a:p>
            </xdr:txBody>
          </xdr:sp>
        </xdr:grpSp>
        <xdr:grpSp>
          <xdr:nvGrpSpPr>
            <xdr:cNvPr id="30" name="Group 29">
              <a:extLst>
                <a:ext uri="{FF2B5EF4-FFF2-40B4-BE49-F238E27FC236}">
                  <a16:creationId xmlns:a16="http://schemas.microsoft.com/office/drawing/2014/main" id="{00000000-0008-0000-0200-00001E000000}"/>
                </a:ext>
              </a:extLst>
            </xdr:cNvPr>
            <xdr:cNvGrpSpPr/>
          </xdr:nvGrpSpPr>
          <xdr:grpSpPr>
            <a:xfrm>
              <a:off x="1733877" y="2593182"/>
              <a:ext cx="3704898" cy="253722"/>
              <a:chOff x="1733877" y="2593182"/>
              <a:chExt cx="3704898" cy="253722"/>
            </a:xfrm>
          </xdr:grpSpPr>
          <xdr:sp macro="" textlink="ASSUMPTIONS!B11">
            <xdr:nvSpPr>
              <xdr:cNvPr id="7" name="TextBox 6">
                <a:extLst>
                  <a:ext uri="{FF2B5EF4-FFF2-40B4-BE49-F238E27FC236}">
                    <a16:creationId xmlns:a16="http://schemas.microsoft.com/office/drawing/2014/main" id="{00000000-0008-0000-0200-000007000000}"/>
                  </a:ext>
                </a:extLst>
              </xdr:cNvPr>
              <xdr:cNvSpPr txBox="1"/>
            </xdr:nvSpPr>
            <xdr:spPr>
              <a:xfrm>
                <a:off x="1733877" y="2593182"/>
                <a:ext cx="1192085"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2382F7E8-87AE-4548-8B1C-9383B87AB1BA}" type="TxLink">
                  <a:rPr lang="en-US" sz="1000" b="0" i="0" u="none" strike="noStrike">
                    <a:solidFill>
                      <a:srgbClr val="000000"/>
                    </a:solidFill>
                    <a:latin typeface="Arial"/>
                    <a:cs typeface="Arial"/>
                  </a:rPr>
                  <a:pPr algn="r"/>
                  <a:t>Infective Cost Rate</a:t>
                </a:fld>
                <a:endParaRPr lang="en-US" sz="1100"/>
              </a:p>
            </xdr:txBody>
          </xdr:sp>
          <mc:AlternateContent xmlns:mc="http://schemas.openxmlformats.org/markup-compatibility/2006">
            <mc:Choice xmlns:a14="http://schemas.microsoft.com/office/drawing/2010/main" Requires="a14">
              <xdr:sp macro="" textlink="">
                <xdr:nvSpPr>
                  <xdr:cNvPr id="7173" name="Scroll Bar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2967037" y="2641407"/>
                    <a:ext cx="1276350" cy="152400"/>
                  </a:xfrm>
                  <a:prstGeom prst="rect">
                    <a:avLst/>
                  </a:prstGeom>
                  <a:noFill/>
                  <a:ln w="9525">
                    <a:miter lim="800000"/>
                    <a:headEnd/>
                    <a:tailEnd/>
                  </a:ln>
                </xdr:spPr>
              </xdr:sp>
            </mc:Choice>
            <mc:Fallback/>
          </mc:AlternateContent>
          <xdr:sp macro="" textlink="ASSUMPTIONS!G11">
            <xdr:nvSpPr>
              <xdr:cNvPr id="19" name="TextBox 18">
                <a:extLst>
                  <a:ext uri="{FF2B5EF4-FFF2-40B4-BE49-F238E27FC236}">
                    <a16:creationId xmlns:a16="http://schemas.microsoft.com/office/drawing/2014/main" id="{00000000-0008-0000-0200-000013000000}"/>
                  </a:ext>
                </a:extLst>
              </xdr:cNvPr>
              <xdr:cNvSpPr txBox="1"/>
            </xdr:nvSpPr>
            <xdr:spPr>
              <a:xfrm>
                <a:off x="4284769" y="2593182"/>
                <a:ext cx="1154006" cy="253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1E025AD-BE26-42CB-98F0-C6C190C32DFC}" type="TxLink">
                  <a:rPr lang="en-US" sz="1000" b="0" i="0" u="none" strike="noStrike">
                    <a:solidFill>
                      <a:srgbClr val="000000"/>
                    </a:solidFill>
                    <a:latin typeface="Arial"/>
                    <a:cs typeface="Arial"/>
                  </a:rPr>
                  <a:pPr/>
                  <a:t>$5,911 per day</a:t>
                </a:fld>
                <a:endParaRPr lang="en-US" sz="1100"/>
              </a:p>
            </xdr:txBody>
          </xdr:sp>
        </xdr:grpSp>
        <xdr:grpSp>
          <xdr:nvGrpSpPr>
            <xdr:cNvPr id="7168" name="Group 7167">
              <a:extLst>
                <a:ext uri="{FF2B5EF4-FFF2-40B4-BE49-F238E27FC236}">
                  <a16:creationId xmlns:a16="http://schemas.microsoft.com/office/drawing/2014/main" id="{00000000-0008-0000-0200-0000001C0000}"/>
                </a:ext>
              </a:extLst>
            </xdr:cNvPr>
            <xdr:cNvGrpSpPr/>
          </xdr:nvGrpSpPr>
          <xdr:grpSpPr>
            <a:xfrm>
              <a:off x="1599936" y="2859882"/>
              <a:ext cx="3724539" cy="253722"/>
              <a:chOff x="1599936" y="2859882"/>
              <a:chExt cx="3724539" cy="253722"/>
            </a:xfrm>
          </xdr:grpSpPr>
          <xdr:sp macro="" textlink="ASSUMPTIONS!B12">
            <xdr:nvSpPr>
              <xdr:cNvPr id="20" name="TextBox 19">
                <a:extLst>
                  <a:ext uri="{FF2B5EF4-FFF2-40B4-BE49-F238E27FC236}">
                    <a16:creationId xmlns:a16="http://schemas.microsoft.com/office/drawing/2014/main" id="{00000000-0008-0000-0200-000014000000}"/>
                  </a:ext>
                </a:extLst>
              </xdr:cNvPr>
              <xdr:cNvSpPr txBox="1"/>
            </xdr:nvSpPr>
            <xdr:spPr>
              <a:xfrm>
                <a:off x="1599936" y="2859882"/>
                <a:ext cx="1326025"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A39EA335-1D63-4496-B8D4-A42A33321BAA}" type="TxLink">
                  <a:rPr lang="en-US" sz="1000" b="0" i="0" u="none" strike="noStrike">
                    <a:solidFill>
                      <a:srgbClr val="000000"/>
                    </a:solidFill>
                    <a:latin typeface="Arial"/>
                    <a:cs typeface="Arial"/>
                  </a:rPr>
                  <a:pPr algn="r"/>
                  <a:t>Recovered Cost Rate</a:t>
                </a:fld>
                <a:endParaRPr lang="en-US" sz="1100"/>
              </a:p>
            </xdr:txBody>
          </xdr:sp>
          <mc:AlternateContent xmlns:mc="http://schemas.openxmlformats.org/markup-compatibility/2006">
            <mc:Choice xmlns:a14="http://schemas.microsoft.com/office/drawing/2010/main" Requires="a14">
              <xdr:sp macro="" textlink="">
                <xdr:nvSpPr>
                  <xdr:cNvPr id="7174" name="Scroll Bar 6" hidden="1">
                    <a:extLst>
                      <a:ext uri="{63B3BB69-23CF-44E3-9099-C40C66FF867C}">
                        <a14:compatExt spid="_x0000_s7174"/>
                      </a:ext>
                      <a:ext uri="{FF2B5EF4-FFF2-40B4-BE49-F238E27FC236}">
                        <a16:creationId xmlns:a16="http://schemas.microsoft.com/office/drawing/2014/main" id="{00000000-0008-0000-0200-0000061C0000}"/>
                      </a:ext>
                    </a:extLst>
                  </xdr:cNvPr>
                  <xdr:cNvSpPr/>
                </xdr:nvSpPr>
                <xdr:spPr bwMode="auto">
                  <a:xfrm>
                    <a:off x="2967037" y="2908107"/>
                    <a:ext cx="1276350" cy="152400"/>
                  </a:xfrm>
                  <a:prstGeom prst="rect">
                    <a:avLst/>
                  </a:prstGeom>
                  <a:noFill/>
                  <a:ln w="9525">
                    <a:miter lim="800000"/>
                    <a:headEnd/>
                    <a:tailEnd/>
                  </a:ln>
                </xdr:spPr>
              </xdr:sp>
            </mc:Choice>
            <mc:Fallback/>
          </mc:AlternateContent>
          <xdr:sp macro="" textlink="ASSUMPTIONS!G12">
            <xdr:nvSpPr>
              <xdr:cNvPr id="22" name="TextBox 21">
                <a:extLst>
                  <a:ext uri="{FF2B5EF4-FFF2-40B4-BE49-F238E27FC236}">
                    <a16:creationId xmlns:a16="http://schemas.microsoft.com/office/drawing/2014/main" id="{00000000-0008-0000-0200-000016000000}"/>
                  </a:ext>
                </a:extLst>
              </xdr:cNvPr>
              <xdr:cNvSpPr txBox="1"/>
            </xdr:nvSpPr>
            <xdr:spPr>
              <a:xfrm>
                <a:off x="4284769" y="2859882"/>
                <a:ext cx="1039706" cy="253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12DF5DF-649B-4321-86C8-DC50CAB26AAC}" type="TxLink">
                  <a:rPr lang="en-US" sz="1000" b="0" i="0" u="none" strike="noStrike">
                    <a:solidFill>
                      <a:srgbClr val="000000"/>
                    </a:solidFill>
                    <a:latin typeface="Arial"/>
                    <a:cs typeface="Arial"/>
                  </a:rPr>
                  <a:pPr/>
                  <a:t>$379 per day</a:t>
                </a:fld>
                <a:endParaRPr lang="en-US" sz="1100"/>
              </a:p>
            </xdr:txBody>
          </xdr:sp>
        </xdr:grpSp>
        <xdr:grpSp>
          <xdr:nvGrpSpPr>
            <xdr:cNvPr id="7182" name="Group 7181">
              <a:extLst>
                <a:ext uri="{FF2B5EF4-FFF2-40B4-BE49-F238E27FC236}">
                  <a16:creationId xmlns:a16="http://schemas.microsoft.com/office/drawing/2014/main" id="{00000000-0008-0000-0200-00000E1C0000}"/>
                </a:ext>
              </a:extLst>
            </xdr:cNvPr>
            <xdr:cNvGrpSpPr/>
          </xdr:nvGrpSpPr>
          <xdr:grpSpPr>
            <a:xfrm>
              <a:off x="1640324" y="3136107"/>
              <a:ext cx="3684151" cy="253722"/>
              <a:chOff x="1640324" y="3136107"/>
              <a:chExt cx="3684151" cy="253722"/>
            </a:xfrm>
          </xdr:grpSpPr>
          <xdr:sp macro="" textlink="ASSUMPTIONS!B13">
            <xdr:nvSpPr>
              <xdr:cNvPr id="23" name="TextBox 22">
                <a:extLst>
                  <a:ext uri="{FF2B5EF4-FFF2-40B4-BE49-F238E27FC236}">
                    <a16:creationId xmlns:a16="http://schemas.microsoft.com/office/drawing/2014/main" id="{00000000-0008-0000-0200-000017000000}"/>
                  </a:ext>
                </a:extLst>
              </xdr:cNvPr>
              <xdr:cNvSpPr txBox="1"/>
            </xdr:nvSpPr>
            <xdr:spPr>
              <a:xfrm>
                <a:off x="1640324" y="3136107"/>
                <a:ext cx="1285639"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F4AD8EAC-56E7-48FC-8E5C-35FE23308FC5}" type="TxLink">
                  <a:rPr lang="en-US" sz="1000" b="0" i="0" u="none" strike="noStrike">
                    <a:solidFill>
                      <a:srgbClr val="000000"/>
                    </a:solidFill>
                    <a:latin typeface="Arial"/>
                    <a:cs typeface="Arial"/>
                  </a:rPr>
                  <a:pPr algn="r"/>
                  <a:t>Mild Symptoms Rate</a:t>
                </a:fld>
                <a:endParaRPr lang="en-US" sz="1100"/>
              </a:p>
            </xdr:txBody>
          </xdr:sp>
          <mc:AlternateContent xmlns:mc="http://schemas.openxmlformats.org/markup-compatibility/2006">
            <mc:Choice xmlns:a14="http://schemas.microsoft.com/office/drawing/2010/main" Requires="a14">
              <xdr:sp macro="" textlink="">
                <xdr:nvSpPr>
                  <xdr:cNvPr id="7175" name="Scroll Bar 7" hidden="1">
                    <a:extLst>
                      <a:ext uri="{63B3BB69-23CF-44E3-9099-C40C66FF867C}">
                        <a14:compatExt spid="_x0000_s7175"/>
                      </a:ext>
                      <a:ext uri="{FF2B5EF4-FFF2-40B4-BE49-F238E27FC236}">
                        <a16:creationId xmlns:a16="http://schemas.microsoft.com/office/drawing/2014/main" id="{00000000-0008-0000-0200-0000071C0000}"/>
                      </a:ext>
                    </a:extLst>
                  </xdr:cNvPr>
                  <xdr:cNvSpPr/>
                </xdr:nvSpPr>
                <xdr:spPr bwMode="auto">
                  <a:xfrm>
                    <a:off x="2967037" y="3184332"/>
                    <a:ext cx="1276350" cy="152400"/>
                  </a:xfrm>
                  <a:prstGeom prst="rect">
                    <a:avLst/>
                  </a:prstGeom>
                  <a:noFill/>
                  <a:ln w="9525">
                    <a:miter lim="800000"/>
                    <a:headEnd/>
                    <a:tailEnd/>
                  </a:ln>
                </xdr:spPr>
              </xdr:sp>
            </mc:Choice>
            <mc:Fallback/>
          </mc:AlternateContent>
          <xdr:sp macro="" textlink="ASSUMPTIONS!G13">
            <xdr:nvSpPr>
              <xdr:cNvPr id="25" name="TextBox 24">
                <a:extLst>
                  <a:ext uri="{FF2B5EF4-FFF2-40B4-BE49-F238E27FC236}">
                    <a16:creationId xmlns:a16="http://schemas.microsoft.com/office/drawing/2014/main" id="{00000000-0008-0000-0200-000019000000}"/>
                  </a:ext>
                </a:extLst>
              </xdr:cNvPr>
              <xdr:cNvSpPr txBox="1"/>
            </xdr:nvSpPr>
            <xdr:spPr>
              <a:xfrm>
                <a:off x="4284769" y="3136107"/>
                <a:ext cx="1039706" cy="253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BCE5C50-908D-4FAE-A3EA-5B584D70F624}" type="TxLink">
                  <a:rPr lang="en-US" sz="1000" b="0" i="0" u="none" strike="noStrike">
                    <a:solidFill>
                      <a:srgbClr val="000000"/>
                    </a:solidFill>
                    <a:latin typeface="Arial"/>
                    <a:cs typeface="Arial"/>
                  </a:rPr>
                  <a:pPr/>
                  <a:t>79%</a:t>
                </a:fld>
                <a:endParaRPr lang="en-US" sz="1100"/>
              </a:p>
            </xdr:txBody>
          </xdr:sp>
        </xdr:grpSp>
        <xdr:grpSp>
          <xdr:nvGrpSpPr>
            <xdr:cNvPr id="7183" name="Group 7182">
              <a:extLst>
                <a:ext uri="{FF2B5EF4-FFF2-40B4-BE49-F238E27FC236}">
                  <a16:creationId xmlns:a16="http://schemas.microsoft.com/office/drawing/2014/main" id="{00000000-0008-0000-0200-00000F1C0000}"/>
                </a:ext>
              </a:extLst>
            </xdr:cNvPr>
            <xdr:cNvGrpSpPr/>
          </xdr:nvGrpSpPr>
          <xdr:grpSpPr>
            <a:xfrm>
              <a:off x="1633573" y="3431382"/>
              <a:ext cx="3690902" cy="253722"/>
              <a:chOff x="1633573" y="3431382"/>
              <a:chExt cx="3690902" cy="253722"/>
            </a:xfrm>
          </xdr:grpSpPr>
          <xdr:sp macro="" textlink="ASSUMPTIONS!B14">
            <xdr:nvSpPr>
              <xdr:cNvPr id="26" name="TextBox 25">
                <a:extLst>
                  <a:ext uri="{FF2B5EF4-FFF2-40B4-BE49-F238E27FC236}">
                    <a16:creationId xmlns:a16="http://schemas.microsoft.com/office/drawing/2014/main" id="{00000000-0008-0000-0200-00001A000000}"/>
                  </a:ext>
                </a:extLst>
              </xdr:cNvPr>
              <xdr:cNvSpPr txBox="1"/>
            </xdr:nvSpPr>
            <xdr:spPr>
              <a:xfrm>
                <a:off x="1633573" y="3431382"/>
                <a:ext cx="1292389"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74DE7BCB-CF2F-448C-A851-7735F705F30B}" type="TxLink">
                  <a:rPr lang="en-US" sz="1000" b="0" i="0" u="none" strike="noStrike">
                    <a:solidFill>
                      <a:srgbClr val="000000"/>
                    </a:solidFill>
                    <a:latin typeface="Arial"/>
                    <a:cs typeface="Arial"/>
                  </a:rPr>
                  <a:pPr algn="r"/>
                  <a:t>Workforce Cost Rate</a:t>
                </a:fld>
                <a:endParaRPr lang="en-US" sz="1100"/>
              </a:p>
            </xdr:txBody>
          </xdr:sp>
          <mc:AlternateContent xmlns:mc="http://schemas.openxmlformats.org/markup-compatibility/2006">
            <mc:Choice xmlns:a14="http://schemas.microsoft.com/office/drawing/2010/main" Requires="a14">
              <xdr:sp macro="" textlink="">
                <xdr:nvSpPr>
                  <xdr:cNvPr id="7176" name="Scroll Bar 8" hidden="1">
                    <a:extLst>
                      <a:ext uri="{63B3BB69-23CF-44E3-9099-C40C66FF867C}">
                        <a14:compatExt spid="_x0000_s7176"/>
                      </a:ext>
                      <a:ext uri="{FF2B5EF4-FFF2-40B4-BE49-F238E27FC236}">
                        <a16:creationId xmlns:a16="http://schemas.microsoft.com/office/drawing/2014/main" id="{00000000-0008-0000-0200-0000081C0000}"/>
                      </a:ext>
                    </a:extLst>
                  </xdr:cNvPr>
                  <xdr:cNvSpPr/>
                </xdr:nvSpPr>
                <xdr:spPr bwMode="auto">
                  <a:xfrm>
                    <a:off x="2967037" y="3479607"/>
                    <a:ext cx="1276350" cy="152400"/>
                  </a:xfrm>
                  <a:prstGeom prst="rect">
                    <a:avLst/>
                  </a:prstGeom>
                  <a:noFill/>
                  <a:ln w="9525">
                    <a:miter lim="800000"/>
                    <a:headEnd/>
                    <a:tailEnd/>
                  </a:ln>
                </xdr:spPr>
              </xdr:sp>
            </mc:Choice>
            <mc:Fallback/>
          </mc:AlternateContent>
          <xdr:sp macro="" textlink="ASSUMPTIONS!G14">
            <xdr:nvSpPr>
              <xdr:cNvPr id="28" name="TextBox 27">
                <a:extLst>
                  <a:ext uri="{FF2B5EF4-FFF2-40B4-BE49-F238E27FC236}">
                    <a16:creationId xmlns:a16="http://schemas.microsoft.com/office/drawing/2014/main" id="{00000000-0008-0000-0200-00001C000000}"/>
                  </a:ext>
                </a:extLst>
              </xdr:cNvPr>
              <xdr:cNvSpPr txBox="1"/>
            </xdr:nvSpPr>
            <xdr:spPr>
              <a:xfrm>
                <a:off x="4284769" y="3431382"/>
                <a:ext cx="1039706" cy="253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0F3C1F7-BBA2-43D7-A42E-4DAA8BE75AD3}" type="TxLink">
                  <a:rPr lang="en-US" sz="1000" b="0" i="0" u="none" strike="noStrike">
                    <a:solidFill>
                      <a:srgbClr val="000000"/>
                    </a:solidFill>
                    <a:latin typeface="Arial"/>
                    <a:cs typeface="Arial"/>
                  </a:rPr>
                  <a:pPr/>
                  <a:t>$2,000 per day</a:t>
                </a:fld>
                <a:endParaRPr lang="en-US" sz="1100"/>
              </a:p>
            </xdr:txBody>
          </xdr:sp>
        </xdr:grpSp>
        <xdr:grpSp>
          <xdr:nvGrpSpPr>
            <xdr:cNvPr id="27" name="Group 26">
              <a:extLst>
                <a:ext uri="{FF2B5EF4-FFF2-40B4-BE49-F238E27FC236}">
                  <a16:creationId xmlns:a16="http://schemas.microsoft.com/office/drawing/2014/main" id="{00000000-0008-0000-0200-00001B000000}"/>
                </a:ext>
              </a:extLst>
            </xdr:cNvPr>
            <xdr:cNvGrpSpPr/>
          </xdr:nvGrpSpPr>
          <xdr:grpSpPr>
            <a:xfrm>
              <a:off x="1559669" y="2336007"/>
              <a:ext cx="3764806" cy="253722"/>
              <a:chOff x="1559669" y="2336007"/>
              <a:chExt cx="3764806" cy="253722"/>
            </a:xfrm>
          </xdr:grpSpPr>
          <xdr:sp macro="" textlink="ASSUMPTIONS!B10">
            <xdr:nvSpPr>
              <xdr:cNvPr id="29" name="TextBox 28">
                <a:extLst>
                  <a:ext uri="{FF2B5EF4-FFF2-40B4-BE49-F238E27FC236}">
                    <a16:creationId xmlns:a16="http://schemas.microsoft.com/office/drawing/2014/main" id="{00000000-0008-0000-0200-00001D000000}"/>
                  </a:ext>
                </a:extLst>
              </xdr:cNvPr>
              <xdr:cNvSpPr txBox="1"/>
            </xdr:nvSpPr>
            <xdr:spPr>
              <a:xfrm>
                <a:off x="1559669" y="2336007"/>
                <a:ext cx="1366293"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85C0D98C-E25F-40F8-9189-89446A252C4F}" type="TxLink">
                  <a:rPr lang="en-US" sz="1000" b="0" i="0" u="none" strike="noStrike">
                    <a:solidFill>
                      <a:srgbClr val="000000"/>
                    </a:solidFill>
                    <a:latin typeface="Arial"/>
                    <a:cs typeface="Arial"/>
                  </a:rPr>
                  <a:pPr algn="r"/>
                  <a:t>Susceptible Cost Rate</a:t>
                </a:fld>
                <a:endParaRPr lang="en-US" sz="1100"/>
              </a:p>
            </xdr:txBody>
          </xdr:sp>
          <mc:AlternateContent xmlns:mc="http://schemas.openxmlformats.org/markup-compatibility/2006">
            <mc:Choice xmlns:a14="http://schemas.microsoft.com/office/drawing/2010/main" Requires="a14">
              <xdr:sp macro="" textlink="">
                <xdr:nvSpPr>
                  <xdr:cNvPr id="7177" name="Scroll Bar 9" hidden="1">
                    <a:extLst>
                      <a:ext uri="{63B3BB69-23CF-44E3-9099-C40C66FF867C}">
                        <a14:compatExt spid="_x0000_s7177"/>
                      </a:ext>
                      <a:ext uri="{FF2B5EF4-FFF2-40B4-BE49-F238E27FC236}">
                        <a16:creationId xmlns:a16="http://schemas.microsoft.com/office/drawing/2014/main" id="{00000000-0008-0000-0200-0000091C0000}"/>
                      </a:ext>
                    </a:extLst>
                  </xdr:cNvPr>
                  <xdr:cNvSpPr/>
                </xdr:nvSpPr>
                <xdr:spPr bwMode="auto">
                  <a:xfrm>
                    <a:off x="2967037" y="2384232"/>
                    <a:ext cx="1276350" cy="152400"/>
                  </a:xfrm>
                  <a:prstGeom prst="rect">
                    <a:avLst/>
                  </a:prstGeom>
                  <a:noFill/>
                  <a:ln w="9525">
                    <a:miter lim="800000"/>
                    <a:headEnd/>
                    <a:tailEnd/>
                  </a:ln>
                </xdr:spPr>
              </xdr:sp>
            </mc:Choice>
            <mc:Fallback/>
          </mc:AlternateContent>
          <xdr:sp macro="" textlink="ASSUMPTIONS!G10">
            <xdr:nvSpPr>
              <xdr:cNvPr id="31" name="TextBox 30">
                <a:extLst>
                  <a:ext uri="{FF2B5EF4-FFF2-40B4-BE49-F238E27FC236}">
                    <a16:creationId xmlns:a16="http://schemas.microsoft.com/office/drawing/2014/main" id="{00000000-0008-0000-0200-00001F000000}"/>
                  </a:ext>
                </a:extLst>
              </xdr:cNvPr>
              <xdr:cNvSpPr txBox="1"/>
            </xdr:nvSpPr>
            <xdr:spPr>
              <a:xfrm>
                <a:off x="4284769" y="2336007"/>
                <a:ext cx="1039706" cy="253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FD1A5E8-2865-4619-AB2D-A0AB5B2BD1A4}" type="TxLink">
                  <a:rPr lang="en-US" sz="1000" b="0" i="0" u="none" strike="noStrike">
                    <a:solidFill>
                      <a:srgbClr val="000000"/>
                    </a:solidFill>
                    <a:latin typeface="Arial"/>
                    <a:cs typeface="Arial"/>
                  </a:rPr>
                  <a:pPr/>
                  <a:t>$100 per day</a:t>
                </a:fld>
                <a:endParaRPr lang="en-US" sz="1100"/>
              </a:p>
            </xdr:txBody>
          </xdr:sp>
        </xdr:grpSp>
        <xdr:grpSp>
          <xdr:nvGrpSpPr>
            <xdr:cNvPr id="12" name="Group 11">
              <a:extLst>
                <a:ext uri="{FF2B5EF4-FFF2-40B4-BE49-F238E27FC236}">
                  <a16:creationId xmlns:a16="http://schemas.microsoft.com/office/drawing/2014/main" id="{00000000-0008-0000-0200-00000C000000}"/>
                </a:ext>
              </a:extLst>
            </xdr:cNvPr>
            <xdr:cNvGrpSpPr/>
          </xdr:nvGrpSpPr>
          <xdr:grpSpPr>
            <a:xfrm>
              <a:off x="1457739" y="971550"/>
              <a:ext cx="2818986" cy="276224"/>
              <a:chOff x="1457739" y="971550"/>
              <a:chExt cx="2818986" cy="276224"/>
            </a:xfrm>
          </xdr:grpSpPr>
          <xdr:sp macro="" textlink="ASSUMPTIONS!B15">
            <xdr:nvSpPr>
              <xdr:cNvPr id="35" name="TextBox 34">
                <a:extLst>
                  <a:ext uri="{FF2B5EF4-FFF2-40B4-BE49-F238E27FC236}">
                    <a16:creationId xmlns:a16="http://schemas.microsoft.com/office/drawing/2014/main" id="{00000000-0008-0000-0200-000023000000}"/>
                  </a:ext>
                </a:extLst>
              </xdr:cNvPr>
              <xdr:cNvSpPr txBox="1"/>
            </xdr:nvSpPr>
            <xdr:spPr>
              <a:xfrm>
                <a:off x="1457739" y="985237"/>
                <a:ext cx="1468222"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F9241A90-D531-4AC6-A14D-9D3275139244}" type="TxLink">
                  <a:rPr lang="en-US" sz="1000" b="0" i="0" u="none" strike="noStrike">
                    <a:solidFill>
                      <a:srgbClr val="000000"/>
                    </a:solidFill>
                    <a:latin typeface="Arial"/>
                    <a:cs typeface="Arial"/>
                  </a:rPr>
                  <a:pPr algn="r"/>
                  <a:t>Workforce Only Option</a:t>
                </a:fld>
                <a:endParaRPr lang="en-US" sz="1100"/>
              </a:p>
            </xdr:txBody>
          </xdr:sp>
          <xdr:sp macro="" textlink="ASSUMPTIONS!G15">
            <xdr:nvSpPr>
              <xdr:cNvPr id="36" name="TextBox 35">
                <a:extLst>
                  <a:ext uri="{FF2B5EF4-FFF2-40B4-BE49-F238E27FC236}">
                    <a16:creationId xmlns:a16="http://schemas.microsoft.com/office/drawing/2014/main" id="{00000000-0008-0000-0200-000024000000}"/>
                  </a:ext>
                </a:extLst>
              </xdr:cNvPr>
              <xdr:cNvSpPr txBox="1"/>
            </xdr:nvSpPr>
            <xdr:spPr>
              <a:xfrm>
                <a:off x="3237019" y="985237"/>
                <a:ext cx="1039706" cy="25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C56C934-3782-4CDA-8855-F7114466F8B2}" type="TxLink">
                  <a:rPr lang="en-US" sz="1000" b="0" i="0" u="none" strike="noStrike">
                    <a:solidFill>
                      <a:srgbClr val="000000"/>
                    </a:solidFill>
                    <a:latin typeface="Arial"/>
                    <a:cs typeface="Arial"/>
                  </a:rPr>
                  <a:pPr/>
                  <a:t>ON</a:t>
                </a:fld>
                <a:endParaRPr lang="en-US" sz="1100"/>
              </a:p>
            </xdr:txBody>
          </xdr:sp>
          <mc:AlternateContent xmlns:mc="http://schemas.openxmlformats.org/markup-compatibility/2006">
            <mc:Choice xmlns:a14="http://schemas.microsoft.com/office/drawing/2010/main" Requires="a14">
              <xdr:sp macro="" textlink="">
                <xdr:nvSpPr>
                  <xdr:cNvPr id="7180" name="Check Box 12" hidden="1">
                    <a:extLst>
                      <a:ext uri="{63B3BB69-23CF-44E3-9099-C40C66FF867C}">
                        <a14:compatExt spid="_x0000_s7180"/>
                      </a:ext>
                      <a:ext uri="{FF2B5EF4-FFF2-40B4-BE49-F238E27FC236}">
                        <a16:creationId xmlns:a16="http://schemas.microsoft.com/office/drawing/2014/main" id="{00000000-0008-0000-0200-00000C1C0000}"/>
                      </a:ext>
                    </a:extLst>
                  </xdr:cNvPr>
                  <xdr:cNvSpPr/>
                </xdr:nvSpPr>
                <xdr:spPr bwMode="auto">
                  <a:xfrm>
                    <a:off x="2905126" y="971550"/>
                    <a:ext cx="247650" cy="2762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7184" name="Group 7183">
              <a:extLst>
                <a:ext uri="{FF2B5EF4-FFF2-40B4-BE49-F238E27FC236}">
                  <a16:creationId xmlns:a16="http://schemas.microsoft.com/office/drawing/2014/main" id="{00000000-0008-0000-0200-0000101C0000}"/>
                </a:ext>
              </a:extLst>
            </xdr:cNvPr>
            <xdr:cNvGrpSpPr/>
          </xdr:nvGrpSpPr>
          <xdr:grpSpPr>
            <a:xfrm>
              <a:off x="2154264" y="3893344"/>
              <a:ext cx="3170211" cy="271288"/>
              <a:chOff x="2154264" y="3893344"/>
              <a:chExt cx="3170211" cy="271288"/>
            </a:xfrm>
          </xdr:grpSpPr>
          <xdr:sp macro="" textlink="ASSUMPTIONS!B17">
            <xdr:nvSpPr>
              <xdr:cNvPr id="41" name="TextBox 40">
                <a:extLst>
                  <a:ext uri="{FF2B5EF4-FFF2-40B4-BE49-F238E27FC236}">
                    <a16:creationId xmlns:a16="http://schemas.microsoft.com/office/drawing/2014/main" id="{00000000-0008-0000-0200-000029000000}"/>
                  </a:ext>
                </a:extLst>
              </xdr:cNvPr>
              <xdr:cNvSpPr txBox="1"/>
            </xdr:nvSpPr>
            <xdr:spPr>
              <a:xfrm>
                <a:off x="2154264" y="3893344"/>
                <a:ext cx="771697" cy="261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E6FFED35-10D4-4753-A0F1-3ADAA89FDF8F}" type="TxLink">
                  <a:rPr lang="en-US" sz="1050" b="0" i="0" u="none" strike="noStrike">
                    <a:solidFill>
                      <a:srgbClr val="000000"/>
                    </a:solidFill>
                    <a:latin typeface="Arial"/>
                    <a:cs typeface="Arial"/>
                  </a:rPr>
                  <a:pPr algn="r"/>
                  <a:t>Frequency</a:t>
                </a:fld>
                <a:endParaRPr lang="en-US" sz="1200"/>
              </a:p>
            </xdr:txBody>
          </xdr:sp>
          <mc:AlternateContent xmlns:mc="http://schemas.openxmlformats.org/markup-compatibility/2006">
            <mc:Choice xmlns:a14="http://schemas.microsoft.com/office/drawing/2010/main" Requires="a14">
              <xdr:sp macro="" textlink="">
                <xdr:nvSpPr>
                  <xdr:cNvPr id="7181" name="Scroll Bar 13" hidden="1">
                    <a:extLst>
                      <a:ext uri="{63B3BB69-23CF-44E3-9099-C40C66FF867C}">
                        <a14:compatExt spid="_x0000_s7181"/>
                      </a:ext>
                      <a:ext uri="{FF2B5EF4-FFF2-40B4-BE49-F238E27FC236}">
                        <a16:creationId xmlns:a16="http://schemas.microsoft.com/office/drawing/2014/main" id="{00000000-0008-0000-0200-00000D1C0000}"/>
                      </a:ext>
                    </a:extLst>
                  </xdr:cNvPr>
                  <xdr:cNvSpPr/>
                </xdr:nvSpPr>
                <xdr:spPr bwMode="auto">
                  <a:xfrm>
                    <a:off x="2967037" y="3941569"/>
                    <a:ext cx="1276350" cy="152400"/>
                  </a:xfrm>
                  <a:prstGeom prst="rect">
                    <a:avLst/>
                  </a:prstGeom>
                  <a:noFill/>
                  <a:ln w="9525">
                    <a:miter lim="800000"/>
                    <a:headEnd/>
                    <a:tailEnd/>
                  </a:ln>
                </xdr:spPr>
              </xdr:sp>
            </mc:Choice>
            <mc:Fallback/>
          </mc:AlternateContent>
          <xdr:sp macro="" textlink="ASSUMPTIONS!G17">
            <xdr:nvSpPr>
              <xdr:cNvPr id="43" name="TextBox 42">
                <a:extLst>
                  <a:ext uri="{FF2B5EF4-FFF2-40B4-BE49-F238E27FC236}">
                    <a16:creationId xmlns:a16="http://schemas.microsoft.com/office/drawing/2014/main" id="{00000000-0008-0000-0200-00002B000000}"/>
                  </a:ext>
                </a:extLst>
              </xdr:cNvPr>
              <xdr:cNvSpPr txBox="1"/>
            </xdr:nvSpPr>
            <xdr:spPr>
              <a:xfrm>
                <a:off x="4284769" y="3902869"/>
                <a:ext cx="1039706" cy="2617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D78DAF0-A52C-4779-9199-F2F307CAAB92}" type="TxLink">
                  <a:rPr lang="en-US" sz="1050" b="0" i="0" u="none" strike="noStrike">
                    <a:solidFill>
                      <a:srgbClr val="000000"/>
                    </a:solidFill>
                    <a:latin typeface="Arial"/>
                    <a:cs typeface="Arial"/>
                  </a:rPr>
                  <a:pPr/>
                  <a:t>50%</a:t>
                </a:fld>
                <a:endParaRPr lang="en-US" sz="1200"/>
              </a:p>
            </xdr:txBody>
          </xdr:sp>
        </xdr:grpSp>
      </xdr:grpSp>
    </xdr:grpSp>
    <xdr:clientData/>
  </xdr:twoCellAnchor>
  <xdr:twoCellAnchor>
    <xdr:from>
      <xdr:col>14</xdr:col>
      <xdr:colOff>600076</xdr:colOff>
      <xdr:row>4</xdr:row>
      <xdr:rowOff>3174</xdr:rowOff>
    </xdr:from>
    <xdr:to>
      <xdr:col>18</xdr:col>
      <xdr:colOff>295276</xdr:colOff>
      <xdr:row>9</xdr:row>
      <xdr:rowOff>47625</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9617076" y="663574"/>
          <a:ext cx="2133600" cy="869951"/>
          <a:chOff x="9286876" y="647699"/>
          <a:chExt cx="2133600" cy="857251"/>
        </a:xfrm>
      </xdr:grpSpPr>
      <xdr:sp macro="" textlink="">
        <xdr:nvSpPr>
          <xdr:cNvPr id="52" name="Rectangle 51">
            <a:extLst>
              <a:ext uri="{FF2B5EF4-FFF2-40B4-BE49-F238E27FC236}">
                <a16:creationId xmlns:a16="http://schemas.microsoft.com/office/drawing/2014/main" id="{00000000-0008-0000-0200-000034000000}"/>
              </a:ext>
            </a:extLst>
          </xdr:cNvPr>
          <xdr:cNvSpPr/>
        </xdr:nvSpPr>
        <xdr:spPr>
          <a:xfrm>
            <a:off x="9286876" y="647699"/>
            <a:ext cx="2133600" cy="857251"/>
          </a:xfrm>
          <a:prstGeom prst="rect">
            <a:avLst/>
          </a:prstGeom>
          <a:solidFill>
            <a:schemeClr val="accent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bg1"/>
              </a:solidFill>
            </a:endParaRPr>
          </a:p>
        </xdr:txBody>
      </xdr:sp>
      <xdr:sp macro="" textlink="ASSUMPTIONS!B20">
        <xdr:nvSpPr>
          <xdr:cNvPr id="50" name="TextBox 49">
            <a:extLst>
              <a:ext uri="{FF2B5EF4-FFF2-40B4-BE49-F238E27FC236}">
                <a16:creationId xmlns:a16="http://schemas.microsoft.com/office/drawing/2014/main" id="{00000000-0008-0000-0200-000032000000}"/>
              </a:ext>
            </a:extLst>
          </xdr:cNvPr>
          <xdr:cNvSpPr txBox="1"/>
        </xdr:nvSpPr>
        <xdr:spPr>
          <a:xfrm>
            <a:off x="9529764" y="1123308"/>
            <a:ext cx="1647825" cy="3025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C7DDBF46-F5DF-4618-90D6-D7BEE339A2D9}" type="TxLink">
              <a:rPr lang="en-US" sz="1400" b="1" i="0" u="none" strike="noStrike">
                <a:solidFill>
                  <a:schemeClr val="bg1"/>
                </a:solidFill>
                <a:latin typeface="Calibri Light" panose="020F0302020204030204" pitchFamily="34" charset="0"/>
                <a:cs typeface="Arial"/>
              </a:rPr>
              <a:pPr algn="ctr"/>
              <a:t>Baseline Risk Value</a:t>
            </a:fld>
            <a:endParaRPr lang="en-US" sz="4800" b="1">
              <a:solidFill>
                <a:schemeClr val="bg1"/>
              </a:solidFill>
              <a:latin typeface="Calibri Light" panose="020F0302020204030204" pitchFamily="34" charset="0"/>
            </a:endParaRPr>
          </a:p>
        </xdr:txBody>
      </xdr:sp>
      <xdr:sp macro="" textlink="ASSUMPTIONS!G20">
        <xdr:nvSpPr>
          <xdr:cNvPr id="51" name="TextBox 50">
            <a:extLst>
              <a:ext uri="{FF2B5EF4-FFF2-40B4-BE49-F238E27FC236}">
                <a16:creationId xmlns:a16="http://schemas.microsoft.com/office/drawing/2014/main" id="{00000000-0008-0000-0200-000033000000}"/>
              </a:ext>
            </a:extLst>
          </xdr:cNvPr>
          <xdr:cNvSpPr txBox="1"/>
        </xdr:nvSpPr>
        <xdr:spPr>
          <a:xfrm>
            <a:off x="9482139" y="788194"/>
            <a:ext cx="1743075" cy="431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F9EF7BD-8D2B-4B37-882B-AE72D3A40A22}" type="TxLink">
              <a:rPr lang="en-US" sz="1800" b="1" i="0" u="none" strike="noStrike">
                <a:solidFill>
                  <a:schemeClr val="bg1"/>
                </a:solidFill>
                <a:latin typeface="Calibri Light" panose="020F0302020204030204" pitchFamily="34" charset="0"/>
                <a:cs typeface="Arial"/>
              </a:rPr>
              <a:pPr algn="ctr"/>
              <a:t>$1,795,485 </a:t>
            </a:fld>
            <a:endParaRPr lang="en-US" sz="7200" b="1">
              <a:solidFill>
                <a:schemeClr val="bg1"/>
              </a:solidFill>
              <a:latin typeface="Calibri Light" panose="020F0302020204030204" pitchFamily="34" charset="0"/>
            </a:endParaRPr>
          </a:p>
        </xdr:txBody>
      </xdr:sp>
    </xdr:grpSp>
    <xdr:clientData/>
  </xdr:twoCellAnchor>
  <xdr:twoCellAnchor>
    <xdr:from>
      <xdr:col>8</xdr:col>
      <xdr:colOff>590550</xdr:colOff>
      <xdr:row>4</xdr:row>
      <xdr:rowOff>3174</xdr:rowOff>
    </xdr:from>
    <xdr:to>
      <xdr:col>14</xdr:col>
      <xdr:colOff>581025</xdr:colOff>
      <xdr:row>9</xdr:row>
      <xdr:rowOff>47625</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5949950" y="663574"/>
          <a:ext cx="3648075" cy="869951"/>
          <a:chOff x="5600700" y="628649"/>
          <a:chExt cx="3648075" cy="857251"/>
        </a:xfrm>
      </xdr:grpSpPr>
      <xdr:sp macro="" textlink="">
        <xdr:nvSpPr>
          <xdr:cNvPr id="44" name="Rectangle 43">
            <a:extLst>
              <a:ext uri="{FF2B5EF4-FFF2-40B4-BE49-F238E27FC236}">
                <a16:creationId xmlns:a16="http://schemas.microsoft.com/office/drawing/2014/main" id="{00000000-0008-0000-0200-00002C000000}"/>
              </a:ext>
            </a:extLst>
          </xdr:cNvPr>
          <xdr:cNvSpPr/>
        </xdr:nvSpPr>
        <xdr:spPr>
          <a:xfrm>
            <a:off x="5600700" y="628649"/>
            <a:ext cx="3648075" cy="857251"/>
          </a:xfrm>
          <a:prstGeom prst="rect">
            <a:avLst/>
          </a:prstGeom>
          <a:solidFill>
            <a:schemeClr val="accent1">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SSUMPTIONS!G17">
        <xdr:nvSpPr>
          <xdr:cNvPr id="46" name="TextBox 45">
            <a:extLst>
              <a:ext uri="{FF2B5EF4-FFF2-40B4-BE49-F238E27FC236}">
                <a16:creationId xmlns:a16="http://schemas.microsoft.com/office/drawing/2014/main" id="{00000000-0008-0000-0200-00002E000000}"/>
              </a:ext>
            </a:extLst>
          </xdr:cNvPr>
          <xdr:cNvSpPr txBox="1"/>
        </xdr:nvSpPr>
        <xdr:spPr>
          <a:xfrm>
            <a:off x="5932594" y="759619"/>
            <a:ext cx="572981" cy="431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D78DAF0-A52C-4779-9199-F2F307CAAB92}" type="TxLink">
              <a:rPr lang="en-US" sz="1400" b="0" i="0" u="none" strike="noStrike">
                <a:solidFill>
                  <a:srgbClr val="000000"/>
                </a:solidFill>
                <a:latin typeface="+mj-lt"/>
                <a:cs typeface="Arial"/>
              </a:rPr>
              <a:pPr algn="ctr"/>
              <a:t>50%</a:t>
            </a:fld>
            <a:endParaRPr lang="en-US" sz="1800">
              <a:latin typeface="+mj-lt"/>
            </a:endParaRPr>
          </a:p>
        </xdr:txBody>
      </xdr:sp>
      <xdr:sp macro="" textlink="ASSUMPTIONS!B17">
        <xdr:nvSpPr>
          <xdr:cNvPr id="47" name="TextBox 46">
            <a:extLst>
              <a:ext uri="{FF2B5EF4-FFF2-40B4-BE49-F238E27FC236}">
                <a16:creationId xmlns:a16="http://schemas.microsoft.com/office/drawing/2014/main" id="{00000000-0008-0000-0200-00002F000000}"/>
              </a:ext>
            </a:extLst>
          </xdr:cNvPr>
          <xdr:cNvSpPr txBox="1"/>
        </xdr:nvSpPr>
        <xdr:spPr>
          <a:xfrm>
            <a:off x="5640687" y="1123305"/>
            <a:ext cx="1112537" cy="3025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6FFED35-10D4-4753-A0F1-3ADAA89FDF8F}" type="TxLink">
              <a:rPr lang="en-US" sz="1400" b="0" i="0" u="none" strike="noStrike">
                <a:solidFill>
                  <a:srgbClr val="000000"/>
                </a:solidFill>
                <a:latin typeface="Calibri Light" panose="020F0302020204030204" pitchFamily="34" charset="0"/>
                <a:cs typeface="Arial"/>
              </a:rPr>
              <a:pPr algn="ctr"/>
              <a:t>Frequency</a:t>
            </a:fld>
            <a:endParaRPr lang="en-US" sz="1800">
              <a:latin typeface="Calibri Light" panose="020F0302020204030204" pitchFamily="34" charset="0"/>
            </a:endParaRPr>
          </a:p>
        </xdr:txBody>
      </xdr:sp>
      <xdr:sp macro="" textlink="ASSUMPTIONS!B19">
        <xdr:nvSpPr>
          <xdr:cNvPr id="48" name="TextBox 47">
            <a:extLst>
              <a:ext uri="{FF2B5EF4-FFF2-40B4-BE49-F238E27FC236}">
                <a16:creationId xmlns:a16="http://schemas.microsoft.com/office/drawing/2014/main" id="{00000000-0008-0000-0200-000030000000}"/>
              </a:ext>
            </a:extLst>
          </xdr:cNvPr>
          <xdr:cNvSpPr txBox="1"/>
        </xdr:nvSpPr>
        <xdr:spPr>
          <a:xfrm>
            <a:off x="7517112" y="1113781"/>
            <a:ext cx="1112537" cy="3025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CDE01A4E-42CA-4791-B8EB-04DF8023C45C}" type="TxLink">
              <a:rPr lang="en-US" sz="1400" b="0" i="0" u="none" strike="noStrike">
                <a:solidFill>
                  <a:srgbClr val="000000"/>
                </a:solidFill>
                <a:latin typeface="Calibri Light" panose="020F0302020204030204" pitchFamily="34" charset="0"/>
                <a:cs typeface="Arial"/>
              </a:rPr>
              <a:pPr algn="ctr"/>
              <a:t>Severity</a:t>
            </a:fld>
            <a:endParaRPr lang="en-US" sz="3200">
              <a:latin typeface="Calibri Light" panose="020F0302020204030204" pitchFamily="34" charset="0"/>
            </a:endParaRPr>
          </a:p>
        </xdr:txBody>
      </xdr:sp>
      <xdr:sp macro="" textlink="ASSUMPTIONS!G19">
        <xdr:nvSpPr>
          <xdr:cNvPr id="49" name="TextBox 48">
            <a:extLst>
              <a:ext uri="{FF2B5EF4-FFF2-40B4-BE49-F238E27FC236}">
                <a16:creationId xmlns:a16="http://schemas.microsoft.com/office/drawing/2014/main" id="{00000000-0008-0000-0200-000031000000}"/>
              </a:ext>
            </a:extLst>
          </xdr:cNvPr>
          <xdr:cNvSpPr txBox="1"/>
        </xdr:nvSpPr>
        <xdr:spPr>
          <a:xfrm>
            <a:off x="7191375" y="759619"/>
            <a:ext cx="1743075" cy="431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ADD7A80-5CAB-4DFE-A925-0012820ADE4E}" type="TxLink">
              <a:rPr lang="en-US" sz="1800" b="0" i="0" u="none" strike="noStrike">
                <a:solidFill>
                  <a:srgbClr val="000000"/>
                </a:solidFill>
                <a:latin typeface="Calibri Light" panose="020F0302020204030204" pitchFamily="34" charset="0"/>
                <a:cs typeface="Arial"/>
              </a:rPr>
              <a:pPr algn="ctr"/>
              <a:t>$3,590,969 </a:t>
            </a:fld>
            <a:endParaRPr lang="en-US" sz="4000">
              <a:latin typeface="Calibri Light" panose="020F0302020204030204" pitchFamily="34" charset="0"/>
            </a:endParaRPr>
          </a:p>
        </xdr:txBody>
      </xdr:sp>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6726537" y="823550"/>
            <a:ext cx="37911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0" i="0" u="none" strike="noStrike">
                <a:solidFill>
                  <a:srgbClr val="000000"/>
                </a:solidFill>
                <a:latin typeface="Calibri Light" panose="020F0302020204030204" pitchFamily="34" charset="0"/>
                <a:cs typeface="Arial"/>
              </a:rPr>
              <a:t>X</a:t>
            </a:r>
          </a:p>
        </xdr:txBody>
      </xdr:sp>
      <xdr:sp macro="" textlink="">
        <xdr:nvSpPr>
          <xdr:cNvPr id="54" name="TextBox 53">
            <a:extLst>
              <a:ext uri="{FF2B5EF4-FFF2-40B4-BE49-F238E27FC236}">
                <a16:creationId xmlns:a16="http://schemas.microsoft.com/office/drawing/2014/main" id="{00000000-0008-0000-0200-000036000000}"/>
              </a:ext>
            </a:extLst>
          </xdr:cNvPr>
          <xdr:cNvSpPr txBox="1"/>
        </xdr:nvSpPr>
        <xdr:spPr>
          <a:xfrm>
            <a:off x="8841087" y="811278"/>
            <a:ext cx="37911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800" b="0" i="0" u="none" strike="noStrike">
                <a:solidFill>
                  <a:srgbClr val="000000"/>
                </a:solidFill>
                <a:latin typeface="Calibri Light" panose="020F0302020204030204" pitchFamily="34" charset="0"/>
                <a:cs typeface="Arial"/>
              </a:rPr>
              <a:t>=</a:t>
            </a:r>
            <a:endParaRPr lang="en-US" sz="1400" b="0" i="0" u="none" strike="noStrike">
              <a:solidFill>
                <a:srgbClr val="000000"/>
              </a:solidFill>
              <a:latin typeface="Calibri Light" panose="020F0302020204030204" pitchFamily="34" charset="0"/>
              <a:cs typeface="Arial"/>
            </a:endParaRPr>
          </a:p>
        </xdr:txBody>
      </xdr:sp>
    </xdr:grpSp>
    <xdr:clientData/>
  </xdr:twoCellAnchor>
  <xdr:oneCellAnchor>
    <xdr:from>
      <xdr:col>1</xdr:col>
      <xdr:colOff>266700</xdr:colOff>
      <xdr:row>0</xdr:row>
      <xdr:rowOff>38100</xdr:rowOff>
    </xdr:from>
    <xdr:ext cx="3742050" cy="561949"/>
    <xdr:sp macro="" textlink="ASSUMPTIONS!B21">
      <xdr:nvSpPr>
        <xdr:cNvPr id="7187" name="TextBox 7186">
          <a:extLst>
            <a:ext uri="{FF2B5EF4-FFF2-40B4-BE49-F238E27FC236}">
              <a16:creationId xmlns:a16="http://schemas.microsoft.com/office/drawing/2014/main" id="{00000000-0008-0000-0200-0000131C0000}"/>
            </a:ext>
          </a:extLst>
        </xdr:cNvPr>
        <xdr:cNvSpPr txBox="1"/>
      </xdr:nvSpPr>
      <xdr:spPr>
        <a:xfrm>
          <a:off x="876300" y="38100"/>
          <a:ext cx="3742050" cy="561949"/>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774CD8F-32AE-492B-A625-A9E236FCA6C9}" type="TxLink">
            <a:rPr lang="en-US" sz="3000" b="0" i="0" u="none" strike="noStrike">
              <a:solidFill>
                <a:schemeClr val="bg1"/>
              </a:solidFill>
              <a:latin typeface="Calibri Light" panose="020F0302020204030204" pitchFamily="34" charset="0"/>
              <a:cs typeface="Arial"/>
            </a:rPr>
            <a:pPr/>
            <a:t>US Flu Epidemic Model</a:t>
          </a:fld>
          <a:endParaRPr lang="en-US" sz="3000">
            <a:solidFill>
              <a:schemeClr val="bg1"/>
            </a:solidFill>
            <a:latin typeface="Calibri Light" panose="020F0302020204030204" pitchFamily="34" charset="0"/>
          </a:endParaRPr>
        </a:p>
      </xdr:txBody>
    </xdr:sp>
    <xdr:clientData/>
  </xdr:oneCellAnchor>
  <xdr:twoCellAnchor>
    <xdr:from>
      <xdr:col>1</xdr:col>
      <xdr:colOff>256117</xdr:colOff>
      <xdr:row>27</xdr:row>
      <xdr:rowOff>0</xdr:rowOff>
    </xdr:from>
    <xdr:to>
      <xdr:col>6</xdr:col>
      <xdr:colOff>97366</xdr:colOff>
      <xdr:row>47</xdr:row>
      <xdr:rowOff>42333</xdr:rowOff>
    </xdr:to>
    <xdr:sp macro="" textlink="">
      <xdr:nvSpPr>
        <xdr:cNvPr id="7188" name="Rectangle 7187" descr="d19c163e-279a-4a83-92b4-32f469a37ac0">
          <a:extLst>
            <a:ext uri="{FF2B5EF4-FFF2-40B4-BE49-F238E27FC236}">
              <a16:creationId xmlns:a16="http://schemas.microsoft.com/office/drawing/2014/main" id="{00000000-0008-0000-0200-0000141C0000}"/>
            </a:ext>
          </a:extLst>
        </xdr:cNvPr>
        <xdr:cNvSpPr/>
      </xdr:nvSpPr>
      <xdr:spPr>
        <a:xfrm>
          <a:off x="865717" y="4457700"/>
          <a:ext cx="3333749" cy="3344333"/>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809580</xdr:colOff>
      <xdr:row>30</xdr:row>
      <xdr:rowOff>95248</xdr:rowOff>
    </xdr:from>
    <xdr:ext cx="1246431" cy="280205"/>
    <xdr:sp macro="" textlink="MCSimulation!AD6">
      <xdr:nvSpPr>
        <xdr:cNvPr id="7189" name="TextBox 7188">
          <a:extLst>
            <a:ext uri="{FF2B5EF4-FFF2-40B4-BE49-F238E27FC236}">
              <a16:creationId xmlns:a16="http://schemas.microsoft.com/office/drawing/2014/main" id="{00000000-0008-0000-0200-0000151C0000}"/>
            </a:ext>
          </a:extLst>
        </xdr:cNvPr>
        <xdr:cNvSpPr txBox="1"/>
      </xdr:nvSpPr>
      <xdr:spPr>
        <a:xfrm>
          <a:off x="1419180" y="5048248"/>
          <a:ext cx="124643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87DB46D4-48E1-4359-A9DD-3F6CBE9F6358}" type="TxLink">
            <a:rPr lang="en-US" sz="1200" b="0" i="0" u="none" strike="noStrike">
              <a:solidFill>
                <a:srgbClr val="000000"/>
              </a:solidFill>
              <a:latin typeface="Calibri"/>
            </a:rPr>
            <a:pPr algn="r"/>
            <a:t>Minimum ($mm)</a:t>
          </a:fld>
          <a:endParaRPr lang="en-US" sz="1200"/>
        </a:p>
      </xdr:txBody>
    </xdr:sp>
    <xdr:clientData/>
  </xdr:oneCellAnchor>
  <xdr:oneCellAnchor>
    <xdr:from>
      <xdr:col>1</xdr:col>
      <xdr:colOff>876008</xdr:colOff>
      <xdr:row>32</xdr:row>
      <xdr:rowOff>86132</xdr:rowOff>
    </xdr:from>
    <xdr:ext cx="1180003" cy="264560"/>
    <xdr:sp macro="" textlink="MCSimulation!AD7">
      <xdr:nvSpPr>
        <xdr:cNvPr id="75" name="TextBox 74">
          <a:extLst>
            <a:ext uri="{FF2B5EF4-FFF2-40B4-BE49-F238E27FC236}">
              <a16:creationId xmlns:a16="http://schemas.microsoft.com/office/drawing/2014/main" id="{00000000-0008-0000-0200-00004B000000}"/>
            </a:ext>
          </a:extLst>
        </xdr:cNvPr>
        <xdr:cNvSpPr txBox="1"/>
      </xdr:nvSpPr>
      <xdr:spPr>
        <a:xfrm>
          <a:off x="1485608" y="5369332"/>
          <a:ext cx="118000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CAE5E81B-A4B7-4E7D-8A10-9E12333F44BE}" type="TxLink">
            <a:rPr lang="en-US" sz="1100" b="0" i="0" u="none" strike="noStrike">
              <a:solidFill>
                <a:srgbClr val="000000"/>
              </a:solidFill>
              <a:latin typeface="Calibri"/>
            </a:rPr>
            <a:pPr algn="r"/>
            <a:t>Maximum ($mm)</a:t>
          </a:fld>
          <a:endParaRPr lang="en-US" sz="1200"/>
        </a:p>
      </xdr:txBody>
    </xdr:sp>
    <xdr:clientData/>
  </xdr:oneCellAnchor>
  <xdr:oneCellAnchor>
    <xdr:from>
      <xdr:col>2</xdr:col>
      <xdr:colOff>235602</xdr:colOff>
      <xdr:row>34</xdr:row>
      <xdr:rowOff>79777</xdr:rowOff>
    </xdr:from>
    <xdr:ext cx="931409" cy="264560"/>
    <xdr:sp macro="" textlink="MCSimulation!AD8">
      <xdr:nvSpPr>
        <xdr:cNvPr id="76" name="TextBox 75">
          <a:extLst>
            <a:ext uri="{FF2B5EF4-FFF2-40B4-BE49-F238E27FC236}">
              <a16:creationId xmlns:a16="http://schemas.microsoft.com/office/drawing/2014/main" id="{00000000-0008-0000-0200-00004C000000}"/>
            </a:ext>
          </a:extLst>
        </xdr:cNvPr>
        <xdr:cNvSpPr txBox="1"/>
      </xdr:nvSpPr>
      <xdr:spPr>
        <a:xfrm>
          <a:off x="1734202" y="5693177"/>
          <a:ext cx="93140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2DBD93B9-5CD8-42A8-8BAB-7DB8A275421A}" type="TxLink">
            <a:rPr lang="en-US" sz="1100" b="0" i="0" u="none" strike="noStrike">
              <a:solidFill>
                <a:srgbClr val="000000"/>
              </a:solidFill>
              <a:latin typeface="Calibri"/>
            </a:rPr>
            <a:pPr algn="r"/>
            <a:t>Mean ($mm)</a:t>
          </a:fld>
          <a:endParaRPr lang="en-US" sz="1200"/>
        </a:p>
      </xdr:txBody>
    </xdr:sp>
    <xdr:clientData/>
  </xdr:oneCellAnchor>
  <xdr:oneCellAnchor>
    <xdr:from>
      <xdr:col>2</xdr:col>
      <xdr:colOff>129098</xdr:colOff>
      <xdr:row>36</xdr:row>
      <xdr:rowOff>64956</xdr:rowOff>
    </xdr:from>
    <xdr:ext cx="1037913" cy="264560"/>
    <xdr:sp macro="" textlink="MCSimulation!AD9">
      <xdr:nvSpPr>
        <xdr:cNvPr id="77" name="TextBox 76">
          <a:extLst>
            <a:ext uri="{FF2B5EF4-FFF2-40B4-BE49-F238E27FC236}">
              <a16:creationId xmlns:a16="http://schemas.microsoft.com/office/drawing/2014/main" id="{00000000-0008-0000-0200-00004D000000}"/>
            </a:ext>
          </a:extLst>
        </xdr:cNvPr>
        <xdr:cNvSpPr txBox="1"/>
      </xdr:nvSpPr>
      <xdr:spPr>
        <a:xfrm>
          <a:off x="1627698" y="6008556"/>
          <a:ext cx="103791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E15B2924-B570-4937-9395-447C60D25C00}" type="TxLink">
            <a:rPr lang="en-US" sz="1100" b="0" i="0" u="none" strike="noStrike">
              <a:solidFill>
                <a:srgbClr val="000000"/>
              </a:solidFill>
              <a:latin typeface="Calibri"/>
            </a:rPr>
            <a:pPr algn="r"/>
            <a:t>Median ($mm)</a:t>
          </a:fld>
          <a:endParaRPr lang="en-US" sz="1200"/>
        </a:p>
      </xdr:txBody>
    </xdr:sp>
    <xdr:clientData/>
  </xdr:oneCellAnchor>
  <xdr:oneCellAnchor>
    <xdr:from>
      <xdr:col>2</xdr:col>
      <xdr:colOff>228805</xdr:colOff>
      <xdr:row>38</xdr:row>
      <xdr:rowOff>88233</xdr:rowOff>
    </xdr:from>
    <xdr:ext cx="938206" cy="264560"/>
    <xdr:sp macro="" textlink="MCSimulation!AD10">
      <xdr:nvSpPr>
        <xdr:cNvPr id="78" name="TextBox 77">
          <a:extLst>
            <a:ext uri="{FF2B5EF4-FFF2-40B4-BE49-F238E27FC236}">
              <a16:creationId xmlns:a16="http://schemas.microsoft.com/office/drawing/2014/main" id="{00000000-0008-0000-0200-00004E000000}"/>
            </a:ext>
          </a:extLst>
        </xdr:cNvPr>
        <xdr:cNvSpPr txBox="1"/>
      </xdr:nvSpPr>
      <xdr:spPr>
        <a:xfrm>
          <a:off x="1727405" y="6362033"/>
          <a:ext cx="9382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36DE0267-A9A9-41EB-B448-D6884D467BF9}" type="TxLink">
            <a:rPr lang="en-US" sz="1100" b="0" i="0" u="none" strike="noStrike">
              <a:solidFill>
                <a:srgbClr val="000000"/>
              </a:solidFill>
              <a:latin typeface="Calibri"/>
            </a:rPr>
            <a:pPr algn="r"/>
            <a:t>Mode ($mm)</a:t>
          </a:fld>
          <a:endParaRPr lang="en-US" sz="1200"/>
        </a:p>
      </xdr:txBody>
    </xdr:sp>
    <xdr:clientData/>
  </xdr:oneCellAnchor>
  <xdr:oneCellAnchor>
    <xdr:from>
      <xdr:col>1</xdr:col>
      <xdr:colOff>357597</xdr:colOff>
      <xdr:row>40</xdr:row>
      <xdr:rowOff>81878</xdr:rowOff>
    </xdr:from>
    <xdr:ext cx="1698414" cy="264560"/>
    <xdr:sp macro="" textlink="MCSimulation!AD11">
      <xdr:nvSpPr>
        <xdr:cNvPr id="79" name="TextBox 78">
          <a:extLst>
            <a:ext uri="{FF2B5EF4-FFF2-40B4-BE49-F238E27FC236}">
              <a16:creationId xmlns:a16="http://schemas.microsoft.com/office/drawing/2014/main" id="{00000000-0008-0000-0200-00004F000000}"/>
            </a:ext>
          </a:extLst>
        </xdr:cNvPr>
        <xdr:cNvSpPr txBox="1"/>
      </xdr:nvSpPr>
      <xdr:spPr>
        <a:xfrm>
          <a:off x="967197" y="6685878"/>
          <a:ext cx="169841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B40A5A14-0B9C-482A-B8FF-46FD2916AA1E}" type="TxLink">
            <a:rPr lang="en-US" sz="1100" b="0" i="0" u="none" strike="noStrike">
              <a:solidFill>
                <a:srgbClr val="000000"/>
              </a:solidFill>
              <a:latin typeface="Calibri"/>
            </a:rPr>
            <a:pPr algn="r"/>
            <a:t>Standard Deviation ($mm)</a:t>
          </a:fld>
          <a:endParaRPr lang="en-US" sz="1200"/>
        </a:p>
      </xdr:txBody>
    </xdr:sp>
    <xdr:clientData/>
  </xdr:oneCellAnchor>
  <xdr:oneCellAnchor>
    <xdr:from>
      <xdr:col>2</xdr:col>
      <xdr:colOff>427706</xdr:colOff>
      <xdr:row>42</xdr:row>
      <xdr:rowOff>86106</xdr:rowOff>
    </xdr:from>
    <xdr:ext cx="739305" cy="264560"/>
    <xdr:sp macro="" textlink="MCSimulation!AD12">
      <xdr:nvSpPr>
        <xdr:cNvPr id="80" name="TextBox 79">
          <a:extLst>
            <a:ext uri="{FF2B5EF4-FFF2-40B4-BE49-F238E27FC236}">
              <a16:creationId xmlns:a16="http://schemas.microsoft.com/office/drawing/2014/main" id="{00000000-0008-0000-0200-000050000000}"/>
            </a:ext>
          </a:extLst>
        </xdr:cNvPr>
        <xdr:cNvSpPr txBox="1"/>
      </xdr:nvSpPr>
      <xdr:spPr>
        <a:xfrm>
          <a:off x="1926306" y="7020306"/>
          <a:ext cx="7393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6C606315-C4B8-4FCD-BBCC-D6EA7728145B}" type="TxLink">
            <a:rPr lang="en-US" sz="1100" b="0" i="0" u="none" strike="noStrike">
              <a:solidFill>
                <a:srgbClr val="000000"/>
              </a:solidFill>
              <a:latin typeface="Calibri"/>
            </a:rPr>
            <a:pPr algn="r"/>
            <a:t>Skewness</a:t>
          </a:fld>
          <a:endParaRPr lang="en-US" sz="1200"/>
        </a:p>
      </xdr:txBody>
    </xdr:sp>
    <xdr:clientData/>
  </xdr:oneCellAnchor>
  <xdr:oneCellAnchor>
    <xdr:from>
      <xdr:col>2</xdr:col>
      <xdr:colOff>521450</xdr:colOff>
      <xdr:row>44</xdr:row>
      <xdr:rowOff>69167</xdr:rowOff>
    </xdr:from>
    <xdr:ext cx="645561" cy="264560"/>
    <xdr:sp macro="" textlink="MCSimulation!AD13">
      <xdr:nvSpPr>
        <xdr:cNvPr id="81" name="TextBox 80">
          <a:extLst>
            <a:ext uri="{FF2B5EF4-FFF2-40B4-BE49-F238E27FC236}">
              <a16:creationId xmlns:a16="http://schemas.microsoft.com/office/drawing/2014/main" id="{00000000-0008-0000-0200-000051000000}"/>
            </a:ext>
          </a:extLst>
        </xdr:cNvPr>
        <xdr:cNvSpPr txBox="1"/>
      </xdr:nvSpPr>
      <xdr:spPr>
        <a:xfrm>
          <a:off x="2020050" y="7333567"/>
          <a:ext cx="64556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4EE52BC7-5C4B-40A6-9D84-F5C4A3170FF1}" type="TxLink">
            <a:rPr lang="en-US" sz="1100" b="0" i="0" u="none" strike="noStrike">
              <a:solidFill>
                <a:srgbClr val="000000"/>
              </a:solidFill>
              <a:latin typeface="Calibri"/>
            </a:rPr>
            <a:pPr algn="r"/>
            <a:t>Kurtosis</a:t>
          </a:fld>
          <a:endParaRPr lang="en-US" sz="1200"/>
        </a:p>
      </xdr:txBody>
    </xdr:sp>
    <xdr:clientData/>
  </xdr:oneCellAnchor>
  <xdr:oneCellAnchor>
    <xdr:from>
      <xdr:col>4</xdr:col>
      <xdr:colOff>175386</xdr:colOff>
      <xdr:row>30</xdr:row>
      <xdr:rowOff>96720</xdr:rowOff>
    </xdr:from>
    <xdr:ext cx="498470" cy="264560"/>
    <xdr:sp macro="" textlink="MCSimulation!AE6">
      <xdr:nvSpPr>
        <xdr:cNvPr id="82" name="TextBox 81">
          <a:extLst>
            <a:ext uri="{FF2B5EF4-FFF2-40B4-BE49-F238E27FC236}">
              <a16:creationId xmlns:a16="http://schemas.microsoft.com/office/drawing/2014/main" id="{00000000-0008-0000-0200-000052000000}"/>
            </a:ext>
          </a:extLst>
        </xdr:cNvPr>
        <xdr:cNvSpPr txBox="1"/>
      </xdr:nvSpPr>
      <xdr:spPr>
        <a:xfrm>
          <a:off x="2918586" y="5125920"/>
          <a:ext cx="4984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C108879F-CC27-4A0A-8B47-D2C6735885FA}" type="TxLink">
            <a:rPr lang="en-US" sz="1100" b="0" i="0" u="none" strike="noStrike">
              <a:solidFill>
                <a:srgbClr val="000000"/>
              </a:solidFill>
              <a:latin typeface="Calibri"/>
            </a:rPr>
            <a:pPr algn="r"/>
            <a:t> 0.08 </a:t>
          </a:fld>
          <a:endParaRPr lang="en-US" sz="1200"/>
        </a:p>
      </xdr:txBody>
    </xdr:sp>
    <xdr:clientData/>
  </xdr:oneCellAnchor>
  <xdr:oneCellAnchor>
    <xdr:from>
      <xdr:col>3</xdr:col>
      <xdr:colOff>463809</xdr:colOff>
      <xdr:row>32</xdr:row>
      <xdr:rowOff>90367</xdr:rowOff>
    </xdr:from>
    <xdr:ext cx="819647" cy="264560"/>
    <xdr:sp macro="" textlink="MCSimulation!AE7">
      <xdr:nvSpPr>
        <xdr:cNvPr id="83" name="TextBox 82">
          <a:extLst>
            <a:ext uri="{FF2B5EF4-FFF2-40B4-BE49-F238E27FC236}">
              <a16:creationId xmlns:a16="http://schemas.microsoft.com/office/drawing/2014/main" id="{00000000-0008-0000-0200-000053000000}"/>
            </a:ext>
          </a:extLst>
        </xdr:cNvPr>
        <xdr:cNvSpPr txBox="1"/>
      </xdr:nvSpPr>
      <xdr:spPr>
        <a:xfrm>
          <a:off x="2597409" y="5454847"/>
          <a:ext cx="81964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25855181-7069-4F30-85E1-67534E5747CC}" type="TxLink">
            <a:rPr lang="en-US" sz="1100" b="0" i="0" u="none" strike="noStrike">
              <a:solidFill>
                <a:srgbClr val="000000"/>
              </a:solidFill>
              <a:latin typeface="Calibri"/>
            </a:rPr>
            <a:pPr algn="r"/>
            <a:t> 24.90 </a:t>
          </a:fld>
          <a:endParaRPr lang="en-US" sz="1200"/>
        </a:p>
      </xdr:txBody>
    </xdr:sp>
    <xdr:clientData/>
  </xdr:oneCellAnchor>
  <xdr:oneCellAnchor>
    <xdr:from>
      <xdr:col>3</xdr:col>
      <xdr:colOff>463808</xdr:colOff>
      <xdr:row>34</xdr:row>
      <xdr:rowOff>73429</xdr:rowOff>
    </xdr:from>
    <xdr:ext cx="819648" cy="264560"/>
    <xdr:sp macro="" textlink="MCSimulation!AE8">
      <xdr:nvSpPr>
        <xdr:cNvPr id="84" name="TextBox 83">
          <a:extLst>
            <a:ext uri="{FF2B5EF4-FFF2-40B4-BE49-F238E27FC236}">
              <a16:creationId xmlns:a16="http://schemas.microsoft.com/office/drawing/2014/main" id="{00000000-0008-0000-0200-000054000000}"/>
            </a:ext>
          </a:extLst>
        </xdr:cNvPr>
        <xdr:cNvSpPr txBox="1"/>
      </xdr:nvSpPr>
      <xdr:spPr>
        <a:xfrm>
          <a:off x="2597408" y="5773189"/>
          <a:ext cx="81964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35A97336-2697-42ED-A796-56B5549B7174}" type="TxLink">
            <a:rPr lang="en-US" sz="1100" b="0" i="0" u="none" strike="noStrike">
              <a:solidFill>
                <a:srgbClr val="000000"/>
              </a:solidFill>
              <a:latin typeface="Calibri"/>
            </a:rPr>
            <a:pPr algn="r"/>
            <a:t> 4.89 </a:t>
          </a:fld>
          <a:endParaRPr lang="en-US" sz="1200"/>
        </a:p>
      </xdr:txBody>
    </xdr:sp>
    <xdr:clientData/>
  </xdr:oneCellAnchor>
  <xdr:oneCellAnchor>
    <xdr:from>
      <xdr:col>3</xdr:col>
      <xdr:colOff>463808</xdr:colOff>
      <xdr:row>36</xdr:row>
      <xdr:rowOff>64956</xdr:rowOff>
    </xdr:from>
    <xdr:ext cx="819648" cy="264560"/>
    <xdr:sp macro="" textlink="MCSimulation!AE9">
      <xdr:nvSpPr>
        <xdr:cNvPr id="85" name="TextBox 84">
          <a:extLst>
            <a:ext uri="{FF2B5EF4-FFF2-40B4-BE49-F238E27FC236}">
              <a16:creationId xmlns:a16="http://schemas.microsoft.com/office/drawing/2014/main" id="{00000000-0008-0000-0200-000055000000}"/>
            </a:ext>
          </a:extLst>
        </xdr:cNvPr>
        <xdr:cNvSpPr txBox="1"/>
      </xdr:nvSpPr>
      <xdr:spPr>
        <a:xfrm>
          <a:off x="2597408" y="6099996"/>
          <a:ext cx="81964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88E58373-4C79-4F29-91D8-4E1676E6CE9A}" type="TxLink">
            <a:rPr lang="en-US" sz="1100" b="0" i="0" u="none" strike="noStrike">
              <a:solidFill>
                <a:srgbClr val="000000"/>
              </a:solidFill>
              <a:latin typeface="Calibri"/>
            </a:rPr>
            <a:pPr algn="r"/>
            <a:t> 3.59 </a:t>
          </a:fld>
          <a:endParaRPr lang="en-US" sz="1200"/>
        </a:p>
      </xdr:txBody>
    </xdr:sp>
    <xdr:clientData/>
  </xdr:oneCellAnchor>
  <xdr:oneCellAnchor>
    <xdr:from>
      <xdr:col>3</xdr:col>
      <xdr:colOff>463808</xdr:colOff>
      <xdr:row>38</xdr:row>
      <xdr:rowOff>81885</xdr:rowOff>
    </xdr:from>
    <xdr:ext cx="819648" cy="264560"/>
    <xdr:sp macro="" textlink="MCSimulation!AE10">
      <xdr:nvSpPr>
        <xdr:cNvPr id="86" name="TextBox 85">
          <a:extLst>
            <a:ext uri="{FF2B5EF4-FFF2-40B4-BE49-F238E27FC236}">
              <a16:creationId xmlns:a16="http://schemas.microsoft.com/office/drawing/2014/main" id="{00000000-0008-0000-0200-000056000000}"/>
            </a:ext>
          </a:extLst>
        </xdr:cNvPr>
        <xdr:cNvSpPr txBox="1"/>
      </xdr:nvSpPr>
      <xdr:spPr>
        <a:xfrm>
          <a:off x="2597408" y="6452205"/>
          <a:ext cx="81964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C0372D56-AE45-428C-89F3-BB45025D81AC}" type="TxLink">
            <a:rPr lang="en-US" sz="1100" b="0" i="0" u="none" strike="noStrike">
              <a:solidFill>
                <a:srgbClr val="000000"/>
              </a:solidFill>
              <a:latin typeface="Calibri"/>
            </a:rPr>
            <a:pPr algn="r"/>
            <a:t> 2.56 </a:t>
          </a:fld>
          <a:endParaRPr lang="en-US" sz="1200"/>
        </a:p>
      </xdr:txBody>
    </xdr:sp>
    <xdr:clientData/>
  </xdr:oneCellAnchor>
  <xdr:oneCellAnchor>
    <xdr:from>
      <xdr:col>3</xdr:col>
      <xdr:colOff>463808</xdr:colOff>
      <xdr:row>40</xdr:row>
      <xdr:rowOff>75530</xdr:rowOff>
    </xdr:from>
    <xdr:ext cx="819648" cy="264560"/>
    <xdr:sp macro="" textlink="MCSimulation!AE11">
      <xdr:nvSpPr>
        <xdr:cNvPr id="87" name="TextBox 86">
          <a:extLst>
            <a:ext uri="{FF2B5EF4-FFF2-40B4-BE49-F238E27FC236}">
              <a16:creationId xmlns:a16="http://schemas.microsoft.com/office/drawing/2014/main" id="{00000000-0008-0000-0200-000057000000}"/>
            </a:ext>
          </a:extLst>
        </xdr:cNvPr>
        <xdr:cNvSpPr txBox="1"/>
      </xdr:nvSpPr>
      <xdr:spPr>
        <a:xfrm>
          <a:off x="2597408" y="6781130"/>
          <a:ext cx="81964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89A84613-06F1-4ABD-880C-4B5FF254636E}" type="TxLink">
            <a:rPr lang="en-US" sz="1100" b="0" i="0" u="none" strike="noStrike">
              <a:solidFill>
                <a:srgbClr val="000000"/>
              </a:solidFill>
              <a:latin typeface="Calibri"/>
            </a:rPr>
            <a:pPr algn="r"/>
            <a:t> 4.70 </a:t>
          </a:fld>
          <a:endParaRPr lang="en-US" sz="1200"/>
        </a:p>
      </xdr:txBody>
    </xdr:sp>
    <xdr:clientData/>
  </xdr:oneCellAnchor>
  <xdr:oneCellAnchor>
    <xdr:from>
      <xdr:col>4</xdr:col>
      <xdr:colOff>175386</xdr:colOff>
      <xdr:row>42</xdr:row>
      <xdr:rowOff>69175</xdr:rowOff>
    </xdr:from>
    <xdr:ext cx="498470" cy="264560"/>
    <xdr:sp macro="" textlink="MCSimulation!AE12">
      <xdr:nvSpPr>
        <xdr:cNvPr id="88" name="TextBox 87">
          <a:extLst>
            <a:ext uri="{FF2B5EF4-FFF2-40B4-BE49-F238E27FC236}">
              <a16:creationId xmlns:a16="http://schemas.microsoft.com/office/drawing/2014/main" id="{00000000-0008-0000-0200-000058000000}"/>
            </a:ext>
          </a:extLst>
        </xdr:cNvPr>
        <xdr:cNvSpPr txBox="1"/>
      </xdr:nvSpPr>
      <xdr:spPr>
        <a:xfrm>
          <a:off x="2893186" y="7003375"/>
          <a:ext cx="4984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A64B1F49-3FF4-4330-94F5-B1D4758285DB}" type="TxLink">
            <a:rPr lang="en-US" sz="1100" b="0" i="0" u="none" strike="noStrike">
              <a:solidFill>
                <a:srgbClr val="000000"/>
              </a:solidFill>
              <a:latin typeface="Calibri"/>
            </a:rPr>
            <a:pPr algn="r"/>
            <a:t> 0.97 </a:t>
          </a:fld>
          <a:endParaRPr lang="en-US" sz="1200"/>
        </a:p>
      </xdr:txBody>
    </xdr:sp>
    <xdr:clientData/>
  </xdr:oneCellAnchor>
  <xdr:oneCellAnchor>
    <xdr:from>
      <xdr:col>4</xdr:col>
      <xdr:colOff>175386</xdr:colOff>
      <xdr:row>44</xdr:row>
      <xdr:rowOff>41654</xdr:rowOff>
    </xdr:from>
    <xdr:ext cx="498470" cy="264560"/>
    <xdr:sp macro="" textlink="MCSimulation!AE13">
      <xdr:nvSpPr>
        <xdr:cNvPr id="89" name="TextBox 88">
          <a:extLst>
            <a:ext uri="{FF2B5EF4-FFF2-40B4-BE49-F238E27FC236}">
              <a16:creationId xmlns:a16="http://schemas.microsoft.com/office/drawing/2014/main" id="{00000000-0008-0000-0200-000059000000}"/>
            </a:ext>
          </a:extLst>
        </xdr:cNvPr>
        <xdr:cNvSpPr txBox="1"/>
      </xdr:nvSpPr>
      <xdr:spPr>
        <a:xfrm>
          <a:off x="2918586" y="7417814"/>
          <a:ext cx="4984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217CAB85-5124-41BE-9ADD-5E1BDC564BCC}" type="TxLink">
            <a:rPr lang="en-US" sz="1100" b="0" i="0" u="none" strike="noStrike">
              <a:solidFill>
                <a:srgbClr val="000000"/>
              </a:solidFill>
              <a:latin typeface="Calibri"/>
            </a:rPr>
            <a:pPr algn="r"/>
            <a:t> 0.30 </a:t>
          </a:fld>
          <a:endParaRPr lang="en-US" sz="1200"/>
        </a:p>
      </xdr:txBody>
    </xdr:sp>
    <xdr:clientData/>
  </xdr:oneCellAnchor>
  <xdr:twoCellAnchor>
    <xdr:from>
      <xdr:col>6</xdr:col>
      <xdr:colOff>177800</xdr:colOff>
      <xdr:row>27</xdr:row>
      <xdr:rowOff>12700</xdr:rowOff>
    </xdr:from>
    <xdr:to>
      <xdr:col>18</xdr:col>
      <xdr:colOff>279400</xdr:colOff>
      <xdr:row>47</xdr:row>
      <xdr:rowOff>50800</xdr:rowOff>
    </xdr:to>
    <xdr:graphicFrame macro="">
      <xdr:nvGraphicFramePr>
        <xdr:cNvPr id="90" name="Chart 89">
          <a:extLst>
            <a:ext uri="{FF2B5EF4-FFF2-40B4-BE49-F238E27FC236}">
              <a16:creationId xmlns:a16="http://schemas.microsoft.com/office/drawing/2014/main" id="{00000000-0008-0000-02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xdr:col>
      <xdr:colOff>746451</xdr:colOff>
      <xdr:row>28</xdr:row>
      <xdr:rowOff>54203</xdr:rowOff>
    </xdr:from>
    <xdr:ext cx="2353080" cy="311496"/>
    <xdr:sp macro="" textlink="MCSimulation!AD5">
      <xdr:nvSpPr>
        <xdr:cNvPr id="91" name="TextBox 90">
          <a:extLst>
            <a:ext uri="{FF2B5EF4-FFF2-40B4-BE49-F238E27FC236}">
              <a16:creationId xmlns:a16="http://schemas.microsoft.com/office/drawing/2014/main" id="{00000000-0008-0000-0200-00005B000000}"/>
            </a:ext>
          </a:extLst>
        </xdr:cNvPr>
        <xdr:cNvSpPr txBox="1"/>
      </xdr:nvSpPr>
      <xdr:spPr>
        <a:xfrm>
          <a:off x="1356051" y="4677003"/>
          <a:ext cx="235308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r"/>
          <a:fld id="{E5A8F12B-496E-498A-B219-4C389871F42A}" type="TxLink">
            <a:rPr lang="en-US" sz="1400" b="0" i="0" u="none" strike="noStrike">
              <a:solidFill>
                <a:srgbClr val="000000"/>
              </a:solidFill>
              <a:latin typeface="Calibri Light" panose="020F0302020204030204" pitchFamily="34" charset="0"/>
            </a:rPr>
            <a:pPr algn="r"/>
            <a:t>Simulation Summary Statistics</a:t>
          </a:fld>
          <a:endParaRPr lang="en-US" sz="1600">
            <a:latin typeface="Calibri Light" panose="020F0302020204030204"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7</xdr:col>
      <xdr:colOff>38100</xdr:colOff>
      <xdr:row>8</xdr:row>
      <xdr:rowOff>142875</xdr:rowOff>
    </xdr:from>
    <xdr:to>
      <xdr:col>13</xdr:col>
      <xdr:colOff>409575</xdr:colOff>
      <xdr:row>23</xdr:row>
      <xdr:rowOff>104775</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38101</xdr:colOff>
      <xdr:row>27</xdr:row>
      <xdr:rowOff>133349</xdr:rowOff>
    </xdr:from>
    <xdr:to>
      <xdr:col>13</xdr:col>
      <xdr:colOff>409575</xdr:colOff>
      <xdr:row>43</xdr:row>
      <xdr:rowOff>38100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36</xdr:col>
      <xdr:colOff>238125</xdr:colOff>
      <xdr:row>2</xdr:row>
      <xdr:rowOff>504825</xdr:rowOff>
    </xdr:from>
    <xdr:to>
      <xdr:col>43</xdr:col>
      <xdr:colOff>542925</xdr:colOff>
      <xdr:row>17</xdr:row>
      <xdr:rowOff>0</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19</xdr:col>
      <xdr:colOff>533400</xdr:colOff>
      <xdr:row>0</xdr:row>
      <xdr:rowOff>47625</xdr:rowOff>
    </xdr:from>
    <xdr:to>
      <xdr:col>28</xdr:col>
      <xdr:colOff>76200</xdr:colOff>
      <xdr:row>20</xdr:row>
      <xdr:rowOff>47625</xdr:rowOff>
    </xdr:to>
    <xdr:graphicFrame macro="">
      <xdr:nvGraphicFramePr>
        <xdr:cNvPr id="1025" name="Chart 1">
          <a:extLst>
            <a:ext uri="{FF2B5EF4-FFF2-40B4-BE49-F238E27FC236}">
              <a16:creationId xmlns:a16="http://schemas.microsoft.com/office/drawing/2014/main" id="{00000000-0008-0000-0800-00000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19</xdr:col>
      <xdr:colOff>533400</xdr:colOff>
      <xdr:row>0</xdr:row>
      <xdr:rowOff>47625</xdr:rowOff>
    </xdr:from>
    <xdr:to>
      <xdr:col>28</xdr:col>
      <xdr:colOff>76200</xdr:colOff>
      <xdr:row>20</xdr:row>
      <xdr:rowOff>47625</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hyperlink" Target="http://www.flu.gov/planning-preparedness/federal/hhspandemicinfluenzaplan.pdf" TargetMode="External"/><Relationship Id="rId2" Type="http://schemas.openxmlformats.org/officeDocument/2006/relationships/hyperlink" Target="http://www.cdc.gov/flu/weekly/nchs.htm" TargetMode="External"/><Relationship Id="rId1" Type="http://schemas.openxmlformats.org/officeDocument/2006/relationships/hyperlink" Target="http://www.cdc.gov/flu/weekly/nchs.htm" TargetMode="External"/><Relationship Id="rId4" Type="http://schemas.openxmlformats.org/officeDocument/2006/relationships/hyperlink" Target="http://www.flu.gov/planning-preparedness/federal/hhspandemicinfluenzaplan.pdf"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www.seas.gwu.edu/~dorpjr/Publications/JournalPapers/EJOR2011.pdf" TargetMode="External"/><Relationship Id="rId1" Type="http://schemas.openxmlformats.org/officeDocument/2006/relationships/hyperlink" Target="https://en.wikipedia.org/wiki/Beta_distribution"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2.bin"/><Relationship Id="rId1" Type="http://schemas.openxmlformats.org/officeDocument/2006/relationships/hyperlink" Target="http://www.cdc.gov/flu/weekly/nchs.htm"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www.cdc.gov/flu/weekly/nchs.htm"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cdc.gov/flu/weekly/nchs.ht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4"/>
  <sheetViews>
    <sheetView workbookViewId="0"/>
  </sheetViews>
  <sheetFormatPr defaultRowHeight="13.2"/>
  <cols>
    <col min="1" max="2" width="36.6640625" customWidth="1"/>
  </cols>
  <sheetData>
    <row r="1" spans="1:3">
      <c r="A1" s="24" t="s">
        <v>47</v>
      </c>
    </row>
    <row r="3" spans="1:3">
      <c r="A3" t="s">
        <v>48</v>
      </c>
      <c r="B3" t="s">
        <v>49</v>
      </c>
      <c r="C3">
        <v>0</v>
      </c>
    </row>
    <row r="4" spans="1:3">
      <c r="A4" t="s">
        <v>50</v>
      </c>
    </row>
    <row r="5" spans="1:3">
      <c r="A5" t="s">
        <v>51</v>
      </c>
    </row>
    <row r="7" spans="1:3">
      <c r="A7" s="24" t="s">
        <v>52</v>
      </c>
      <c r="B7" t="s">
        <v>53</v>
      </c>
    </row>
    <row r="8" spans="1:3">
      <c r="B8">
        <v>2</v>
      </c>
    </row>
    <row r="10" spans="1:3">
      <c r="A10" t="s">
        <v>54</v>
      </c>
    </row>
    <row r="11" spans="1:3">
      <c r="A11" t="e">
        <f>CB_DATA_!#REF!</f>
        <v>#REF!</v>
      </c>
      <c r="B11" t="e">
        <f>#REF!</f>
        <v>#REF!</v>
      </c>
    </row>
    <row r="13" spans="1:3">
      <c r="A13" t="s">
        <v>55</v>
      </c>
    </row>
    <row r="14" spans="1:3">
      <c r="A14" t="s">
        <v>124</v>
      </c>
      <c r="B14" s="25" t="s">
        <v>59</v>
      </c>
    </row>
    <row r="16" spans="1:3">
      <c r="A16" t="s">
        <v>56</v>
      </c>
    </row>
    <row r="17" spans="1:2">
      <c r="B17">
        <v>4</v>
      </c>
    </row>
    <row r="19" spans="1:2">
      <c r="A19" t="s">
        <v>57</v>
      </c>
    </row>
    <row r="20" spans="1:2">
      <c r="A20">
        <v>28</v>
      </c>
      <c r="B20">
        <v>34</v>
      </c>
    </row>
    <row r="25" spans="1:2">
      <c r="A25" s="24" t="s">
        <v>58</v>
      </c>
    </row>
    <row r="26" spans="1:2">
      <c r="A26" s="25" t="s">
        <v>62</v>
      </c>
      <c r="B26" s="25" t="s">
        <v>60</v>
      </c>
    </row>
    <row r="27" spans="1:2">
      <c r="A27" t="s">
        <v>125</v>
      </c>
      <c r="B27" t="s">
        <v>146</v>
      </c>
    </row>
    <row r="28" spans="1:2">
      <c r="A28" s="25" t="s">
        <v>61</v>
      </c>
      <c r="B28" s="25" t="s">
        <v>61</v>
      </c>
    </row>
    <row r="29" spans="1:2">
      <c r="B29" s="25" t="s">
        <v>62</v>
      </c>
    </row>
    <row r="30" spans="1:2">
      <c r="B30" t="s">
        <v>63</v>
      </c>
    </row>
    <row r="31" spans="1:2">
      <c r="B31" s="25" t="s">
        <v>61</v>
      </c>
    </row>
    <row r="32" spans="1:2">
      <c r="B32" s="25" t="s">
        <v>64</v>
      </c>
    </row>
    <row r="33" spans="2:2">
      <c r="B33" t="s">
        <v>65</v>
      </c>
    </row>
    <row r="34" spans="2:2">
      <c r="B34" s="25" t="s">
        <v>66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D116"/>
  <sheetViews>
    <sheetView showGridLines="0" workbookViewId="0">
      <selection activeCell="W17" sqref="W17"/>
    </sheetView>
  </sheetViews>
  <sheetFormatPr defaultRowHeight="13.2"/>
  <sheetData>
    <row r="1" spans="1:1" ht="15.6">
      <c r="A1" s="119" t="s">
        <v>195</v>
      </c>
    </row>
    <row r="39" spans="1:1" ht="15.6">
      <c r="A39" s="119" t="s">
        <v>194</v>
      </c>
    </row>
    <row r="64" spans="1:1">
      <c r="A64" s="24" t="s">
        <v>196</v>
      </c>
    </row>
    <row r="104" spans="1:4">
      <c r="A104" s="24" t="s">
        <v>197</v>
      </c>
    </row>
    <row r="106" spans="1:4">
      <c r="B106" s="24" t="s">
        <v>198</v>
      </c>
      <c r="D106" s="21" t="s">
        <v>199</v>
      </c>
    </row>
    <row r="107" spans="1:4">
      <c r="B107" s="24"/>
    </row>
    <row r="108" spans="1:4">
      <c r="B108" s="24" t="s">
        <v>200</v>
      </c>
      <c r="D108" s="21" t="s">
        <v>201</v>
      </c>
    </row>
    <row r="109" spans="1:4">
      <c r="B109" s="24"/>
    </row>
    <row r="110" spans="1:4">
      <c r="B110" s="24" t="s">
        <v>202</v>
      </c>
      <c r="D110" s="21" t="s">
        <v>203</v>
      </c>
    </row>
    <row r="111" spans="1:4">
      <c r="B111" s="24"/>
    </row>
    <row r="112" spans="1:4">
      <c r="B112" s="24" t="s">
        <v>204</v>
      </c>
      <c r="D112" s="21" t="s">
        <v>205</v>
      </c>
    </row>
    <row r="113" spans="2:4">
      <c r="B113" s="24"/>
    </row>
    <row r="114" spans="2:4">
      <c r="B114" s="24" t="s">
        <v>206</v>
      </c>
      <c r="D114" s="21" t="s">
        <v>207</v>
      </c>
    </row>
    <row r="115" spans="2:4">
      <c r="B115" s="24"/>
    </row>
    <row r="116" spans="2:4">
      <c r="B116" s="24" t="s">
        <v>210</v>
      </c>
      <c r="D116" s="21" t="s">
        <v>211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U25"/>
  <sheetViews>
    <sheetView showGridLines="0" tabSelected="1" zoomScale="60" zoomScaleNormal="60" workbookViewId="0">
      <selection activeCell="AE14" sqref="AE14"/>
    </sheetView>
  </sheetViews>
  <sheetFormatPr defaultRowHeight="13.2"/>
  <cols>
    <col min="2" max="2" width="13.33203125" customWidth="1"/>
    <col min="5" max="5" width="11.5546875" customWidth="1"/>
  </cols>
  <sheetData>
    <row r="25" spans="21:21">
      <c r="U25" s="21" t="s">
        <v>225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Scroll Bar 1">
              <controlPr defaultSize="0" autoPict="0">
                <anchor moveWithCells="1">
                  <from>
                    <xdr:col>4</xdr:col>
                    <xdr:colOff>350520</xdr:colOff>
                    <xdr:row>7</xdr:row>
                    <xdr:rowOff>144780</xdr:rowOff>
                  </from>
                  <to>
                    <xdr:col>6</xdr:col>
                    <xdr:colOff>304800</xdr:colOff>
                    <xdr:row>8</xdr:row>
                    <xdr:rowOff>121920</xdr:rowOff>
                  </to>
                </anchor>
              </controlPr>
            </control>
          </mc:Choice>
        </mc:AlternateContent>
        <mc:AlternateContent xmlns:mc="http://schemas.openxmlformats.org/markup-compatibility/2006">
          <mc:Choice Requires="x14">
            <control shapeId="7170" r:id="rId4" name="Scroll Bar 2">
              <controlPr defaultSize="0" autoPict="0">
                <anchor moveWithCells="1">
                  <from>
                    <xdr:col>4</xdr:col>
                    <xdr:colOff>350520</xdr:colOff>
                    <xdr:row>9</xdr:row>
                    <xdr:rowOff>91440</xdr:rowOff>
                  </from>
                  <to>
                    <xdr:col>6</xdr:col>
                    <xdr:colOff>304800</xdr:colOff>
                    <xdr:row>10</xdr:row>
                    <xdr:rowOff>76200</xdr:rowOff>
                  </to>
                </anchor>
              </controlPr>
            </control>
          </mc:Choice>
        </mc:AlternateContent>
        <mc:AlternateContent xmlns:mc="http://schemas.openxmlformats.org/markup-compatibility/2006">
          <mc:Choice Requires="x14">
            <control shapeId="7171" r:id="rId5" name="Scroll Bar 3">
              <controlPr defaultSize="0" autoPict="0">
                <anchor moveWithCells="1">
                  <from>
                    <xdr:col>4</xdr:col>
                    <xdr:colOff>350520</xdr:colOff>
                    <xdr:row>11</xdr:row>
                    <xdr:rowOff>15240</xdr:rowOff>
                  </from>
                  <to>
                    <xdr:col>6</xdr:col>
                    <xdr:colOff>304800</xdr:colOff>
                    <xdr:row>11</xdr:row>
                    <xdr:rowOff>167640</xdr:rowOff>
                  </to>
                </anchor>
              </controlPr>
            </control>
          </mc:Choice>
        </mc:AlternateContent>
        <mc:AlternateContent xmlns:mc="http://schemas.openxmlformats.org/markup-compatibility/2006">
          <mc:Choice Requires="x14">
            <control shapeId="7172" r:id="rId6" name="Scroll Bar 4">
              <controlPr defaultSize="0" autoPict="0">
                <anchor moveWithCells="1">
                  <from>
                    <xdr:col>4</xdr:col>
                    <xdr:colOff>350520</xdr:colOff>
                    <xdr:row>12</xdr:row>
                    <xdr:rowOff>91440</xdr:rowOff>
                  </from>
                  <to>
                    <xdr:col>6</xdr:col>
                    <xdr:colOff>304800</xdr:colOff>
                    <xdr:row>13</xdr:row>
                    <xdr:rowOff>76200</xdr:rowOff>
                  </to>
                </anchor>
              </controlPr>
            </control>
          </mc:Choice>
        </mc:AlternateContent>
        <mc:AlternateContent xmlns:mc="http://schemas.openxmlformats.org/markup-compatibility/2006">
          <mc:Choice Requires="x14">
            <control shapeId="7173" r:id="rId7" name="Scroll Bar 5">
              <controlPr defaultSize="0" autoPict="0">
                <anchor moveWithCells="1">
                  <from>
                    <xdr:col>4</xdr:col>
                    <xdr:colOff>350520</xdr:colOff>
                    <xdr:row>15</xdr:row>
                    <xdr:rowOff>99060</xdr:rowOff>
                  </from>
                  <to>
                    <xdr:col>6</xdr:col>
                    <xdr:colOff>304800</xdr:colOff>
                    <xdr:row>16</xdr:row>
                    <xdr:rowOff>83820</xdr:rowOff>
                  </to>
                </anchor>
              </controlPr>
            </control>
          </mc:Choice>
        </mc:AlternateContent>
        <mc:AlternateContent xmlns:mc="http://schemas.openxmlformats.org/markup-compatibility/2006">
          <mc:Choice Requires="x14">
            <control shapeId="7174" r:id="rId8" name="Scroll Bar 6">
              <controlPr defaultSize="0" autoPict="0">
                <anchor moveWithCells="1">
                  <from>
                    <xdr:col>4</xdr:col>
                    <xdr:colOff>350520</xdr:colOff>
                    <xdr:row>17</xdr:row>
                    <xdr:rowOff>30480</xdr:rowOff>
                  </from>
                  <to>
                    <xdr:col>6</xdr:col>
                    <xdr:colOff>304800</xdr:colOff>
                    <xdr:row>18</xdr:row>
                    <xdr:rowOff>15240</xdr:rowOff>
                  </to>
                </anchor>
              </controlPr>
            </control>
          </mc:Choice>
        </mc:AlternateContent>
        <mc:AlternateContent xmlns:mc="http://schemas.openxmlformats.org/markup-compatibility/2006">
          <mc:Choice Requires="x14">
            <control shapeId="7175" r:id="rId9" name="Scroll Bar 7">
              <controlPr defaultSize="0" autoPict="0">
                <anchor moveWithCells="1">
                  <from>
                    <xdr:col>4</xdr:col>
                    <xdr:colOff>350520</xdr:colOff>
                    <xdr:row>18</xdr:row>
                    <xdr:rowOff>137160</xdr:rowOff>
                  </from>
                  <to>
                    <xdr:col>6</xdr:col>
                    <xdr:colOff>304800</xdr:colOff>
                    <xdr:row>19</xdr:row>
                    <xdr:rowOff>114300</xdr:rowOff>
                  </to>
                </anchor>
              </controlPr>
            </control>
          </mc:Choice>
        </mc:AlternateContent>
        <mc:AlternateContent xmlns:mc="http://schemas.openxmlformats.org/markup-compatibility/2006">
          <mc:Choice Requires="x14">
            <control shapeId="7176" r:id="rId10" name="Scroll Bar 8">
              <controlPr defaultSize="0" autoPict="0">
                <anchor moveWithCells="1">
                  <from>
                    <xdr:col>4</xdr:col>
                    <xdr:colOff>350520</xdr:colOff>
                    <xdr:row>20</xdr:row>
                    <xdr:rowOff>91440</xdr:rowOff>
                  </from>
                  <to>
                    <xdr:col>6</xdr:col>
                    <xdr:colOff>304800</xdr:colOff>
                    <xdr:row>21</xdr:row>
                    <xdr:rowOff>76200</xdr:rowOff>
                  </to>
                </anchor>
              </controlPr>
            </control>
          </mc:Choice>
        </mc:AlternateContent>
        <mc:AlternateContent xmlns:mc="http://schemas.openxmlformats.org/markup-compatibility/2006">
          <mc:Choice Requires="x14">
            <control shapeId="7177" r:id="rId11" name="Scroll Bar 9">
              <controlPr defaultSize="0" autoPict="0">
                <anchor moveWithCells="1">
                  <from>
                    <xdr:col>4</xdr:col>
                    <xdr:colOff>350520</xdr:colOff>
                    <xdr:row>14</xdr:row>
                    <xdr:rowOff>15240</xdr:rowOff>
                  </from>
                  <to>
                    <xdr:col>6</xdr:col>
                    <xdr:colOff>304800</xdr:colOff>
                    <xdr:row>14</xdr:row>
                    <xdr:rowOff>167640</xdr:rowOff>
                  </to>
                </anchor>
              </controlPr>
            </control>
          </mc:Choice>
        </mc:AlternateContent>
        <mc:AlternateContent xmlns:mc="http://schemas.openxmlformats.org/markup-compatibility/2006">
          <mc:Choice Requires="x14">
            <control shapeId="7180" r:id="rId12" name="Check Box 12">
              <controlPr defaultSize="0" autoFill="0" autoLine="0" autoPict="0">
                <anchor moveWithCells="1">
                  <from>
                    <xdr:col>4</xdr:col>
                    <xdr:colOff>281940</xdr:colOff>
                    <xdr:row>5</xdr:row>
                    <xdr:rowOff>129540</xdr:rowOff>
                  </from>
                  <to>
                    <xdr:col>4</xdr:col>
                    <xdr:colOff>541020</xdr:colOff>
                    <xdr:row>7</xdr:row>
                    <xdr:rowOff>68580</xdr:rowOff>
                  </to>
                </anchor>
              </controlPr>
            </control>
          </mc:Choice>
        </mc:AlternateContent>
        <mc:AlternateContent xmlns:mc="http://schemas.openxmlformats.org/markup-compatibility/2006">
          <mc:Choice Requires="x14">
            <control shapeId="7181" r:id="rId13" name="Scroll Bar 13">
              <controlPr defaultSize="0" autoPict="0">
                <anchor moveWithCells="1">
                  <from>
                    <xdr:col>4</xdr:col>
                    <xdr:colOff>350520</xdr:colOff>
                    <xdr:row>23</xdr:row>
                    <xdr:rowOff>45720</xdr:rowOff>
                  </from>
                  <to>
                    <xdr:col>6</xdr:col>
                    <xdr:colOff>304800</xdr:colOff>
                    <xdr:row>24</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K21"/>
  <sheetViews>
    <sheetView workbookViewId="0">
      <selection activeCell="F10" sqref="F10"/>
    </sheetView>
  </sheetViews>
  <sheetFormatPr defaultRowHeight="13.2"/>
  <cols>
    <col min="2" max="2" width="24" customWidth="1"/>
    <col min="3" max="3" width="11.6640625" customWidth="1"/>
    <col min="4" max="4" width="15.44140625" customWidth="1"/>
    <col min="6" max="6" width="10.33203125" bestFit="1" customWidth="1"/>
    <col min="7" max="7" width="14.6640625" customWidth="1"/>
    <col min="9" max="9" width="77.88671875" customWidth="1"/>
    <col min="10" max="10" width="41.6640625" customWidth="1"/>
    <col min="13" max="13" width="12.44140625" bestFit="1" customWidth="1"/>
  </cols>
  <sheetData>
    <row r="1" spans="1:11" ht="17.399999999999999">
      <c r="A1" s="144" t="s">
        <v>173</v>
      </c>
    </row>
    <row r="2" spans="1:11">
      <c r="A2" s="21"/>
    </row>
    <row r="3" spans="1:11">
      <c r="B3" s="78" t="s">
        <v>132</v>
      </c>
      <c r="C3" s="79" t="s">
        <v>133</v>
      </c>
      <c r="D3" s="79" t="s">
        <v>133</v>
      </c>
      <c r="E3" s="78" t="s">
        <v>132</v>
      </c>
      <c r="F3" s="78" t="s">
        <v>132</v>
      </c>
      <c r="G3" s="79" t="s">
        <v>133</v>
      </c>
    </row>
    <row r="4" spans="1:11">
      <c r="I4" s="72" t="s">
        <v>154</v>
      </c>
      <c r="J4" s="72" t="s">
        <v>162</v>
      </c>
      <c r="K4" s="72" t="s">
        <v>224</v>
      </c>
    </row>
    <row r="5" spans="1:11">
      <c r="B5" s="31" t="s">
        <v>73</v>
      </c>
      <c r="C5" s="31" t="s">
        <v>67</v>
      </c>
      <c r="D5" s="31" t="s">
        <v>74</v>
      </c>
      <c r="E5" s="31" t="s">
        <v>68</v>
      </c>
      <c r="F5" s="31" t="s">
        <v>69</v>
      </c>
      <c r="G5" s="31" t="s">
        <v>72</v>
      </c>
      <c r="I5" s="92" t="s">
        <v>134</v>
      </c>
      <c r="J5" s="92" t="s">
        <v>170</v>
      </c>
    </row>
    <row r="6" spans="1:11">
      <c r="B6" s="72" t="s">
        <v>42</v>
      </c>
      <c r="C6" s="2">
        <v>100</v>
      </c>
      <c r="D6" s="75">
        <f>E6+C6*(F6-E6)/100</f>
        <v>6000</v>
      </c>
      <c r="E6" s="7">
        <v>100</v>
      </c>
      <c r="F6" s="7">
        <f>IF(D15=0,3900000,F16)</f>
        <v>6000</v>
      </c>
      <c r="G6" s="2" t="str">
        <f>TEXT(D6,"#,###")</f>
        <v>6,000</v>
      </c>
      <c r="I6" s="21" t="s">
        <v>157</v>
      </c>
      <c r="J6" s="21" t="s">
        <v>163</v>
      </c>
    </row>
    <row r="7" spans="1:11">
      <c r="B7" s="72" t="s">
        <v>80</v>
      </c>
      <c r="C7" s="2">
        <v>65</v>
      </c>
      <c r="D7" s="76">
        <f>E7+C7*(F7-E7)/100</f>
        <v>0.29749999999999999</v>
      </c>
      <c r="E7" s="71">
        <v>0.2</v>
      </c>
      <c r="F7" s="71">
        <v>0.35</v>
      </c>
      <c r="G7" s="2" t="str">
        <f>TEXT(D7,"##0%")</f>
        <v>30%</v>
      </c>
      <c r="I7" s="21" t="s">
        <v>149</v>
      </c>
      <c r="J7" s="21" t="s">
        <v>164</v>
      </c>
      <c r="K7" s="18" t="s">
        <v>223</v>
      </c>
    </row>
    <row r="8" spans="1:11">
      <c r="B8" s="72" t="s">
        <v>45</v>
      </c>
      <c r="C8" s="2">
        <v>20</v>
      </c>
      <c r="D8" s="77">
        <f t="shared" ref="D8:D9" si="0">E8+C8*(F8-E8)/100</f>
        <v>1.1360000000000001</v>
      </c>
      <c r="E8" s="72">
        <f>6.44/7</f>
        <v>0.92</v>
      </c>
      <c r="F8" s="73">
        <v>2</v>
      </c>
      <c r="G8" s="2" t="str">
        <f>TEXT(D8,"##0.##")&amp;" per day"</f>
        <v>1.14 per day</v>
      </c>
      <c r="I8" s="21" t="s">
        <v>147</v>
      </c>
      <c r="J8" s="21" t="s">
        <v>166</v>
      </c>
      <c r="K8" s="18" t="s">
        <v>25</v>
      </c>
    </row>
    <row r="9" spans="1:11">
      <c r="B9" s="72" t="s">
        <v>46</v>
      </c>
      <c r="C9" s="2">
        <v>45</v>
      </c>
      <c r="D9" s="76">
        <f t="shared" si="0"/>
        <v>0.32685714285714285</v>
      </c>
      <c r="E9" s="71">
        <f>2.09/7</f>
        <v>0.29857142857142854</v>
      </c>
      <c r="F9" s="74">
        <f>2.53/7</f>
        <v>0.36142857142857138</v>
      </c>
      <c r="G9" s="2" t="str">
        <f>TEXT(D9,"##0.##")&amp;" per day"</f>
        <v>0.33 per day</v>
      </c>
      <c r="I9" s="21" t="s">
        <v>148</v>
      </c>
      <c r="J9" s="21" t="s">
        <v>166</v>
      </c>
      <c r="K9" s="18" t="s">
        <v>25</v>
      </c>
    </row>
    <row r="10" spans="1:11">
      <c r="B10" s="72" t="s">
        <v>71</v>
      </c>
      <c r="C10" s="2">
        <v>100</v>
      </c>
      <c r="D10" s="75">
        <f>E10+C10*(F10-E10)/100</f>
        <v>100</v>
      </c>
      <c r="E10" s="7">
        <v>25</v>
      </c>
      <c r="F10" s="7">
        <v>100</v>
      </c>
      <c r="G10" s="2" t="str">
        <f>TEXT(D10,"$#,###")&amp;" per day"</f>
        <v>$100 per day</v>
      </c>
      <c r="I10" s="21" t="s">
        <v>158</v>
      </c>
      <c r="J10" s="21" t="s">
        <v>163</v>
      </c>
    </row>
    <row r="11" spans="1:11">
      <c r="B11" s="72" t="s">
        <v>144</v>
      </c>
      <c r="C11" s="2">
        <v>39</v>
      </c>
      <c r="D11" s="75">
        <f>E11+C11*(F11-E11)/100</f>
        <v>5911</v>
      </c>
      <c r="E11" s="7">
        <v>100</v>
      </c>
      <c r="F11" s="7">
        <v>15000</v>
      </c>
      <c r="G11" s="2" t="str">
        <f>TEXT(D11,"$#,###")&amp;" per day"</f>
        <v>$5,911 per day</v>
      </c>
      <c r="I11" s="21" t="s">
        <v>159</v>
      </c>
      <c r="J11" s="21" t="s">
        <v>163</v>
      </c>
    </row>
    <row r="12" spans="1:11">
      <c r="B12" s="72" t="s">
        <v>145</v>
      </c>
      <c r="C12" s="2">
        <v>31</v>
      </c>
      <c r="D12" s="75">
        <f>E12+C12*(F12-E12)/100</f>
        <v>379</v>
      </c>
      <c r="E12" s="7">
        <v>100</v>
      </c>
      <c r="F12" s="7">
        <v>1000</v>
      </c>
      <c r="G12" s="2" t="str">
        <f>TEXT(D12,"$#,###")&amp;" per day"</f>
        <v>$379 per day</v>
      </c>
      <c r="I12" s="21" t="s">
        <v>158</v>
      </c>
      <c r="J12" s="21" t="s">
        <v>163</v>
      </c>
    </row>
    <row r="13" spans="1:11">
      <c r="B13" s="72" t="s">
        <v>83</v>
      </c>
      <c r="C13" s="2">
        <v>79</v>
      </c>
      <c r="D13" s="76">
        <f>E13+C13*(F13-E13)/100</f>
        <v>0.79</v>
      </c>
      <c r="E13" s="71">
        <v>0</v>
      </c>
      <c r="F13" s="71">
        <v>1</v>
      </c>
      <c r="G13" s="2" t="str">
        <f>TEXT(D13,"##0%")</f>
        <v>79%</v>
      </c>
      <c r="I13" s="21" t="s">
        <v>150</v>
      </c>
      <c r="J13" s="21" t="s">
        <v>167</v>
      </c>
      <c r="K13" s="18" t="s">
        <v>223</v>
      </c>
    </row>
    <row r="14" spans="1:11">
      <c r="B14" s="72" t="s">
        <v>70</v>
      </c>
      <c r="C14" s="2">
        <v>100</v>
      </c>
      <c r="D14" s="77">
        <f t="shared" ref="D14" si="1">E14+C14*(F14-E14)/100</f>
        <v>2000</v>
      </c>
      <c r="E14" s="73">
        <v>100</v>
      </c>
      <c r="F14" s="73">
        <v>2000</v>
      </c>
      <c r="G14" s="2" t="str">
        <f>TEXT(D14,"$#,###")&amp;" per day"</f>
        <v>$2,000 per day</v>
      </c>
      <c r="I14" s="21" t="s">
        <v>160</v>
      </c>
      <c r="J14" s="21" t="s">
        <v>163</v>
      </c>
    </row>
    <row r="15" spans="1:11">
      <c r="B15" s="72" t="s">
        <v>85</v>
      </c>
      <c r="C15" s="2" t="b">
        <v>1</v>
      </c>
      <c r="D15" s="75">
        <f>IF(C15=TRUE,1,0)</f>
        <v>1</v>
      </c>
      <c r="E15" s="75">
        <f t="shared" ref="E15:F15" si="2">IF(D15=TRUE,1,0)</f>
        <v>0</v>
      </c>
      <c r="F15" s="75">
        <f t="shared" si="2"/>
        <v>0</v>
      </c>
      <c r="G15" s="2" t="str">
        <f>IF(C15=TRUE,"ON","OFF")</f>
        <v>ON</v>
      </c>
      <c r="I15" s="21" t="s">
        <v>155</v>
      </c>
      <c r="J15" s="21" t="s">
        <v>165</v>
      </c>
    </row>
    <row r="16" spans="1:11">
      <c r="B16" s="72" t="s">
        <v>82</v>
      </c>
      <c r="C16" s="2">
        <f>C6</f>
        <v>100</v>
      </c>
      <c r="D16" s="75">
        <f>E16+C16*(F16-E16)/100</f>
        <v>6000</v>
      </c>
      <c r="E16" s="7">
        <v>100</v>
      </c>
      <c r="F16" s="7">
        <v>6000</v>
      </c>
      <c r="G16" s="2" t="str">
        <f>TEXT(D16,"#,###")</f>
        <v>6,000</v>
      </c>
      <c r="I16" s="21" t="s">
        <v>161</v>
      </c>
      <c r="J16" s="21" t="s">
        <v>163</v>
      </c>
    </row>
    <row r="17" spans="2:10">
      <c r="B17" s="72" t="s">
        <v>37</v>
      </c>
      <c r="C17" s="2">
        <v>100</v>
      </c>
      <c r="D17" s="76">
        <f>E17+C17*(F17-E17)/100</f>
        <v>0.5</v>
      </c>
      <c r="E17" s="71">
        <v>0</v>
      </c>
      <c r="F17" s="71">
        <v>0.5</v>
      </c>
      <c r="G17" s="2" t="str">
        <f>TEXT(D17,"##0%")</f>
        <v>50%</v>
      </c>
      <c r="I17" s="21" t="s">
        <v>151</v>
      </c>
      <c r="J17" s="21" t="s">
        <v>165</v>
      </c>
    </row>
    <row r="18" spans="2:10">
      <c r="B18" s="72" t="s">
        <v>126</v>
      </c>
      <c r="C18" s="2" t="b">
        <v>0</v>
      </c>
      <c r="D18" s="2"/>
      <c r="E18" s="75">
        <f t="shared" ref="E18:F18" si="3">IF(D18=TRUE,1,0)</f>
        <v>0</v>
      </c>
      <c r="F18" s="75">
        <f t="shared" si="3"/>
        <v>0</v>
      </c>
      <c r="G18" s="2" t="str">
        <f>IF(C18=TRUE,"Daily","Weekly")</f>
        <v>Weekly</v>
      </c>
      <c r="I18" s="21" t="s">
        <v>156</v>
      </c>
      <c r="J18" s="21" t="s">
        <v>168</v>
      </c>
    </row>
    <row r="19" spans="2:10">
      <c r="B19" s="72" t="s">
        <v>36</v>
      </c>
      <c r="C19" s="2"/>
      <c r="D19" s="147">
        <f>MCSimulation!AE9*1000000</f>
        <v>3590969.2329879068</v>
      </c>
      <c r="E19" s="7"/>
      <c r="F19" s="7"/>
      <c r="G19" s="2" t="str">
        <f>TEXT(D19,"$#,###")&amp;" "</f>
        <v xml:space="preserve">$3,590,969 </v>
      </c>
      <c r="I19" s="21" t="s">
        <v>174</v>
      </c>
      <c r="J19" s="21" t="s">
        <v>169</v>
      </c>
    </row>
    <row r="20" spans="2:10">
      <c r="B20" s="72" t="s">
        <v>128</v>
      </c>
      <c r="C20" s="2"/>
      <c r="D20" s="147">
        <f>D17*D19</f>
        <v>1795484.6164939534</v>
      </c>
      <c r="E20" s="7"/>
      <c r="F20" s="7"/>
      <c r="G20" s="2" t="str">
        <f>TEXT(D20,"$#,###")&amp;" "</f>
        <v xml:space="preserve">$1,795,485 </v>
      </c>
      <c r="I20" s="21" t="s">
        <v>152</v>
      </c>
      <c r="J20" s="21" t="s">
        <v>169</v>
      </c>
    </row>
    <row r="21" spans="2:10">
      <c r="B21" s="72" t="s">
        <v>143</v>
      </c>
      <c r="I21" s="21" t="s">
        <v>153</v>
      </c>
      <c r="J21" s="21" t="s">
        <v>165</v>
      </c>
    </row>
  </sheetData>
  <hyperlinks>
    <hyperlink ref="K8" r:id="rId1" xr:uid="{00000000-0004-0000-0300-000000000000}"/>
    <hyperlink ref="K9" r:id="rId2" xr:uid="{00000000-0004-0000-0300-000001000000}"/>
    <hyperlink ref="K7" r:id="rId3" xr:uid="{00000000-0004-0000-0300-000002000000}"/>
    <hyperlink ref="K13" r:id="rId4" xr:uid="{00000000-0004-0000-0300-000003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B2:F38"/>
  <sheetViews>
    <sheetView showGridLines="0" zoomScale="80" zoomScaleNormal="80" workbookViewId="0">
      <selection activeCell="U2" sqref="U2"/>
    </sheetView>
  </sheetViews>
  <sheetFormatPr defaultRowHeight="13.2"/>
  <cols>
    <col min="2" max="2" width="21.109375" customWidth="1"/>
    <col min="3" max="4" width="12" customWidth="1"/>
    <col min="5" max="5" width="13.44140625" customWidth="1"/>
  </cols>
  <sheetData>
    <row r="2" spans="2:6">
      <c r="B2" s="90" t="s">
        <v>140</v>
      </c>
    </row>
    <row r="4" spans="2:6">
      <c r="B4" s="80" t="s">
        <v>12</v>
      </c>
      <c r="C4" s="81" t="s">
        <v>95</v>
      </c>
      <c r="D4" s="53"/>
      <c r="E4" s="53"/>
      <c r="F4" s="38"/>
    </row>
    <row r="5" spans="2:6">
      <c r="B5" s="82" t="s">
        <v>32</v>
      </c>
      <c r="C5" s="83" t="s">
        <v>96</v>
      </c>
      <c r="D5" s="84"/>
      <c r="E5" s="84"/>
      <c r="F5" s="85"/>
    </row>
    <row r="6" spans="2:6">
      <c r="B6" s="86" t="s">
        <v>75</v>
      </c>
      <c r="C6" s="55" t="s">
        <v>137</v>
      </c>
      <c r="D6" s="87"/>
      <c r="E6" s="88"/>
      <c r="F6" s="40"/>
    </row>
    <row r="8" spans="2:6">
      <c r="B8" s="90" t="s">
        <v>138</v>
      </c>
    </row>
    <row r="10" spans="2:6">
      <c r="B10" s="37" t="str">
        <f>'2004US'!O1</f>
        <v>N</v>
      </c>
      <c r="C10" s="56">
        <f>'2004US'!P1</f>
        <v>157756</v>
      </c>
      <c r="D10" s="52" t="str">
        <f>'2004US'!Q1</f>
        <v>Population</v>
      </c>
      <c r="E10" s="48" t="str">
        <f>'2004US'!R1</f>
        <v>I0</v>
      </c>
      <c r="F10" s="48">
        <f>'2004US'!S1</f>
        <v>3</v>
      </c>
    </row>
    <row r="11" spans="2:6">
      <c r="B11" s="39" t="str">
        <f>'2004US'!O2</f>
        <v>S0</v>
      </c>
      <c r="C11" s="57">
        <f>'2004US'!P2</f>
        <v>63101.200000000004</v>
      </c>
      <c r="D11" s="54" t="str">
        <f>'2004US'!Q2</f>
        <v>Susceptibles</v>
      </c>
      <c r="E11" s="43" t="str">
        <f>'2004US'!R2</f>
        <v>Attack Rate</v>
      </c>
      <c r="F11" s="58">
        <f>'2004US'!S2</f>
        <v>0.4</v>
      </c>
    </row>
    <row r="12" spans="2:6">
      <c r="B12" s="41" t="str">
        <f>'2004US'!O3</f>
        <v>parameter</v>
      </c>
      <c r="C12" s="41" t="str">
        <f>'2004US'!P3</f>
        <v>value</v>
      </c>
      <c r="D12" s="41" t="str">
        <f>'2004US'!Q3</f>
        <v>se</v>
      </c>
      <c r="E12" s="41" t="str">
        <f>'2004US'!R3</f>
        <v>t-stat</v>
      </c>
      <c r="F12" s="45" t="str">
        <f>'2004US'!S3</f>
        <v>p-value</v>
      </c>
    </row>
    <row r="13" spans="2:6">
      <c r="B13" s="46" t="str">
        <f>'2004US'!O4</f>
        <v>beta</v>
      </c>
      <c r="C13" s="59">
        <f>'2004US'!P4</f>
        <v>6.4445027526905792</v>
      </c>
      <c r="D13" s="60">
        <f>'2004US'!Q4</f>
        <v>3.3838357335532194</v>
      </c>
      <c r="E13" s="60">
        <f>'2004US'!R4</f>
        <v>1.9044963349693946</v>
      </c>
      <c r="F13" s="60">
        <f>'2004US'!S4</f>
        <v>3.1488093470816714E-2</v>
      </c>
    </row>
    <row r="14" spans="2:6">
      <c r="B14" s="47" t="str">
        <f>'2004US'!O5</f>
        <v>gamma</v>
      </c>
      <c r="C14" s="61">
        <f>'2004US'!P5</f>
        <v>2.098580958074467</v>
      </c>
      <c r="D14" s="62">
        <f>'2004US'!Q5</f>
        <v>1.1017002624735868</v>
      </c>
      <c r="E14" s="62">
        <f>'2004US'!R5</f>
        <v>1.9048565472451091</v>
      </c>
      <c r="F14" s="62">
        <f>'2004US'!S5</f>
        <v>3.1464095666642322E-2</v>
      </c>
    </row>
    <row r="15" spans="2:6">
      <c r="B15" s="41" t="str">
        <f>'2004US'!O6</f>
        <v>SE_Resid</v>
      </c>
      <c r="C15" s="49">
        <f>'2004US'!P6</f>
        <v>15.457790378329443</v>
      </c>
      <c r="E15" s="41" t="str">
        <f>'2004US'!R6</f>
        <v>F-stat</v>
      </c>
      <c r="F15" s="41" t="str">
        <f>'2004US'!S6</f>
        <v>p-value</v>
      </c>
    </row>
    <row r="16" spans="2:6">
      <c r="B16" s="41" t="str">
        <f>'2004US'!O7</f>
        <v>Degrees of Freedom</v>
      </c>
      <c r="C16" s="44">
        <f>'2004US'!P7</f>
        <v>47</v>
      </c>
      <c r="E16" s="89">
        <f>'2004US'!R7</f>
        <v>2595.4320531364974</v>
      </c>
      <c r="F16" s="66">
        <f>'2004US'!S7</f>
        <v>0</v>
      </c>
    </row>
    <row r="17" spans="2:6">
      <c r="B17" s="41" t="str">
        <f>'2004US'!O8</f>
        <v>Probability</v>
      </c>
      <c r="C17" s="50">
        <f>'2004US'!P8</f>
        <v>0.05</v>
      </c>
    </row>
    <row r="18" spans="2:6">
      <c r="B18" s="41" t="str">
        <f>'2004US'!O9</f>
        <v>ConfidenceInterval</v>
      </c>
      <c r="C18" s="66">
        <f>'2004US'!P9</f>
        <v>31.09706315682752</v>
      </c>
      <c r="D18" s="1"/>
    </row>
    <row r="19" spans="2:6">
      <c r="B19" s="41" t="str">
        <f>'2004US'!O10</f>
        <v>RSQ</v>
      </c>
      <c r="C19" s="51">
        <f>'2004US'!P10</f>
        <v>0.98221335532763754</v>
      </c>
      <c r="D19" s="1"/>
    </row>
    <row r="27" spans="2:6">
      <c r="B27" s="90" t="s">
        <v>139</v>
      </c>
    </row>
    <row r="29" spans="2:6">
      <c r="B29" s="37" t="str">
        <f>'2013US'!O1</f>
        <v>N</v>
      </c>
      <c r="C29" s="56">
        <f>'2013US'!P1</f>
        <v>14286</v>
      </c>
      <c r="D29" s="52" t="str">
        <f>'2013US'!Q1</f>
        <v>Population</v>
      </c>
      <c r="E29" s="48" t="str">
        <f>'2013US'!R1</f>
        <v>I0</v>
      </c>
      <c r="F29" s="48">
        <f>'2013US'!S1</f>
        <v>3</v>
      </c>
    </row>
    <row r="30" spans="2:6">
      <c r="B30" s="39" t="str">
        <f>'2013US'!O2</f>
        <v>S0</v>
      </c>
      <c r="C30" s="57">
        <f>'2013US'!P2</f>
        <v>4999.0499999999993</v>
      </c>
      <c r="D30" s="54" t="str">
        <f>'2013US'!Q2</f>
        <v>Susceptibles</v>
      </c>
      <c r="E30" s="43" t="str">
        <f>'2013US'!R2</f>
        <v>Attack Rate</v>
      </c>
      <c r="F30" s="58">
        <f>'2013US'!S2</f>
        <v>0.35</v>
      </c>
    </row>
    <row r="31" spans="2:6">
      <c r="B31" s="41" t="str">
        <f>'2013US'!O3</f>
        <v>parameter</v>
      </c>
      <c r="C31" s="41" t="str">
        <f>'2013US'!P3</f>
        <v>value</v>
      </c>
      <c r="D31" s="41" t="str">
        <f>'2013US'!Q3</f>
        <v>se</v>
      </c>
      <c r="E31" s="41" t="str">
        <f>'2013US'!R3</f>
        <v>t-stat</v>
      </c>
      <c r="F31" s="45" t="str">
        <f>'2013US'!S3</f>
        <v>p-value</v>
      </c>
    </row>
    <row r="32" spans="2:6">
      <c r="B32" s="46" t="str">
        <f>'2013US'!O4</f>
        <v>beta</v>
      </c>
      <c r="C32" s="59">
        <f>'2013US'!P4</f>
        <v>9.3161616408662162</v>
      </c>
      <c r="D32" s="60">
        <f>'2013US'!Q4</f>
        <v>3.5255054541293389</v>
      </c>
      <c r="E32" s="60">
        <f>'2013US'!R4</f>
        <v>2.6425038230913591</v>
      </c>
      <c r="F32" s="60">
        <f>'2013US'!S4</f>
        <v>5.5717912283372861E-3</v>
      </c>
    </row>
    <row r="33" spans="2:6">
      <c r="B33" s="47" t="str">
        <f>'2013US'!O5</f>
        <v>gamma</v>
      </c>
      <c r="C33" s="61">
        <f>'2013US'!P5</f>
        <v>2.5299128037696756</v>
      </c>
      <c r="D33" s="62">
        <f>'2013US'!Q5</f>
        <v>0.94629524500176365</v>
      </c>
      <c r="E33" s="62">
        <f>'2013US'!R5</f>
        <v>2.6734920386976695</v>
      </c>
      <c r="F33" s="62">
        <f>'2013US'!S5</f>
        <v>5.1449653209854063E-3</v>
      </c>
    </row>
    <row r="34" spans="2:6">
      <c r="B34" s="41" t="str">
        <f>'2013US'!O6</f>
        <v>SE_Resid</v>
      </c>
      <c r="C34" s="49">
        <f>'2013US'!P6</f>
        <v>12.536645669981288</v>
      </c>
      <c r="E34" s="41" t="str">
        <f>'2013US'!R6</f>
        <v>F-stat</v>
      </c>
      <c r="F34" s="41" t="str">
        <f>'2013US'!S6</f>
        <v>p-value</v>
      </c>
    </row>
    <row r="35" spans="2:6">
      <c r="B35" s="41" t="str">
        <f>'2013US'!O7</f>
        <v>Degrees of Freedom</v>
      </c>
      <c r="C35" s="44">
        <f>'2013US'!P7</f>
        <v>47</v>
      </c>
      <c r="E35" s="89">
        <f>'2013US'!R7</f>
        <v>568.35628830929397</v>
      </c>
      <c r="F35" s="66">
        <f>'2013US'!S7</f>
        <v>0</v>
      </c>
    </row>
    <row r="36" spans="2:6">
      <c r="B36" s="41" t="str">
        <f>'2013US'!O8</f>
        <v>Probability</v>
      </c>
      <c r="C36" s="50">
        <f>'2013US'!P8</f>
        <v>0.05</v>
      </c>
    </row>
    <row r="37" spans="2:6">
      <c r="B37" s="41" t="str">
        <f>'2013US'!O9</f>
        <v>ConfidenceInterval</v>
      </c>
      <c r="C37" s="66">
        <f>'2013US'!P9</f>
        <v>25.220478000576215</v>
      </c>
      <c r="D37" s="1"/>
    </row>
    <row r="38" spans="2:6">
      <c r="B38" s="41" t="str">
        <f>'2013US'!O10</f>
        <v>RSQ</v>
      </c>
      <c r="C38" s="51">
        <f>'2013US'!P10</f>
        <v>0.92362148418254797</v>
      </c>
      <c r="D38" s="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Q47"/>
  <sheetViews>
    <sheetView workbookViewId="0">
      <selection activeCell="P9" sqref="P9"/>
    </sheetView>
  </sheetViews>
  <sheetFormatPr defaultRowHeight="13.2"/>
  <cols>
    <col min="2" max="2" width="10.33203125" bestFit="1" customWidth="1"/>
    <col min="4" max="4" width="12.88671875" bestFit="1" customWidth="1"/>
    <col min="5" max="5" width="3" customWidth="1"/>
    <col min="6" max="6" width="12.33203125" bestFit="1" customWidth="1"/>
    <col min="7" max="7" width="15" bestFit="1" customWidth="1"/>
    <col min="8" max="8" width="14" bestFit="1" customWidth="1"/>
    <col min="9" max="9" width="19.88671875" customWidth="1"/>
    <col min="11" max="11" width="24.44140625" customWidth="1"/>
    <col min="16" max="16" width="16" customWidth="1"/>
  </cols>
  <sheetData>
    <row r="1" spans="1:17">
      <c r="F1" s="14" t="s">
        <v>84</v>
      </c>
      <c r="G1" s="3">
        <f>ASSUMPTIONS!D13</f>
        <v>0.79</v>
      </c>
      <c r="H1" s="14" t="s">
        <v>127</v>
      </c>
      <c r="I1" s="36">
        <f>ASSUMPTIONS!D14*5</f>
        <v>10000</v>
      </c>
      <c r="K1" s="21" t="s">
        <v>135</v>
      </c>
    </row>
    <row r="2" spans="1:17">
      <c r="F2" s="26">
        <f>ASSUMPTIONS!D10*3</f>
        <v>300</v>
      </c>
      <c r="G2" s="26">
        <f>ASSUMPTIONS!D11*7</f>
        <v>41377</v>
      </c>
      <c r="H2" s="26">
        <f>ASSUMPTIONS!D12*7</f>
        <v>2653</v>
      </c>
      <c r="I2" s="34">
        <f>I47</f>
        <v>1617524.5583371941</v>
      </c>
    </row>
    <row r="3" spans="1:17">
      <c r="A3" s="13" t="s">
        <v>136</v>
      </c>
      <c r="B3" s="13" t="s">
        <v>9</v>
      </c>
      <c r="C3" s="13" t="s">
        <v>10</v>
      </c>
      <c r="D3" s="14" t="s">
        <v>14</v>
      </c>
      <c r="F3" s="14" t="s">
        <v>129</v>
      </c>
      <c r="G3" s="14" t="s">
        <v>130</v>
      </c>
      <c r="H3" s="14" t="s">
        <v>131</v>
      </c>
      <c r="I3" s="14" t="s">
        <v>38</v>
      </c>
      <c r="K3" s="14" t="s">
        <v>40</v>
      </c>
      <c r="L3" s="14" t="s">
        <v>116</v>
      </c>
      <c r="M3" s="14" t="s">
        <v>117</v>
      </c>
      <c r="N3" s="14" t="s">
        <v>118</v>
      </c>
      <c r="O3" s="14" t="s">
        <v>119</v>
      </c>
      <c r="P3" s="14" t="s">
        <v>122</v>
      </c>
      <c r="Q3" s="14" t="s">
        <v>123</v>
      </c>
    </row>
    <row r="4" spans="1:17">
      <c r="A4">
        <v>1</v>
      </c>
      <c r="B4" s="4">
        <f>ASSUMPTIONS!$D$6*ASSUMPTIONS!$D$7</f>
        <v>1785</v>
      </c>
      <c r="C4" s="4">
        <v>3</v>
      </c>
      <c r="D4" s="4">
        <v>0</v>
      </c>
      <c r="F4" s="34">
        <v>0</v>
      </c>
      <c r="G4" s="4">
        <f>C4*($G$2*(1-$G$1)+$F$2*$G$1+(ASSUMPTIONS!$D$15=1)*$I$1)</f>
        <v>56778.509999999995</v>
      </c>
      <c r="H4">
        <v>0</v>
      </c>
      <c r="I4" s="34">
        <f>F4+G4</f>
        <v>56778.509999999995</v>
      </c>
      <c r="K4" t="str">
        <f>ASSUMPTIONS!B7</f>
        <v>Attack Rate</v>
      </c>
      <c r="L4" s="3">
        <f>ASSUMPTIONS!E7</f>
        <v>0.2</v>
      </c>
      <c r="M4" s="3">
        <f>ASSUMPTIONS!D7</f>
        <v>0.29749999999999999</v>
      </c>
      <c r="N4" s="3">
        <f>ASSUMPTIONS!F7</f>
        <v>0.35</v>
      </c>
      <c r="O4" s="21" t="s">
        <v>120</v>
      </c>
      <c r="P4" s="3">
        <f>ASSUMPTIONS!D7</f>
        <v>0.29749999999999999</v>
      </c>
    </row>
    <row r="5" spans="1:17">
      <c r="A5">
        <f>A4+1</f>
        <v>2</v>
      </c>
      <c r="B5" s="4">
        <f>B4-(ASSUMPTIONS!$D$8*7/ASSUMPTIONS!$D$6)*B4*C4</f>
        <v>1777.90284</v>
      </c>
      <c r="C5" s="4">
        <f>(1-ASSUMPTIONS!$D$9*7)*C4+(ASSUMPTIONS!$D$8*7/ASSUMPTIONS!$D$6)*B4*C4</f>
        <v>3.233160000000002</v>
      </c>
      <c r="D5" s="6">
        <f>D4+ASSUMPTIONS!$D$9*Simulation!C4</f>
        <v>0.98057142857142854</v>
      </c>
      <c r="F5" s="34">
        <f>MAX((B4-B5)*$F$2,0)</f>
        <v>2129.1480000000092</v>
      </c>
      <c r="G5" s="4">
        <f>C5*($G$2*(1-$G$1)+$F$2*$G$1+(ASSUMPTIONS!$D$15=1)*$I$1)</f>
        <v>61191.33579720003</v>
      </c>
      <c r="H5" s="4">
        <f>MAX(0,(D5-D4)*$H$2)</f>
        <v>2601.4560000000001</v>
      </c>
      <c r="I5" s="35">
        <f>I4+G5+F5+H5</f>
        <v>122700.44979720004</v>
      </c>
      <c r="K5" t="str">
        <f>ASSUMPTIONS!B8</f>
        <v>Infective Transmission Rate</v>
      </c>
      <c r="L5" s="3">
        <f>ASSUMPTIONS!E8</f>
        <v>0.92</v>
      </c>
      <c r="M5" s="3">
        <f>ASSUMPTIONS!D8</f>
        <v>1.1360000000000001</v>
      </c>
      <c r="N5" s="3">
        <f>ASSUMPTIONS!F8</f>
        <v>2</v>
      </c>
      <c r="O5" s="21" t="s">
        <v>120</v>
      </c>
      <c r="P5" s="3">
        <f>ASSUMPTIONS!D8</f>
        <v>1.1360000000000001</v>
      </c>
    </row>
    <row r="6" spans="1:17">
      <c r="A6">
        <f t="shared" ref="A6:A47" si="0">A5+1</f>
        <v>3</v>
      </c>
      <c r="B6" s="4">
        <f>B5-(ASSUMPTIONS!$D$8*7/ASSUMPTIONS!$D$6)*B5*C5</f>
        <v>1770.28450015987</v>
      </c>
      <c r="C6" s="4">
        <f>(1-ASSUMPTIONS!$D$9*7)*C5+(ASSUMPTIONS!$D$8*7/ASSUMPTIONS!$D$6)*B5*C5</f>
        <v>3.4540297601298082</v>
      </c>
      <c r="D6" s="6">
        <f>D5+ASSUMPTIONS!$D$9*Simulation!C5</f>
        <v>2.0373528685714293</v>
      </c>
      <c r="F6" s="34">
        <f t="shared" ref="F6:F47" si="1">MAX((B5-B6)*$F$2,0)</f>
        <v>2285.501952038976</v>
      </c>
      <c r="G6" s="4">
        <f>C6*($G$2*(1-$G$1)+$F$2*$G$1+(ASSUMPTIONS!$D$15=1)*$I$1)</f>
        <v>65371.554425275965</v>
      </c>
      <c r="H6" s="4">
        <f>MAX(0,(D6-D5)*$H$2)</f>
        <v>2803.6411603200022</v>
      </c>
      <c r="I6" s="35">
        <f t="shared" ref="I6:I47" si="2">I5+G6+F6+H6</f>
        <v>193161.147334835</v>
      </c>
      <c r="K6" t="str">
        <f>ASSUMPTIONS!B9</f>
        <v>Recovery Rate</v>
      </c>
      <c r="L6" s="3">
        <f>ASSUMPTIONS!E9</f>
        <v>0.29857142857142854</v>
      </c>
      <c r="M6" s="3">
        <f>ASSUMPTIONS!D9</f>
        <v>0.32685714285714285</v>
      </c>
      <c r="N6" s="3">
        <f>ASSUMPTIONS!F9</f>
        <v>0.36142857142857138</v>
      </c>
      <c r="O6" s="21" t="s">
        <v>120</v>
      </c>
      <c r="P6" s="3">
        <f>ASSUMPTIONS!D9</f>
        <v>0.32685714285714285</v>
      </c>
    </row>
    <row r="7" spans="1:17">
      <c r="A7">
        <f t="shared" si="0"/>
        <v>4</v>
      </c>
      <c r="B7" s="4">
        <f>B6-(ASSUMPTIONS!$D$8*7/ASSUMPTIONS!$D$6)*B6*C6</f>
        <v>1762.1805966193847</v>
      </c>
      <c r="C7" s="4">
        <f>(1-ASSUMPTIONS!$D$9*7)*C6+(ASSUMPTIONS!$D$8*7/ASSUMPTIONS!$D$6)*B6*C6</f>
        <v>3.65511320943817</v>
      </c>
      <c r="D7" s="6">
        <f>D6+ASSUMPTIONS!$D$9*Simulation!C6</f>
        <v>3.1663271673110009</v>
      </c>
      <c r="F7" s="34">
        <f t="shared" si="1"/>
        <v>2431.1710621456086</v>
      </c>
      <c r="G7" s="4">
        <f>C7*($G$2*(1-$G$1)+$F$2*$G$1+(ASSUMPTIONS!$D$15=1)*$I$1)</f>
        <v>69177.293971072402</v>
      </c>
      <c r="H7" s="4">
        <f t="shared" ref="H7:H47" si="3">MAX(0,(D7-D6)*$H$2)</f>
        <v>2995.1688145560838</v>
      </c>
      <c r="I7" s="35">
        <f t="shared" si="2"/>
        <v>267764.78118260909</v>
      </c>
      <c r="K7" t="str">
        <f>ASSUMPTIONS!B17</f>
        <v>Frequency</v>
      </c>
      <c r="M7" s="3">
        <f>ASSUMPTIONS!D17</f>
        <v>0.5</v>
      </c>
      <c r="O7" s="21" t="s">
        <v>121</v>
      </c>
      <c r="P7" s="3">
        <f>ASSUMPTIONS!D17</f>
        <v>0.5</v>
      </c>
    </row>
    <row r="8" spans="1:17">
      <c r="A8">
        <f t="shared" si="0"/>
        <v>5</v>
      </c>
      <c r="B8" s="4">
        <f>B7-(ASSUMPTIONS!$D$8*7/ASSUMPTIONS!$D$6)*B7*C7</f>
        <v>1753.6441649411681</v>
      </c>
      <c r="C8" s="4">
        <f>(1-ASSUMPTIONS!$D$9*7)*C7+(ASSUMPTIONS!$D$8*7/ASSUMPTIONS!$D$6)*B7*C7</f>
        <v>3.8286458644602179</v>
      </c>
      <c r="D8" s="6">
        <f>D7+ASSUMPTIONS!$D$9*Simulation!C7</f>
        <v>4.3610270277673626</v>
      </c>
      <c r="F8" s="34">
        <f t="shared" si="1"/>
        <v>2560.9295034649676</v>
      </c>
      <c r="G8" s="4">
        <f>C8*($G$2*(1-$G$1)+$F$2*$G$1+(ASSUMPTIONS!$D$15=1)*$I$1)</f>
        <v>72461.60250057104</v>
      </c>
      <c r="H8" s="4">
        <f t="shared" si="3"/>
        <v>3169.5387297907273</v>
      </c>
      <c r="I8" s="35">
        <f t="shared" si="2"/>
        <v>345956.85191643581</v>
      </c>
      <c r="K8" s="21" t="s">
        <v>36</v>
      </c>
      <c r="P8" s="34">
        <f>I2</f>
        <v>1617524.5583371941</v>
      </c>
    </row>
    <row r="9" spans="1:17">
      <c r="A9">
        <f t="shared" si="0"/>
        <v>6</v>
      </c>
      <c r="B9" s="4">
        <f>B8-(ASSUMPTIONS!$D$8*7/ASSUMPTIONS!$D$6)*B8*C8</f>
        <v>1744.7457676278912</v>
      </c>
      <c r="C9" s="4">
        <f>(1-ASSUMPTIONS!$D$9*7)*C8+(ASSUMPTIONS!$D$8*7/ASSUMPTIONS!$D$6)*B8*C8</f>
        <v>3.9671014398522741</v>
      </c>
      <c r="D9" s="6">
        <f>D8+ASSUMPTIONS!$D$9*Simulation!C8</f>
        <v>5.6124472760366455</v>
      </c>
      <c r="F9" s="34">
        <f t="shared" si="1"/>
        <v>2669.519193983092</v>
      </c>
      <c r="G9" s="4">
        <f>C9*($G$2*(1-$G$1)+$F$2*$G$1+(ASSUMPTIONS!$D$15=1)*$I$1)</f>
        <v>75082.036257888903</v>
      </c>
      <c r="H9" s="4">
        <f t="shared" si="3"/>
        <v>3320.0179186584073</v>
      </c>
      <c r="I9" s="35">
        <f t="shared" si="2"/>
        <v>427028.4252869662</v>
      </c>
    </row>
    <row r="10" spans="1:17">
      <c r="A10">
        <f t="shared" si="0"/>
        <v>7</v>
      </c>
      <c r="B10" s="4">
        <f>B9-(ASSUMPTIONS!$D$8*7/ASSUMPTIONS!$D$6)*B9*C9</f>
        <v>1735.5723623662229</v>
      </c>
      <c r="C10" s="4">
        <f>(1-ASSUMPTIONS!$D$9*7)*C9+(ASSUMPTIONS!$D$8*7/ASSUMPTIONS!$D$6)*B9*C9</f>
        <v>4.0637786071385023</v>
      </c>
      <c r="D10" s="6">
        <f>D9+ASSUMPTIONS!$D$9*Simulation!C9</f>
        <v>6.9091227180912176</v>
      </c>
      <c r="F10" s="34">
        <f t="shared" si="1"/>
        <v>2752.0215785004666</v>
      </c>
      <c r="G10" s="4">
        <f>C10*($G$2*(1-$G$1)+$F$2*$G$1+(ASSUMPTIONS!$D$15=1)*$I$1)</f>
        <v>76911.764761066501</v>
      </c>
      <c r="H10" s="4">
        <f t="shared" si="3"/>
        <v>3440.0799477707797</v>
      </c>
      <c r="I10" s="35">
        <f t="shared" si="2"/>
        <v>510132.29157430393</v>
      </c>
    </row>
    <row r="11" spans="1:17">
      <c r="A11">
        <f t="shared" si="0"/>
        <v>8</v>
      </c>
      <c r="B11" s="4">
        <f>B10-(ASSUMPTIONS!$D$8*7/ASSUMPTIONS!$D$6)*B10*C10</f>
        <v>1726.224810437822</v>
      </c>
      <c r="C11" s="4">
        <f>(1-ASSUMPTIONS!$D$9*7)*C10+(ASSUMPTIONS!$D$8*7/ASSUMPTIONS!$D$6)*B10*C10</f>
        <v>4.1134050824065991</v>
      </c>
      <c r="D11" s="6">
        <f>D10+ASSUMPTIONS!$D$9*Simulation!C10</f>
        <v>8.2373977828244875</v>
      </c>
      <c r="F11" s="34">
        <f t="shared" si="1"/>
        <v>2804.2655785202669</v>
      </c>
      <c r="G11" s="4">
        <f>C11*($G$2*(1-$G$1)+$F$2*$G$1+(ASSUMPTIONS!$D$15=1)*$I$1)</f>
        <v>77851.003868491302</v>
      </c>
      <c r="H11" s="4">
        <f t="shared" si="3"/>
        <v>3523.9137467373653</v>
      </c>
      <c r="I11" s="35">
        <f t="shared" si="2"/>
        <v>594311.47476805293</v>
      </c>
      <c r="O11" s="21"/>
    </row>
    <row r="12" spans="1:17">
      <c r="A12">
        <f t="shared" si="0"/>
        <v>9</v>
      </c>
      <c r="B12" s="4">
        <f>B11-(ASSUMPTIONS!$D$8*7/ASSUMPTIONS!$D$6)*B11*C11</f>
        <v>1716.8140665215826</v>
      </c>
      <c r="C12" s="4">
        <f>(1-ASSUMPTIONS!$D$9*7)*C11+(ASSUMPTIONS!$D$8*7/ASSUMPTIONS!$D$6)*B11*C11</f>
        <v>4.1126781700996595</v>
      </c>
      <c r="D12" s="6">
        <f>D11+ASSUMPTIONS!$D$9*Simulation!C11</f>
        <v>9.5818936154739589</v>
      </c>
      <c r="F12" s="34">
        <f t="shared" si="1"/>
        <v>2823.2231748718277</v>
      </c>
      <c r="G12" s="4">
        <f>C12*($G$2*(1-$G$1)+$F$2*$G$1+(ASSUMPTIONS!$D$15=1)*$I$1)</f>
        <v>77837.246202595066</v>
      </c>
      <c r="H12" s="4">
        <f t="shared" si="3"/>
        <v>3566.9474440190475</v>
      </c>
      <c r="I12" s="35">
        <f t="shared" si="2"/>
        <v>678538.89158953889</v>
      </c>
    </row>
    <row r="13" spans="1:17">
      <c r="A13">
        <f t="shared" si="0"/>
        <v>10</v>
      </c>
      <c r="B13" s="4">
        <f>B12-(ASSUMPTIONS!$D$8*7/ASSUMPTIONS!$D$6)*B12*C12</f>
        <v>1707.4562805067794</v>
      </c>
      <c r="C13" s="4">
        <f>(1-ASSUMPTIONS!$D$9*7)*C12+(ASSUMPTIONS!$D$8*7/ASSUMPTIONS!$D$6)*B12*C12</f>
        <v>4.0606565317147325</v>
      </c>
      <c r="D13" s="6">
        <f>D12+ASSUMPTIONS!$D$9*Simulation!C12</f>
        <v>10.926151851643676</v>
      </c>
      <c r="F13" s="34">
        <f t="shared" si="1"/>
        <v>2807.3358044409588</v>
      </c>
      <c r="G13" s="4">
        <f>C13*($G$2*(1-$G$1)+$F$2*$G$1+(ASSUMPTIONS!$D$15=1)*$I$1)</f>
        <v>76852.675830843407</v>
      </c>
      <c r="H13" s="4">
        <f t="shared" si="3"/>
        <v>3566.3171005582581</v>
      </c>
      <c r="I13" s="35">
        <f t="shared" si="2"/>
        <v>761765.22032538161</v>
      </c>
    </row>
    <row r="14" spans="1:17">
      <c r="A14">
        <f t="shared" si="0"/>
        <v>11</v>
      </c>
      <c r="B14" s="4">
        <f>B13-(ASSUMPTIONS!$D$8*7/ASSUMPTIONS!$D$6)*B13*C13</f>
        <v>1698.2672229906875</v>
      </c>
      <c r="C14" s="4">
        <f>(1-ASSUMPTIONS!$D$9*7)*C13+(ASSUMPTIONS!$D$8*7/ASSUMPTIONS!$D$6)*B13*C13</f>
        <v>3.9589319032432311</v>
      </c>
      <c r="D14" s="6">
        <f>D13+ASSUMPTIONS!$D$9*Simulation!C13</f>
        <v>12.253406443724149</v>
      </c>
      <c r="F14" s="34">
        <f t="shared" si="1"/>
        <v>2756.7172548275721</v>
      </c>
      <c r="G14" s="4">
        <f>C14*($G$2*(1-$G$1)+$F$2*$G$1+(ASSUMPTIONS!$D$15=1)*$I$1)</f>
        <v>74927.418219204934</v>
      </c>
      <c r="H14" s="4">
        <f t="shared" si="3"/>
        <v>3521.2064327894959</v>
      </c>
      <c r="I14" s="35">
        <f t="shared" si="2"/>
        <v>842970.56223220355</v>
      </c>
    </row>
    <row r="15" spans="1:17">
      <c r="A15">
        <f t="shared" si="0"/>
        <v>12</v>
      </c>
      <c r="B15" s="4">
        <f>B14-(ASSUMPTIONS!$D$8*7/ASSUMPTIONS!$D$6)*B14*C14</f>
        <v>1689.3565771992287</v>
      </c>
      <c r="C15" s="4">
        <f>(1-ASSUMPTIONS!$D$9*7)*C14+(ASSUMPTIONS!$D$8*7/ASSUMPTIONS!$D$6)*B14*C14</f>
        <v>3.8115415000815718</v>
      </c>
      <c r="D15" s="6">
        <f>D14+ASSUMPTIONS!$D$9*Simulation!C14</f>
        <v>13.547411614384222</v>
      </c>
      <c r="F15" s="34">
        <f t="shared" si="1"/>
        <v>2673.1937374376457</v>
      </c>
      <c r="G15" s="4">
        <f>C15*($G$2*(1-$G$1)+$F$2*$G$1+(ASSUMPTIONS!$D$15=1)*$I$1)</f>
        <v>72137.88239259884</v>
      </c>
      <c r="H15" s="4">
        <f t="shared" si="3"/>
        <v>3432.9957177611736</v>
      </c>
      <c r="I15" s="35">
        <f t="shared" si="2"/>
        <v>921214.63408000115</v>
      </c>
    </row>
    <row r="16" spans="1:17">
      <c r="A16">
        <f t="shared" si="0"/>
        <v>13</v>
      </c>
      <c r="B16" s="4">
        <f>B15-(ASSUMPTIONS!$D$8*7/ASSUMPTIONS!$D$6)*B15*C15</f>
        <v>1680.8226860176073</v>
      </c>
      <c r="C16" s="4">
        <f>(1-ASSUMPTIONS!$D$9*7)*C15+(ASSUMPTIONS!$D$8*7/ASSUMPTIONS!$D$6)*B15*C15</f>
        <v>3.6246257295163158</v>
      </c>
      <c r="D16" s="6">
        <f>D15+ASSUMPTIONS!$D$9*Simulation!C15</f>
        <v>14.793241178982313</v>
      </c>
      <c r="F16" s="34">
        <f t="shared" si="1"/>
        <v>2560.167354486407</v>
      </c>
      <c r="G16" s="4">
        <f>C16*($G$2*(1-$G$1)+$F$2*$G$1+(ASSUMPTIONS!$D$15=1)*$I$1)</f>
        <v>68600.282743199801</v>
      </c>
      <c r="H16" s="4">
        <f t="shared" si="3"/>
        <v>3305.1858348787368</v>
      </c>
      <c r="I16" s="35">
        <f t="shared" si="2"/>
        <v>995680.27001256612</v>
      </c>
    </row>
    <row r="17" spans="1:9">
      <c r="A17">
        <f t="shared" si="0"/>
        <v>14</v>
      </c>
      <c r="B17" s="4">
        <f>B16-(ASSUMPTIONS!$D$8*7/ASSUMPTIONS!$D$6)*B16*C16</f>
        <v>1672.7482873035178</v>
      </c>
      <c r="C17" s="4">
        <f>(1-ASSUMPTIONS!$D$9*7)*C16+(ASSUMPTIONS!$D$8*7/ASSUMPTIONS!$D$6)*B16*C16</f>
        <v>3.4058807744725579</v>
      </c>
      <c r="D17" s="6">
        <f>D16+ASSUMPTIONS!$D$9*Simulation!C16</f>
        <v>15.977975988858503</v>
      </c>
      <c r="F17" s="34">
        <f t="shared" si="1"/>
        <v>2422.3196142268534</v>
      </c>
      <c r="G17" s="4">
        <f>C17*($G$2*(1-$G$1)+$F$2*$G$1+(ASSUMPTIONS!$D$15=1)*$I$1)</f>
        <v>64460.278537399288</v>
      </c>
      <c r="H17" s="4">
        <f t="shared" si="3"/>
        <v>3143.1014506015317</v>
      </c>
      <c r="I17" s="35">
        <f t="shared" si="2"/>
        <v>1065705.969614794</v>
      </c>
    </row>
    <row r="18" spans="1:9">
      <c r="A18">
        <f t="shared" si="0"/>
        <v>15</v>
      </c>
      <c r="B18" s="4">
        <f>B17-(ASSUMPTIONS!$D$8*7/ASSUMPTIONS!$D$6)*B17*C17</f>
        <v>1665.197623110364</v>
      </c>
      <c r="C18" s="4">
        <f>(1-ASSUMPTIONS!$D$9*7)*C17+(ASSUMPTIONS!$D$8*7/ASSUMPTIONS!$D$6)*B17*C17</f>
        <v>3.1638897556332086</v>
      </c>
      <c r="D18" s="6">
        <f>D17+ASSUMPTIONS!$D$9*Simulation!C17</f>
        <v>17.091212447714675</v>
      </c>
      <c r="F18" s="34">
        <f t="shared" si="1"/>
        <v>2265.1992579461421</v>
      </c>
      <c r="G18" s="4">
        <f>C18*($G$2*(1-$G$1)+$F$2*$G$1+(ASSUMPTIONS!$D$15=1)*$I$1)</f>
        <v>59880.315376372557</v>
      </c>
      <c r="H18" s="4">
        <f t="shared" si="3"/>
        <v>2953.4163253454226</v>
      </c>
      <c r="I18" s="35">
        <f t="shared" si="2"/>
        <v>1130804.9005744581</v>
      </c>
    </row>
    <row r="19" spans="1:9">
      <c r="A19">
        <f t="shared" si="0"/>
        <v>16</v>
      </c>
      <c r="B19" s="4">
        <f>B18-(ASSUMPTIONS!$D$8*7/ASSUMPTIONS!$D$6)*B18*C18</f>
        <v>1658.2151021894861</v>
      </c>
      <c r="C19" s="4">
        <f>(1-ASSUMPTIONS!$D$9*7)*C18+(ASSUMPTIONS!$D$8*7/ASSUMPTIONS!$D$6)*B18*C18</f>
        <v>2.9074309156223848</v>
      </c>
      <c r="D19" s="6">
        <f>D18+ASSUMPTIONS!$D$9*Simulation!C18</f>
        <v>18.12535241355593</v>
      </c>
      <c r="F19" s="34">
        <f t="shared" si="1"/>
        <v>2094.7562762633879</v>
      </c>
      <c r="G19" s="4">
        <f>C19*($G$2*(1-$G$1)+$F$2*$G$1+(ASSUMPTIONS!$D$15=1)*$I$1)</f>
        <v>55026.531772324903</v>
      </c>
      <c r="H19" s="4">
        <f t="shared" si="3"/>
        <v>2743.5733293768508</v>
      </c>
      <c r="I19" s="35">
        <f t="shared" si="2"/>
        <v>1190669.761952423</v>
      </c>
    </row>
    <row r="20" spans="1:9">
      <c r="A20">
        <f t="shared" si="0"/>
        <v>17</v>
      </c>
      <c r="B20" s="4">
        <f>B19-(ASSUMPTIONS!$D$8*7/ASSUMPTIONS!$D$6)*B19*C19</f>
        <v>1651.8254768858321</v>
      </c>
      <c r="C20" s="4">
        <f>(1-ASSUMPTIONS!$D$9*7)*C19+(ASSUMPTIONS!$D$8*7/ASSUMPTIONS!$D$6)*B19*C19</f>
        <v>2.6448542843323675</v>
      </c>
      <c r="D20" s="6">
        <f>D19+ASSUMPTIONS!$D$9*Simulation!C19</f>
        <v>19.07566697569079</v>
      </c>
      <c r="F20" s="34">
        <f t="shared" si="1"/>
        <v>1916.8875910961788</v>
      </c>
      <c r="G20" s="4">
        <f>C20*($G$2*(1-$G$1)+$F$2*$G$1+(ASSUMPTIONS!$D$15=1)*$I$1)</f>
        <v>50056.961810502718</v>
      </c>
      <c r="H20" s="4">
        <f t="shared" si="3"/>
        <v>2521.1845333437836</v>
      </c>
      <c r="I20" s="35">
        <f t="shared" si="2"/>
        <v>1245164.7958873657</v>
      </c>
    </row>
    <row r="21" spans="1:9">
      <c r="A21">
        <f t="shared" si="0"/>
        <v>18</v>
      </c>
      <c r="B21" s="4">
        <f>B20-(ASSUMPTIONS!$D$8*7/ASSUMPTIONS!$D$6)*B20*C20</f>
        <v>1646.0353106680004</v>
      </c>
      <c r="C21" s="4">
        <f>(1-ASSUMPTIONS!$D$9*7)*C20+(ASSUMPTIONS!$D$8*7/ASSUMPTIONS!$D$6)*B20*C20</f>
        <v>2.3835938996116242</v>
      </c>
      <c r="D21" s="6">
        <f>D20+ASSUMPTIONS!$D$9*Simulation!C20</f>
        <v>19.940156490341142</v>
      </c>
      <c r="F21" s="34">
        <f t="shared" si="1"/>
        <v>1737.0498653495133</v>
      </c>
      <c r="G21" s="4">
        <f>C21*($G$2*(1-$G$1)+$F$2*$G$1+(ASSUMPTIONS!$D$15=1)*$I$1)</f>
        <v>45112.303355012526</v>
      </c>
      <c r="H21" s="4">
        <f t="shared" si="3"/>
        <v>2293.4906823673828</v>
      </c>
      <c r="I21" s="35">
        <f t="shared" si="2"/>
        <v>1294307.6397900952</v>
      </c>
    </row>
    <row r="22" spans="1:9">
      <c r="A22">
        <f t="shared" si="0"/>
        <v>19</v>
      </c>
      <c r="B22" s="4">
        <f>B21-(ASSUMPTIONS!$D$8*7/ASSUMPTIONS!$D$6)*B21*C21</f>
        <v>1640.8353922057295</v>
      </c>
      <c r="C22" s="4">
        <f>(1-ASSUMPTIONS!$D$9*7)*C21+(ASSUMPTIONS!$D$8*7/ASSUMPTIONS!$D$6)*B21*C21</f>
        <v>2.1298495195712279</v>
      </c>
      <c r="D22" s="6">
        <f>D21+ASSUMPTIONS!$D$9*Simulation!C21</f>
        <v>20.719251182099914</v>
      </c>
      <c r="F22" s="34">
        <f t="shared" si="1"/>
        <v>1559.9755386812831</v>
      </c>
      <c r="G22" s="4">
        <f>C22*($G$2*(1-$G$1)+$F$2*$G$1+(ASSUMPTIONS!$D$15=1)*$I$1)</f>
        <v>40309.894081823382</v>
      </c>
      <c r="H22" s="4">
        <f t="shared" si="3"/>
        <v>2066.9382172360215</v>
      </c>
      <c r="I22" s="35">
        <f t="shared" si="2"/>
        <v>1338244.4476278357</v>
      </c>
    </row>
    <row r="23" spans="1:9">
      <c r="A23">
        <f t="shared" si="0"/>
        <v>20</v>
      </c>
      <c r="B23" s="4">
        <f>B22-(ASSUMPTIONS!$D$8*7/ASSUMPTIONS!$D$6)*B22*C22</f>
        <v>1636.2037067697906</v>
      </c>
      <c r="C23" s="4">
        <f>(1-ASSUMPTIONS!$D$9*7)*C22+(ASSUMPTIONS!$D$8*7/ASSUMPTIONS!$D$6)*B22*C22</f>
        <v>1.8884392547311011</v>
      </c>
      <c r="D23" s="6">
        <f>D22+ASSUMPTIONS!$D$9*Simulation!C22</f>
        <v>21.415407710782624</v>
      </c>
      <c r="F23" s="34">
        <f t="shared" si="1"/>
        <v>1389.5056307816503</v>
      </c>
      <c r="G23" s="4">
        <f>C23*($G$2*(1-$G$1)+$F$2*$G$1+(ASSUMPTIONS!$D$15=1)*$I$1)</f>
        <v>35740.922369714121</v>
      </c>
      <c r="H23" s="4">
        <f t="shared" si="3"/>
        <v>1846.9032705952304</v>
      </c>
      <c r="I23" s="35">
        <f t="shared" si="2"/>
        <v>1377221.7788989267</v>
      </c>
    </row>
    <row r="24" spans="1:9">
      <c r="A24">
        <f t="shared" si="0"/>
        <v>21</v>
      </c>
      <c r="B24" s="4">
        <f>B23-(ASSUMPTIONS!$D$8*7/ASSUMPTIONS!$D$6)*B23*C23</f>
        <v>1632.108597328792</v>
      </c>
      <c r="C24" s="4">
        <f>(1-ASSUMPTIONS!$D$9*7)*C23+(ASSUMPTIONS!$D$8*7/ASSUMPTIONS!$D$6)*B23*C23</f>
        <v>1.6627996809050161</v>
      </c>
      <c r="D24" s="6">
        <f>D23+ASSUMPTIONS!$D$9*Simulation!C23</f>
        <v>22.032657570043305</v>
      </c>
      <c r="F24" s="34">
        <f t="shared" si="1"/>
        <v>1228.5328322995838</v>
      </c>
      <c r="G24" s="4">
        <f>C24*($G$2*(1-$G$1)+$F$2*$G$1+(ASSUMPTIONS!$D$15=1)*$I$1)</f>
        <v>31470.429436754086</v>
      </c>
      <c r="H24" s="4">
        <f t="shared" si="3"/>
        <v>1637.5638766185878</v>
      </c>
      <c r="I24" s="35">
        <f t="shared" si="2"/>
        <v>1411558.3050445991</v>
      </c>
    </row>
    <row r="25" spans="1:9">
      <c r="A25">
        <f t="shared" si="0"/>
        <v>22</v>
      </c>
      <c r="B25" s="4">
        <f>B24-(ASSUMPTIONS!$D$8*7/ASSUMPTIONS!$D$6)*B24*C24</f>
        <v>1628.51181541291</v>
      </c>
      <c r="C25" s="4">
        <f>(1-ASSUMPTIONS!$D$9*7)*C24+(ASSUMPTIONS!$D$8*7/ASSUMPTIONS!$D$6)*B24*C24</f>
        <v>1.4550959268764796</v>
      </c>
      <c r="D25" s="6">
        <f>D24+ASSUMPTIONS!$D$9*Simulation!C24</f>
        <v>22.576155522887689</v>
      </c>
      <c r="F25" s="34">
        <f t="shared" si="1"/>
        <v>1079.0345747646143</v>
      </c>
      <c r="G25" s="4">
        <f>C25*($G$2*(1-$G$1)+$F$2*$G$1+(ASSUMPTIONS!$D$15=1)*$I$1)</f>
        <v>27539.392878371818</v>
      </c>
      <c r="H25" s="4">
        <f t="shared" si="3"/>
        <v>1441.9000688961489</v>
      </c>
      <c r="I25" s="35">
        <f t="shared" si="2"/>
        <v>1441618.6325666315</v>
      </c>
    </row>
    <row r="26" spans="1:9">
      <c r="A26">
        <f t="shared" si="0"/>
        <v>23</v>
      </c>
      <c r="B26" s="4">
        <f>B25-(ASSUMPTIONS!$D$8*7/ASSUMPTIONS!$D$6)*B25*C25</f>
        <v>1625.3712513275491</v>
      </c>
      <c r="C26" s="4">
        <f>(1-ASSUMPTIONS!$D$9*7)*C25+(ASSUMPTIONS!$D$8*7/ASSUMPTIONS!$D$6)*B25*C25</f>
        <v>1.2664005315440034</v>
      </c>
      <c r="D26" s="6">
        <f>D25+ASSUMPTIONS!$D$9*Simulation!C25</f>
        <v>23.0517640201296</v>
      </c>
      <c r="F26" s="34">
        <f t="shared" si="1"/>
        <v>942.16922560826788</v>
      </c>
      <c r="G26" s="4">
        <f>C26*($G$2*(1-$G$1)+$F$2*$G$1+(ASSUMPTIONS!$D$15=1)*$I$1)</f>
        <v>23968.111748092171</v>
      </c>
      <c r="H26" s="4">
        <f t="shared" si="3"/>
        <v>1261.7893431827899</v>
      </c>
      <c r="I26" s="35">
        <f t="shared" si="2"/>
        <v>1467790.7028835146</v>
      </c>
    </row>
    <row r="27" spans="1:9">
      <c r="A27">
        <f t="shared" si="0"/>
        <v>24</v>
      </c>
      <c r="B27" s="4">
        <f>B26-(ASSUMPTIONS!$D$8*7/ASSUMPTIONS!$D$6)*B26*C26</f>
        <v>1622.6432236068322</v>
      </c>
      <c r="C27" s="4">
        <f>(1-ASSUMPTIONS!$D$9*7)*C26+(ASSUMPTIONS!$D$8*7/ASSUMPTIONS!$D$6)*B26*C26</f>
        <v>1.0969038360882903</v>
      </c>
      <c r="D27" s="6">
        <f>D26+ASSUMPTIONS!$D$9*Simulation!C26</f>
        <v>23.465696079582841</v>
      </c>
      <c r="F27" s="34">
        <f t="shared" si="1"/>
        <v>818.40831621507277</v>
      </c>
      <c r="G27" s="4">
        <f>C27*($G$2*(1-$G$1)+$F$2*$G$1+(ASSUMPTIONS!$D$15=1)*$I$1)</f>
        <v>20760.188475459116</v>
      </c>
      <c r="H27" s="4">
        <f t="shared" si="3"/>
        <v>1098.1617537294494</v>
      </c>
      <c r="I27" s="35">
        <f t="shared" si="2"/>
        <v>1490467.4614289182</v>
      </c>
    </row>
    <row r="28" spans="1:9">
      <c r="A28">
        <f t="shared" si="0"/>
        <v>25</v>
      </c>
      <c r="B28" s="4">
        <f>B27-(ASSUMPTIONS!$D$8*7/ASSUMPTIONS!$D$6)*B27*C27</f>
        <v>1620.2842845733421</v>
      </c>
      <c r="C28" s="4">
        <f>(1-ASSUMPTIONS!$D$9*7)*C27+(ASSUMPTIONS!$D$8*7/ASSUMPTIONS!$D$6)*B27*C27</f>
        <v>0.94612689260833815</v>
      </c>
      <c r="D28" s="6">
        <f>D27+ASSUMPTIONS!$D$9*Simulation!C27</f>
        <v>23.8242269334357</v>
      </c>
      <c r="F28" s="34">
        <f t="shared" si="1"/>
        <v>707.68171004701799</v>
      </c>
      <c r="G28" s="4">
        <f>C28*($G$2*(1-$G$1)+$F$2*$G$1+(ASSUMPTIONS!$D$15=1)*$I$1)</f>
        <v>17906.558411077149</v>
      </c>
      <c r="H28" s="4">
        <f t="shared" si="3"/>
        <v>951.18235527163404</v>
      </c>
      <c r="I28" s="35">
        <f t="shared" si="2"/>
        <v>1510032.8839053139</v>
      </c>
    </row>
    <row r="29" spans="1:9">
      <c r="A29">
        <f t="shared" si="0"/>
        <v>26</v>
      </c>
      <c r="B29" s="4">
        <f>B28-(ASSUMPTIONS!$D$8*7/ASSUMPTIONS!$D$6)*B28*C28</f>
        <v>1618.2525558158839</v>
      </c>
      <c r="C29" s="4">
        <f>(1-ASSUMPTIONS!$D$9*7)*C28+(ASSUMPTIONS!$D$8*7/ASSUMPTIONS!$D$6)*B28*C28</f>
        <v>0.81311731977868451</v>
      </c>
      <c r="D29" s="6">
        <f>D28+ASSUMPTIONS!$D$9*Simulation!C28</f>
        <v>24.133475266333967</v>
      </c>
      <c r="F29" s="34">
        <f t="shared" si="1"/>
        <v>609.51862723748036</v>
      </c>
      <c r="G29" s="4">
        <f>C29*($G$2*(1-$G$1)+$F$2*$G$1+(ASSUMPTIONS!$D$15=1)*$I$1)</f>
        <v>15389.196624075745</v>
      </c>
      <c r="H29" s="4">
        <f t="shared" si="3"/>
        <v>820.43582717910328</v>
      </c>
      <c r="I29" s="35">
        <f t="shared" si="2"/>
        <v>1526852.0349838063</v>
      </c>
    </row>
    <row r="30" spans="1:9">
      <c r="A30">
        <f t="shared" si="0"/>
        <v>27</v>
      </c>
      <c r="B30" s="4">
        <f>B29-(ASSUMPTIONS!$D$8*7/ASSUMPTIONS!$D$6)*B29*C29</f>
        <v>1616.5086435414512</v>
      </c>
      <c r="C30" s="4">
        <f>(1-ASSUMPTIONS!$D$9*7)*C29+(ASSUMPTIONS!$D$8*7/ASSUMPTIONS!$D$6)*B29*C29</f>
        <v>0.69661716655779826</v>
      </c>
      <c r="D30" s="6">
        <f>D29+ASSUMPTIONS!$D$9*Simulation!C29</f>
        <v>24.399248470284487</v>
      </c>
      <c r="F30" s="34">
        <f t="shared" si="1"/>
        <v>523.17368232979788</v>
      </c>
      <c r="G30" s="4">
        <f>C30*($G$2*(1-$G$1)+$F$2*$G$1+(ASSUMPTIONS!$D$15=1)*$I$1)</f>
        <v>13184.294919191203</v>
      </c>
      <c r="H30" s="4">
        <f t="shared" si="3"/>
        <v>705.09631008072915</v>
      </c>
      <c r="I30" s="35">
        <f t="shared" si="2"/>
        <v>1541264.5998954079</v>
      </c>
    </row>
    <row r="31" spans="1:9">
      <c r="A31">
        <f t="shared" si="0"/>
        <v>28</v>
      </c>
      <c r="B31" s="4">
        <f>B30-(ASSUMPTIONS!$D$8*7/ASSUMPTIONS!$D$6)*B30*C30</f>
        <v>1615.0162020148457</v>
      </c>
      <c r="C31" s="4">
        <f>(1-ASSUMPTIONS!$D$9*7)*C30+(ASSUMPTIONS!$D$8*7/ASSUMPTIONS!$D$6)*B30*C30</f>
        <v>0.59519861607909663</v>
      </c>
      <c r="D31" s="6">
        <f>D30+ASSUMPTIONS!$D$9*Simulation!C30</f>
        <v>24.626942767010807</v>
      </c>
      <c r="F31" s="34">
        <f t="shared" si="1"/>
        <v>447.7324579816468</v>
      </c>
      <c r="G31" s="4">
        <f>C31*($G$2*(1-$G$1)+$F$2*$G$1+(ASSUMPTIONS!$D$15=1)*$I$1)</f>
        <v>11264.830191677715</v>
      </c>
      <c r="H31" s="4">
        <f t="shared" si="3"/>
        <v>604.07296921492582</v>
      </c>
      <c r="I31" s="35">
        <f t="shared" si="2"/>
        <v>1553581.2355142822</v>
      </c>
    </row>
    <row r="32" spans="1:9">
      <c r="A32">
        <f t="shared" si="0"/>
        <v>29</v>
      </c>
      <c r="B32" s="4">
        <f>B31-(ASSUMPTIONS!$D$8*7/ASSUMPTIONS!$D$6)*B31*C31</f>
        <v>1613.7422181802667</v>
      </c>
      <c r="C32" s="4">
        <f>(1-ASSUMPTIONS!$D$9*7)*C31+(ASSUMPTIONS!$D$8*7/ASSUMPTIONS!$D$6)*B31*C31</f>
        <v>0.50736801706912049</v>
      </c>
      <c r="D32" s="6">
        <f>D31+ASSUMPTIONS!$D$9*Simulation!C31</f>
        <v>24.821487686094944</v>
      </c>
      <c r="F32" s="34">
        <f t="shared" si="1"/>
        <v>382.19515037369547</v>
      </c>
      <c r="G32" s="4">
        <f>C32*($G$2*(1-$G$1)+$F$2*$G$1+(ASSUMPTIONS!$D$15=1)*$I$1)</f>
        <v>9602.533343613075</v>
      </c>
      <c r="H32" s="4">
        <f t="shared" si="3"/>
        <v>516.12767033021623</v>
      </c>
      <c r="I32" s="35">
        <f t="shared" si="2"/>
        <v>1564082.0916785994</v>
      </c>
    </row>
    <row r="33" spans="1:9">
      <c r="A33">
        <f t="shared" si="0"/>
        <v>30</v>
      </c>
      <c r="B33" s="4">
        <f>B32-(ASSUMPTIONS!$D$8*7/ASSUMPTIONS!$D$6)*B32*C32</f>
        <v>1612.6570866840493</v>
      </c>
      <c r="C33" s="4">
        <f>(1-ASSUMPTIONS!$D$9*7)*C32+(ASSUMPTIONS!$D$8*7/ASSUMPTIONS!$D$6)*B32*C32</f>
        <v>0.43164149023237708</v>
      </c>
      <c r="D33" s="6">
        <f>D32+ASSUMPTIONS!$D$9*Simulation!C32</f>
        <v>24.987324546531251</v>
      </c>
      <c r="F33" s="34">
        <f t="shared" si="1"/>
        <v>325.53944886522004</v>
      </c>
      <c r="G33" s="4">
        <f>C33*($G$2*(1-$G$1)+$F$2*$G$1+(ASSUMPTIONS!$D$15=1)*$I$1)</f>
        <v>8169.3202231913074</v>
      </c>
      <c r="H33" s="4">
        <f t="shared" si="3"/>
        <v>439.96519073752415</v>
      </c>
      <c r="I33" s="35">
        <f t="shared" si="2"/>
        <v>1573016.9165413934</v>
      </c>
    </row>
    <row r="34" spans="1:9">
      <c r="A34">
        <f t="shared" si="0"/>
        <v>31</v>
      </c>
      <c r="B34" s="4">
        <f>B33-(ASSUMPTIONS!$D$8*7/ASSUMPTIONS!$D$6)*B33*C33</f>
        <v>1611.7345357908741</v>
      </c>
      <c r="C34" s="4">
        <f>(1-ASSUMPTIONS!$D$9*7)*C33+(ASSUMPTIONS!$D$8*7/ASSUMPTIONS!$D$6)*B33*C33</f>
        <v>0.36659665375579997</v>
      </c>
      <c r="D34" s="6">
        <f>D33+ASSUMPTIONS!$D$9*Simulation!C33</f>
        <v>25.128409650767207</v>
      </c>
      <c r="F34" s="34">
        <f t="shared" si="1"/>
        <v>276.7652679525554</v>
      </c>
      <c r="G34" s="4">
        <f>C34*($G$2*(1-$G$1)+$F$2*$G$1+(ASSUMPTIONS!$D$15=1)*$I$1)</f>
        <v>6938.2705904134082</v>
      </c>
      <c r="H34" s="4">
        <f t="shared" si="3"/>
        <v>374.2987815379895</v>
      </c>
      <c r="I34" s="35">
        <f t="shared" si="2"/>
        <v>1580606.2511812972</v>
      </c>
    </row>
    <row r="35" spans="1:9">
      <c r="A35">
        <f t="shared" si="0"/>
        <v>32</v>
      </c>
      <c r="B35" s="4">
        <f>B34-(ASSUMPTIONS!$D$8*7/ASSUMPTIONS!$D$6)*B34*C34</f>
        <v>1610.9514539926899</v>
      </c>
      <c r="C35" s="4">
        <f>(1-ASSUMPTIONS!$D$9*7)*C34+(ASSUMPTIONS!$D$8*7/ASSUMPTIONS!$D$6)*B34*C34</f>
        <v>0.3109053081468105</v>
      </c>
      <c r="D35" s="6">
        <f>D34+ASSUMPTIONS!$D$9*Simulation!C34</f>
        <v>25.248234385594817</v>
      </c>
      <c r="F35" s="34">
        <f t="shared" si="1"/>
        <v>234.9245394552554</v>
      </c>
      <c r="G35" s="4">
        <f>C35*($G$2*(1-$G$1)+$F$2*$G$1+(ASSUMPTIONS!$D$15=1)*$I$1)</f>
        <v>5884.2467158889203</v>
      </c>
      <c r="H35" s="4">
        <f t="shared" si="3"/>
        <v>317.89502149764883</v>
      </c>
      <c r="I35" s="35">
        <f t="shared" si="2"/>
        <v>1587043.317458139</v>
      </c>
    </row>
    <row r="36" spans="1:9">
      <c r="A36">
        <f t="shared" si="0"/>
        <v>33</v>
      </c>
      <c r="B36" s="4">
        <f>B35-(ASSUMPTIONS!$D$8*7/ASSUMPTIONS!$D$6)*B35*C35</f>
        <v>1610.2876563419381</v>
      </c>
      <c r="C36" s="4">
        <f>(1-ASSUMPTIONS!$D$9*7)*C35+(ASSUMPTIONS!$D$8*7/ASSUMPTIONS!$D$6)*B35*C35</f>
        <v>0.26335161385873596</v>
      </c>
      <c r="D36" s="6">
        <f>D35+ASSUMPTIONS!$D$9*Simulation!C35</f>
        <v>25.349856006314802</v>
      </c>
      <c r="F36" s="34">
        <f t="shared" si="1"/>
        <v>199.13929522554099</v>
      </c>
      <c r="G36" s="4">
        <f>C36*($G$2*(1-$G$1)+$F$2*$G$1+(ASSUMPTIONS!$D$15=1)*$I$1)</f>
        <v>4984.2374136647923</v>
      </c>
      <c r="H36" s="4">
        <f t="shared" si="3"/>
        <v>269.6021597701212</v>
      </c>
      <c r="I36" s="35">
        <f t="shared" si="2"/>
        <v>1592496.2963267996</v>
      </c>
    </row>
    <row r="37" spans="1:9">
      <c r="A37">
        <f t="shared" si="0"/>
        <v>34</v>
      </c>
      <c r="B37" s="4">
        <f>B36-(ASSUMPTIONS!$D$8*7/ASSUMPTIONS!$D$6)*B36*C36</f>
        <v>1609.7256197793301</v>
      </c>
      <c r="C37" s="4">
        <f>(1-ASSUMPTIONS!$D$9*7)*C36+(ASSUMPTIONS!$D$8*7/ASSUMPTIONS!$D$6)*B36*C36</f>
        <v>0.22283968395795395</v>
      </c>
      <c r="D37" s="6">
        <f>D36+ASSUMPTIONS!$D$9*Simulation!C36</f>
        <v>25.435934362387485</v>
      </c>
      <c r="F37" s="34">
        <f t="shared" si="1"/>
        <v>168.61096878240005</v>
      </c>
      <c r="G37" s="4">
        <f>C37*($G$2*(1-$G$1)+$F$2*$G$1+(ASSUMPTIONS!$D$15=1)*$I$1)</f>
        <v>4217.5017413345086</v>
      </c>
      <c r="H37" s="4">
        <f t="shared" si="3"/>
        <v>228.36587866082797</v>
      </c>
      <c r="I37" s="35">
        <f t="shared" si="2"/>
        <v>1597110.7749155774</v>
      </c>
    </row>
    <row r="38" spans="1:9">
      <c r="A38">
        <f t="shared" si="0"/>
        <v>35</v>
      </c>
      <c r="B38" s="4">
        <f>B37-(ASSUMPTIONS!$D$8*7/ASSUMPTIONS!$D$6)*B37*C37</f>
        <v>1609.2502084674895</v>
      </c>
      <c r="C38" s="4">
        <f>(1-ASSUMPTIONS!$D$9*7)*C37+(ASSUMPTIONS!$D$8*7/ASSUMPTIONS!$D$6)*B37*C37</f>
        <v>0.18839379890272023</v>
      </c>
      <c r="D38" s="6">
        <f>D37+ASSUMPTIONS!$D$9*Simulation!C37</f>
        <v>25.50877110480117</v>
      </c>
      <c r="F38" s="34">
        <f t="shared" si="1"/>
        <v>142.62339355218501</v>
      </c>
      <c r="G38" s="4">
        <f>C38*($G$2*(1-$G$1)+$F$2*$G$1+(ASSUMPTIONS!$D$15=1)*$I$1)</f>
        <v>3565.573064978696</v>
      </c>
      <c r="H38" s="4">
        <f t="shared" si="3"/>
        <v>193.23587762350598</v>
      </c>
      <c r="I38" s="35">
        <f t="shared" si="2"/>
        <v>1601012.2072517318</v>
      </c>
    </row>
    <row r="39" spans="1:9">
      <c r="A39">
        <f t="shared" si="0"/>
        <v>36</v>
      </c>
      <c r="B39" s="4">
        <f>B38-(ASSUMPTIONS!$D$8*7/ASSUMPTIONS!$D$6)*B38*C38</f>
        <v>1608.8484035026931</v>
      </c>
      <c r="C39" s="4">
        <f>(1-ASSUMPTIONS!$D$9*7)*C38+(ASSUMPTIONS!$D$8*7/ASSUMPTIONS!$D$6)*B38*C38</f>
        <v>0.15915375180961072</v>
      </c>
      <c r="D39" s="6">
        <f>D38+ASSUMPTIONS!$D$9*Simulation!C38</f>
        <v>25.570348963642516</v>
      </c>
      <c r="F39" s="34">
        <f t="shared" si="1"/>
        <v>120.54148943891505</v>
      </c>
      <c r="G39" s="4">
        <f>C39*($G$2*(1-$G$1)+$F$2*$G$1+(ASSUMPTIONS!$D$15=1)*$I$1)</f>
        <v>3012.1709628865001</v>
      </c>
      <c r="H39" s="4">
        <f t="shared" si="3"/>
        <v>163.36605950609163</v>
      </c>
      <c r="I39" s="35">
        <f t="shared" si="2"/>
        <v>1604308.2857635631</v>
      </c>
    </row>
    <row r="40" spans="1:9">
      <c r="A40">
        <f t="shared" si="0"/>
        <v>37</v>
      </c>
      <c r="B40" s="4">
        <f>B39-(ASSUMPTIONS!$D$8*7/ASSUMPTIONS!$D$6)*B39*C39</f>
        <v>1608.5090462574221</v>
      </c>
      <c r="C40" s="4">
        <f>(1-ASSUMPTIONS!$D$9*7)*C39+(ASSUMPTIONS!$D$8*7/ASSUMPTIONS!$D$6)*B39*C39</f>
        <v>0.13436721294028006</v>
      </c>
      <c r="D40" s="6">
        <f>D39+ASSUMPTIONS!$D$9*Simulation!C39</f>
        <v>25.622369504234001</v>
      </c>
      <c r="F40" s="34">
        <f t="shared" si="1"/>
        <v>101.80717358130096</v>
      </c>
      <c r="G40" s="4">
        <f>C40*($G$2*(1-$G$1)+$F$2*$G$1+(ASSUMPTIONS!$D$15=1)*$I$1)</f>
        <v>2543.0567145339401</v>
      </c>
      <c r="H40" s="4">
        <f t="shared" si="3"/>
        <v>138.01049418920994</v>
      </c>
      <c r="I40" s="35">
        <f t="shared" si="2"/>
        <v>1607091.1601458674</v>
      </c>
    </row>
    <row r="41" spans="1:9">
      <c r="A41">
        <f t="shared" si="0"/>
        <v>38</v>
      </c>
      <c r="B41" s="4">
        <f>B40-(ASSUMPTIONS!$D$8*7/ASSUMPTIONS!$D$6)*B40*C40</f>
        <v>1608.2226008010625</v>
      </c>
      <c r="C41" s="4">
        <f>(1-ASSUMPTIONS!$D$9*7)*C40+(ASSUMPTIONS!$D$8*7/ASSUMPTIONS!$D$6)*B40*C40</f>
        <v>0.11338048609242443</v>
      </c>
      <c r="D41" s="6">
        <f>D40+ASSUMPTIONS!$D$9*Simulation!C40</f>
        <v>25.66628838754934</v>
      </c>
      <c r="F41" s="34">
        <f t="shared" si="1"/>
        <v>85.933636907884647</v>
      </c>
      <c r="G41" s="4">
        <f>C41*($G$2*(1-$G$1)+$F$2*$G$1+(ASSUMPTIONS!$D$15=1)*$I$1)</f>
        <v>2145.8583544678604</v>
      </c>
      <c r="H41" s="4">
        <f t="shared" si="3"/>
        <v>116.51679743559377</v>
      </c>
      <c r="I41" s="35">
        <f t="shared" si="2"/>
        <v>1609439.4689346789</v>
      </c>
    </row>
    <row r="42" spans="1:9">
      <c r="A42">
        <f t="shared" si="0"/>
        <v>39</v>
      </c>
      <c r="B42" s="4">
        <f>B41-(ASSUMPTIONS!$D$8*7/ASSUMPTIONS!$D$6)*B41*C41</f>
        <v>1607.9809381159127</v>
      </c>
      <c r="C42" s="4">
        <f>(1-ASSUMPTIONS!$D$9*7)*C41+(ASSUMPTIONS!$D$8*7/ASSUMPTIONS!$D$6)*B41*C41</f>
        <v>9.5628619062698234E-2</v>
      </c>
      <c r="D42" s="6">
        <f>D41+ASSUMPTIONS!$D$9*Simulation!C41</f>
        <v>25.703347609289263</v>
      </c>
      <c r="F42" s="34">
        <f t="shared" si="1"/>
        <v>72.49880554493302</v>
      </c>
      <c r="G42" s="4">
        <f>C42*($G$2*(1-$G$1)+$F$2*$G$1+(ASSUMPTIONS!$D$15=1)*$I$1)</f>
        <v>1809.8835012458674</v>
      </c>
      <c r="H42" s="4">
        <f t="shared" si="3"/>
        <v>98.318115276017011</v>
      </c>
      <c r="I42" s="35">
        <f t="shared" si="2"/>
        <v>1611420.1693567459</v>
      </c>
    </row>
    <row r="43" spans="1:9">
      <c r="A43">
        <f t="shared" si="0"/>
        <v>40</v>
      </c>
      <c r="B43" s="4">
        <f>B42-(ASSUMPTIONS!$D$8*7/ASSUMPTIONS!$D$6)*B42*C42</f>
        <v>1607.7771429390973</v>
      </c>
      <c r="C43" s="4">
        <f>(1-ASSUMPTIONS!$D$9*7)*C42+(ASSUMPTIONS!$D$8*7/ASSUMPTIONS!$D$6)*B42*C42</f>
        <v>8.0625515462737718E-2</v>
      </c>
      <c r="D43" s="6">
        <f>D42+ASSUMPTIONS!$D$9*Simulation!C42</f>
        <v>25.734604506491472</v>
      </c>
      <c r="F43" s="34">
        <f t="shared" si="1"/>
        <v>61.138553044634136</v>
      </c>
      <c r="G43" s="4">
        <f>C43*($G$2*(1-$G$1)+$F$2*$G$1+(ASSUMPTIONS!$D$15=1)*$I$1)</f>
        <v>1525.9322119854025</v>
      </c>
      <c r="H43" s="4">
        <f t="shared" si="3"/>
        <v>82.924548277459095</v>
      </c>
      <c r="I43" s="35">
        <f t="shared" si="2"/>
        <v>1613090.1646700532</v>
      </c>
    </row>
    <row r="44" spans="1:9">
      <c r="A44">
        <f t="shared" si="0"/>
        <v>41</v>
      </c>
      <c r="B44" s="4">
        <f>B43-(ASSUMPTIONS!$D$8*7/ASSUMPTIONS!$D$6)*B43*C43</f>
        <v>1607.6053428141197</v>
      </c>
      <c r="C44" s="4">
        <f>(1-ASSUMPTIONS!$D$9*7)*C43+(ASSUMPTIONS!$D$8*7/ASSUMPTIONS!$D$6)*B43*C43</f>
        <v>6.7954461061701082E-2</v>
      </c>
      <c r="D44" s="6">
        <f>D43+ASSUMPTIONS!$D$9*Simulation!C43</f>
        <v>25.760957532117008</v>
      </c>
      <c r="F44" s="34">
        <f t="shared" si="1"/>
        <v>51.540037493282398</v>
      </c>
      <c r="G44" s="4">
        <f>C44*($G$2*(1-$G$1)+$F$2*$G$1+(ASSUMPTIONS!$D$15=1)*$I$1)</f>
        <v>1286.117682312135</v>
      </c>
      <c r="H44" s="4">
        <f t="shared" si="3"/>
        <v>69.914576984546386</v>
      </c>
      <c r="I44" s="35">
        <f t="shared" si="2"/>
        <v>1614497.736966843</v>
      </c>
    </row>
    <row r="45" spans="1:9">
      <c r="A45">
        <f t="shared" si="0"/>
        <v>42</v>
      </c>
      <c r="B45" s="4">
        <f>B44-(ASSUMPTIONS!$D$8*7/ASSUMPTIONS!$D$6)*B44*C44</f>
        <v>1607.4605581595292</v>
      </c>
      <c r="C45" s="4">
        <f>(1-ASSUMPTIONS!$D$9*7)*C44+(ASSUMPTIONS!$D$8*7/ASSUMPTIONS!$D$6)*B44*C44</f>
        <v>5.7259308742955234E-2</v>
      </c>
      <c r="D45" s="6">
        <f>D44+ASSUMPTIONS!$D$9*Simulation!C44</f>
        <v>25.783168933104033</v>
      </c>
      <c r="F45" s="34">
        <f t="shared" si="1"/>
        <v>43.435396377140023</v>
      </c>
      <c r="G45" s="4">
        <f>C45*($G$2*(1-$G$1)+$F$2*$G$1+(ASSUMPTIONS!$D$15=1)*$I$1)</f>
        <v>1083.6994113516569</v>
      </c>
      <c r="H45" s="4">
        <f t="shared" si="3"/>
        <v>58.926846818578234</v>
      </c>
      <c r="I45" s="35">
        <f t="shared" si="2"/>
        <v>1615683.7986213905</v>
      </c>
    </row>
    <row r="46" spans="1:9">
      <c r="A46">
        <f t="shared" si="0"/>
        <v>43</v>
      </c>
      <c r="B46" s="4">
        <f>B45-(ASSUMPTIONS!$D$8*7/ASSUMPTIONS!$D$6)*B45*C45</f>
        <v>1607.3385717223166</v>
      </c>
      <c r="C46" s="4">
        <f>(1-ASSUMPTIONS!$D$9*7)*C45+(ASSUMPTIONS!$D$8*7/ASSUMPTIONS!$D$6)*B45*C45</f>
        <v>4.8236447551645634E-2</v>
      </c>
      <c r="D46" s="6">
        <f>D45+ASSUMPTIONS!$D$9*Simulation!C45</f>
        <v>25.80188454716173</v>
      </c>
      <c r="F46" s="34">
        <f t="shared" si="1"/>
        <v>36.595931163788009</v>
      </c>
      <c r="G46" s="4">
        <f>C46*($G$2*(1-$G$1)+$F$2*$G$1+(ASSUMPTIONS!$D$15=1)*$I$1)</f>
        <v>912.93120655852897</v>
      </c>
      <c r="H46" s="4">
        <f t="shared" si="3"/>
        <v>49.652524095071186</v>
      </c>
      <c r="I46" s="35">
        <f t="shared" si="2"/>
        <v>1616682.9782832079</v>
      </c>
    </row>
    <row r="47" spans="1:9">
      <c r="A47">
        <f t="shared" si="0"/>
        <v>44</v>
      </c>
      <c r="B47" s="4">
        <f>B46-(ASSUMPTIONS!$D$8*7/ASSUMPTIONS!$D$6)*B46*C46</f>
        <v>1607.2358155771215</v>
      </c>
      <c r="C47" s="4">
        <f>(1-ASSUMPTIONS!$D$9*7)*C46+(ASSUMPTIONS!$D$8*7/ASSUMPTIONS!$D$6)*B46*C46</f>
        <v>4.0627600748606857E-2</v>
      </c>
      <c r="D47" s="6">
        <f>D46+ASSUMPTIONS!$D$9*Simulation!C46</f>
        <v>25.817650974590041</v>
      </c>
      <c r="F47" s="34">
        <f t="shared" si="1"/>
        <v>30.82684355854326</v>
      </c>
      <c r="G47" s="4">
        <f>C47*($G$2*(1-$G$1)+$F$2*$G$1+(ASSUMPTIONS!$D$15=1)*$I$1)</f>
        <v>768.92487846026052</v>
      </c>
      <c r="H47" s="4">
        <f t="shared" si="3"/>
        <v>41.828331967308266</v>
      </c>
      <c r="I47" s="35">
        <f t="shared" si="2"/>
        <v>1617524.5583371941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I47"/>
  <sheetViews>
    <sheetView workbookViewId="0">
      <selection activeCell="F2" sqref="F2"/>
    </sheetView>
  </sheetViews>
  <sheetFormatPr defaultRowHeight="13.2"/>
  <cols>
    <col min="7" max="7" width="11.33203125" customWidth="1"/>
    <col min="9" max="9" width="12.5546875" customWidth="1"/>
  </cols>
  <sheetData>
    <row r="1" spans="1:9">
      <c r="F1" s="14" t="s">
        <v>84</v>
      </c>
      <c r="G1" s="3">
        <f>ASSUMPTIONS!D13</f>
        <v>0.79</v>
      </c>
      <c r="H1" s="14" t="s">
        <v>127</v>
      </c>
      <c r="I1" s="36">
        <f>ASSUMPTIONS!D14*5</f>
        <v>10000</v>
      </c>
    </row>
    <row r="2" spans="1:9">
      <c r="F2" s="26">
        <f>ASSUMPTIONS!D10*3</f>
        <v>300</v>
      </c>
      <c r="G2" s="26">
        <f>ASSUMPTIONS!D11*7</f>
        <v>41377</v>
      </c>
      <c r="H2" s="26">
        <f>ASSUMPTIONS!D12*7</f>
        <v>2653</v>
      </c>
      <c r="I2" s="34">
        <f ca="1">I47</f>
        <v>7421639.3430273347</v>
      </c>
    </row>
    <row r="3" spans="1:9">
      <c r="A3" s="13" t="s">
        <v>136</v>
      </c>
      <c r="B3" s="13" t="s">
        <v>9</v>
      </c>
      <c r="C3" s="13" t="s">
        <v>10</v>
      </c>
      <c r="D3" s="14" t="s">
        <v>14</v>
      </c>
      <c r="F3" s="14" t="s">
        <v>129</v>
      </c>
      <c r="G3" s="14" t="s">
        <v>130</v>
      </c>
      <c r="H3" s="14" t="s">
        <v>131</v>
      </c>
      <c r="I3" s="14" t="s">
        <v>38</v>
      </c>
    </row>
    <row r="4" spans="1:9">
      <c r="A4">
        <v>1</v>
      </c>
      <c r="B4" s="4">
        <f ca="1">ASSUMPTIONS!$D$6*MCSimulation!C5</f>
        <v>1691.0432276164092</v>
      </c>
      <c r="C4" s="4">
        <v>3</v>
      </c>
      <c r="D4" s="4">
        <v>0</v>
      </c>
      <c r="F4" s="34">
        <v>0</v>
      </c>
      <c r="G4" s="4">
        <f>C4*($G$2*(1-$G$1)+$F$2*$G$1+(ASSUMPTIONS!$D$15=1)*Simulation!$I$1)</f>
        <v>56778.509999999995</v>
      </c>
      <c r="H4">
        <v>0</v>
      </c>
      <c r="I4" s="34">
        <f>F4+G4</f>
        <v>56778.509999999995</v>
      </c>
    </row>
    <row r="5" spans="1:9">
      <c r="A5">
        <f>A4+1</f>
        <v>2</v>
      </c>
      <c r="B5" s="4">
        <f ca="1">MAX(0,B4-(MCSimulation!$C$6*7/ASSUMPTIONS!$D$6)*B4*C4)</f>
        <v>1682.7648017757624</v>
      </c>
      <c r="C5" s="4">
        <f ca="1">MAX(0,(1-MCSimulation!$C$7*7)*C4+(MCSimulation!$C$6*7/ASSUMPTIONS!$D$6)*B4*C4)</f>
        <v>4.5351995032193422</v>
      </c>
      <c r="D5" s="6">
        <f ca="1">MAX(0,D4+MCSimulation!$C$7*7*'Sim2'!C4)</f>
        <v>6.743226337427453</v>
      </c>
      <c r="F5" s="34">
        <f ca="1">MAX((B4-B5)*$F$2,0)</f>
        <v>2483.5277521940498</v>
      </c>
      <c r="G5" s="4">
        <f ca="1">C5*($G$2*(1-$G$1)+$F$2*$G$1+(ASSUMPTIONS!$D$15=1)*Simulation!$I$1)</f>
        <v>85833.956781844812</v>
      </c>
      <c r="H5" s="4">
        <f ca="1">MAX(0,(D5-D4)*$H$2)</f>
        <v>17889.779473195034</v>
      </c>
      <c r="I5" s="35">
        <f ca="1">I4+G5+F5+H5</f>
        <v>162985.77400723388</v>
      </c>
    </row>
    <row r="6" spans="1:9">
      <c r="A6">
        <f t="shared" ref="A6:A47" si="0">A5+1</f>
        <v>3</v>
      </c>
      <c r="B6" s="4">
        <f ca="1">MAX(0,B5-(MCSimulation!$C$6*7/ASSUMPTIONS!$D$6)*B5*C5)</f>
        <v>1670.3112963523008</v>
      </c>
      <c r="C6" s="4">
        <f ca="1">MAX(0,(1-MCSimulation!$C$7*7)*C5+(MCSimulation!$C$6*7/ASSUMPTIONS!$D$6)*B5*C5)</f>
        <v>6.7947460148154084</v>
      </c>
      <c r="D6" s="6">
        <f ca="1">MAX(0,D5+MCSimulation!$C$7*7*'Sim2'!C5)</f>
        <v>16.937185249292977</v>
      </c>
      <c r="F6" s="34">
        <f t="shared" ref="F6:F47" ca="1" si="1">MAX((B5-B6)*$F$2,0)</f>
        <v>3736.0516270384778</v>
      </c>
      <c r="G6" s="4">
        <f ca="1">C6*($G$2*(1-$G$1)+$F$2*$G$1+(ASSUMPTIONS!$D$15=1)*Simulation!$I$1)</f>
        <v>128598.51818321893</v>
      </c>
      <c r="H6" s="4">
        <f ca="1">MAX(0,(D6-D5)*$H$2)</f>
        <v>27044.572993179234</v>
      </c>
      <c r="I6" s="35">
        <f t="shared" ref="I6:I47" ca="1" si="2">I5+G6+F6+H6</f>
        <v>322364.91681067052</v>
      </c>
    </row>
    <row r="7" spans="1:9">
      <c r="A7">
        <f t="shared" si="0"/>
        <v>4</v>
      </c>
      <c r="B7" s="4">
        <f ca="1">MAX(0,B6-(MCSimulation!$C$6*7/ASSUMPTIONS!$D$6)*B6*C6)</f>
        <v>1651.7912340073021</v>
      </c>
      <c r="C7" s="4">
        <f ca="1">MAX(0,(1-MCSimulation!$C$7*7)*C6+(MCSimulation!$C$6*7/ASSUMPTIONS!$D$6)*B6*C6)</f>
        <v>10.041971598736215</v>
      </c>
      <c r="D7" s="6">
        <f ca="1">MAX(0,D6+MCSimulation!$C$7*7*'Sim2'!C6)</f>
        <v>32.210022010370807</v>
      </c>
      <c r="F7" s="34">
        <f t="shared" ca="1" si="1"/>
        <v>5556.0187034996034</v>
      </c>
      <c r="G7" s="4">
        <f ca="1">C7*($G$2*(1-$G$1)+$F$2*$G$1+(ASSUMPTIONS!$D$15=1)*Simulation!$I$1)</f>
        <v>190056.06161285337</v>
      </c>
      <c r="H7" s="4">
        <f t="shared" ref="H7:H47" ca="1" si="3">MAX(0,(D7-D6)*$H$2)</f>
        <v>40518.83592713948</v>
      </c>
      <c r="I7" s="35">
        <f t="shared" ca="1" si="2"/>
        <v>558495.83305416291</v>
      </c>
    </row>
    <row r="8" spans="1:9">
      <c r="A8">
        <f t="shared" si="0"/>
        <v>5</v>
      </c>
      <c r="B8" s="4">
        <f ca="1">MAX(0,B7-(MCSimulation!$C$6*7/ASSUMPTIONS!$D$6)*B7*C7)</f>
        <v>1624.7238711996363</v>
      </c>
      <c r="C8" s="4">
        <f ca="1">MAX(0,(1-MCSimulation!$C$7*7)*C7+(MCSimulation!$C$6*7/ASSUMPTIONS!$D$6)*B7*C7)</f>
        <v>14.537571951636599</v>
      </c>
      <c r="D8" s="6">
        <f ca="1">MAX(0,D7+MCSimulation!$C$7*7*'Sim2'!C7)</f>
        <v>54.781784465136312</v>
      </c>
      <c r="F8" s="34">
        <f t="shared" ca="1" si="1"/>
        <v>8120.2088422997576</v>
      </c>
      <c r="G8" s="4">
        <f ca="1">C8*($G$2*(1-$G$1)+$F$2*$G$1+(ASSUMPTIONS!$D$15=1)*Simulation!$I$1)</f>
        <v>275140.558143906</v>
      </c>
      <c r="H8" s="4">
        <f t="shared" ca="1" si="3"/>
        <v>59882.885792492882</v>
      </c>
      <c r="I8" s="35">
        <f t="shared" ca="1" si="2"/>
        <v>901639.48583286151</v>
      </c>
    </row>
    <row r="9" spans="1:9">
      <c r="A9">
        <f t="shared" si="0"/>
        <v>6</v>
      </c>
      <c r="B9" s="4">
        <f ca="1">MAX(0,B8-(MCSimulation!$C$6*7/ASSUMPTIONS!$D$6)*B8*C8)</f>
        <v>1586.1810733634313</v>
      </c>
      <c r="C9" s="4">
        <f ca="1">MAX(0,(1-MCSimulation!$C$7*7)*C8+(MCSimulation!$C$6*7/ASSUMPTIONS!$D$6)*B8*C8)</f>
        <v>20.403657099000753</v>
      </c>
      <c r="D9" s="6">
        <f ca="1">MAX(0,D8+MCSimulation!$C$7*7*'Sim2'!C8)</f>
        <v>87.458497153977163</v>
      </c>
      <c r="F9" s="34">
        <f t="shared" ca="1" si="1"/>
        <v>11562.839350861486</v>
      </c>
      <c r="G9" s="4">
        <f ca="1">C9*($G$2*(1-$G$1)+$F$2*$G$1+(ASSUMPTIONS!$D$15=1)*Simulation!$I$1)</f>
        <v>386163.08287739503</v>
      </c>
      <c r="H9" s="4">
        <f t="shared" ca="1" si="3"/>
        <v>86691.318763494783</v>
      </c>
      <c r="I9" s="35">
        <f t="shared" ca="1" si="2"/>
        <v>1386056.7268246128</v>
      </c>
    </row>
    <row r="10" spans="1:9">
      <c r="A10">
        <f t="shared" si="0"/>
        <v>7</v>
      </c>
      <c r="B10" s="4">
        <f ca="1">MAX(0,B9-(MCSimulation!$C$6*7/ASSUMPTIONS!$D$6)*B9*C9)</f>
        <v>1533.3690777935481</v>
      </c>
      <c r="C10" s="4">
        <f ca="1">MAX(0,(1-MCSimulation!$C$7*7)*C9+(MCSimulation!$C$6*7/ASSUMPTIONS!$D$6)*B9*C9)</f>
        <v>27.353493358943737</v>
      </c>
      <c r="D10" s="6">
        <f ca="1">MAX(0,D9+MCSimulation!$C$7*7*'Sim2'!C9)</f>
        <v>133.32065646391732</v>
      </c>
      <c r="F10" s="34">
        <f t="shared" ca="1" si="1"/>
        <v>15843.598670964981</v>
      </c>
      <c r="G10" s="4">
        <f ca="1">C10*($G$2*(1-$G$1)+$F$2*$G$1+(ASSUMPTIONS!$D$15=1)*Simulation!$I$1)</f>
        <v>517696.86540524015</v>
      </c>
      <c r="H10" s="4">
        <f t="shared" ca="1" si="3"/>
        <v>121672.30864927123</v>
      </c>
      <c r="I10" s="35">
        <f t="shared" ca="1" si="2"/>
        <v>2041269.4995500892</v>
      </c>
    </row>
    <row r="11" spans="1:9">
      <c r="A11">
        <f t="shared" si="0"/>
        <v>8</v>
      </c>
      <c r="B11" s="4">
        <f ca="1">MAX(0,B10-(MCSimulation!$C$6*7/ASSUMPTIONS!$D$6)*B10*C10)</f>
        <v>1464.9257215070452</v>
      </c>
      <c r="C11" s="4">
        <f ca="1">MAX(0,(1-MCSimulation!$C$7*7)*C10+(MCSimulation!$C$6*7/ASSUMPTIONS!$D$6)*B10*C10)</f>
        <v>34.313250699221221</v>
      </c>
      <c r="D11" s="6">
        <f ca="1">MAX(0,D10+MCSimulation!$C$7*7*'Sim2'!C10)</f>
        <v>194.80425541014276</v>
      </c>
      <c r="F11" s="34">
        <f t="shared" ca="1" si="1"/>
        <v>20533.006885950861</v>
      </c>
      <c r="G11" s="4">
        <f ca="1">C11*($G$2*(1-$G$1)+$F$2*$G$1+(ASSUMPTIONS!$D$15=1)*Simulation!$I$1)</f>
        <v>649418.41598607961</v>
      </c>
      <c r="H11" s="4">
        <f t="shared" ca="1" si="3"/>
        <v>163115.9880043361</v>
      </c>
      <c r="I11" s="35">
        <f t="shared" ca="1" si="2"/>
        <v>2874336.910426456</v>
      </c>
    </row>
    <row r="12" spans="1:9">
      <c r="A12">
        <f t="shared" si="0"/>
        <v>9</v>
      </c>
      <c r="B12" s="4">
        <f ca="1">MAX(0,B11-(MCSimulation!$C$6*7/ASSUMPTIONS!$D$6)*B11*C11)</f>
        <v>1382.9001497513016</v>
      </c>
      <c r="C12" s="4">
        <f ca="1">MAX(0,(1-MCSimulation!$C$7*7)*C11+(MCSimulation!$C$6*7/ASSUMPTIONS!$D$6)*B11*C11)</f>
        <v>39.211483842384958</v>
      </c>
      <c r="D12" s="6">
        <f ca="1">MAX(0,D11+MCSimulation!$C$7*7*'Sim2'!C11)</f>
        <v>271.93159402272261</v>
      </c>
      <c r="F12" s="34">
        <f t="shared" ca="1" si="1"/>
        <v>24607.671526723083</v>
      </c>
      <c r="G12" s="4">
        <f ca="1">C12*($G$2*(1-$G$1)+$F$2*$G$1+(ASSUMPTIONS!$D$15=1)*Simulation!$I$1)</f>
        <v>742123.20915323088</v>
      </c>
      <c r="H12" s="4">
        <f t="shared" ca="1" si="3"/>
        <v>204618.82933917435</v>
      </c>
      <c r="I12" s="35">
        <f t="shared" ca="1" si="2"/>
        <v>3845686.6204455844</v>
      </c>
    </row>
    <row r="13" spans="1:9">
      <c r="A13">
        <f t="shared" si="0"/>
        <v>10</v>
      </c>
      <c r="B13" s="4">
        <f ca="1">MAX(0,B12-(MCSimulation!$C$6*7/ASSUMPTIONS!$D$6)*B12*C12)</f>
        <v>1294.4138775432614</v>
      </c>
      <c r="C13" s="4">
        <f ca="1">MAX(0,(1-MCSimulation!$C$7*7)*C12+(MCSimulation!$C$6*7/ASSUMPTIONS!$D$6)*B12*C12)</f>
        <v>39.560452525231376</v>
      </c>
      <c r="D13" s="6">
        <f ca="1">MAX(0,D12+MCSimulation!$C$7*7*'Sim2'!C12)</f>
        <v>360.06889754791638</v>
      </c>
      <c r="F13" s="34">
        <f t="shared" ca="1" si="1"/>
        <v>26545.881662412059</v>
      </c>
      <c r="G13" s="4">
        <f ca="1">C13*($G$2*(1-$G$1)+$F$2*$G$1+(ASSUMPTIONS!$D$15=1)*Simulation!$I$1)</f>
        <v>748727.84976945829</v>
      </c>
      <c r="H13" s="4">
        <f t="shared" ca="1" si="3"/>
        <v>233828.26625233909</v>
      </c>
      <c r="I13" s="35">
        <f t="shared" ca="1" si="2"/>
        <v>4854788.6181297936</v>
      </c>
    </row>
    <row r="14" spans="1:9">
      <c r="A14">
        <f t="shared" si="0"/>
        <v>11</v>
      </c>
      <c r="B14" s="4">
        <f ca="1">MAX(0,B13-(MCSimulation!$C$6*7/ASSUMPTIONS!$D$6)*B13*C13)</f>
        <v>1210.8523809453768</v>
      </c>
      <c r="C14" s="4">
        <f ca="1">MAX(0,(1-MCSimulation!$C$7*7)*C13+(MCSimulation!$C$6*7/ASSUMPTIONS!$D$6)*B13*C13)</f>
        <v>34.200253993553019</v>
      </c>
      <c r="D14" s="6">
        <f ca="1">MAX(0,D13+MCSimulation!$C$7*7*'Sim2'!C13)</f>
        <v>448.99059267747924</v>
      </c>
      <c r="F14" s="34">
        <f t="shared" ca="1" si="1"/>
        <v>25068.44897936537</v>
      </c>
      <c r="G14" s="4">
        <f ca="1">C14*($G$2*(1-$G$1)+$F$2*$G$1+(ASSUMPTIONS!$D$15=1)*Simulation!$I$1)</f>
        <v>647279.82112516335</v>
      </c>
      <c r="H14" s="4">
        <f t="shared" ca="1" si="3"/>
        <v>235909.25717873027</v>
      </c>
      <c r="I14" s="35">
        <f t="shared" ca="1" si="2"/>
        <v>5763046.1454130532</v>
      </c>
    </row>
    <row r="15" spans="1:9">
      <c r="A15">
        <f t="shared" si="0"/>
        <v>12</v>
      </c>
      <c r="B15" s="4">
        <f ca="1">MAX(0,B14-(MCSimulation!$C$6*7/ASSUMPTIONS!$D$6)*B14*C14)</f>
        <v>1143.2764044720545</v>
      </c>
      <c r="C15" s="4">
        <f ca="1">MAX(0,(1-MCSimulation!$C$7*7)*C14+(MCSimulation!$C$6*7/ASSUMPTIONS!$D$6)*B14*C14)</f>
        <v>24.902879308196923</v>
      </c>
      <c r="D15" s="6">
        <f ca="1">MAX(0,D14+MCSimulation!$C$7*7*'Sim2'!C14)</f>
        <v>525.86394383615766</v>
      </c>
      <c r="F15" s="34">
        <f t="shared" ca="1" si="1"/>
        <v>20272.792941996682</v>
      </c>
      <c r="G15" s="4">
        <f ca="1">C15*($G$2*(1-$G$1)+$F$2*$G$1+(ASSUMPTIONS!$D$15=1)*Simulation!$I$1)</f>
        <v>471316.12727641733</v>
      </c>
      <c r="H15" s="4">
        <f t="shared" ca="1" si="3"/>
        <v>203945.00062397384</v>
      </c>
      <c r="I15" s="35">
        <f t="shared" ca="1" si="2"/>
        <v>6458580.0662554419</v>
      </c>
    </row>
    <row r="16" spans="1:9">
      <c r="A16">
        <f t="shared" si="0"/>
        <v>13</v>
      </c>
      <c r="B16" s="4">
        <f ca="1">MAX(0,B15-(MCSimulation!$C$6*7/ASSUMPTIONS!$D$6)*B15*C15)</f>
        <v>1096.8171108245567</v>
      </c>
      <c r="C16" s="4">
        <f ca="1">MAX(0,(1-MCSimulation!$C$7*7)*C15+(MCSimulation!$C$6*7/ASSUMPTIONS!$D$6)*B15*C15)</f>
        <v>15.386922412757823</v>
      </c>
      <c r="D16" s="6">
        <f ca="1">MAX(0,D15+MCSimulation!$C$7*7*'Sim2'!C15)</f>
        <v>581.83919437909458</v>
      </c>
      <c r="F16" s="34">
        <f t="shared" ca="1" si="1"/>
        <v>13937.788094249345</v>
      </c>
      <c r="G16" s="4">
        <f ca="1">C16*($G$2*(1-$G$1)+$F$2*$G$1+(ASSUMPTIONS!$D$15=1)*Simulation!$I$1)</f>
        <v>291215.5093606647</v>
      </c>
      <c r="H16" s="4">
        <f t="shared" ca="1" si="3"/>
        <v>148502.33969041164</v>
      </c>
      <c r="I16" s="35">
        <f t="shared" ca="1" si="2"/>
        <v>6912235.7034007674</v>
      </c>
    </row>
    <row r="17" spans="1:9">
      <c r="A17">
        <f t="shared" si="0"/>
        <v>14</v>
      </c>
      <c r="B17" s="4">
        <f ca="1">MAX(0,B16-(MCSimulation!$C$6*7/ASSUMPTIONS!$D$6)*B16*C16)</f>
        <v>1069.2775012273951</v>
      </c>
      <c r="C17" s="4">
        <f ca="1">MAX(0,(1-MCSimulation!$C$7*7)*C16+(MCSimulation!$C$6*7/ASSUMPTIONS!$D$6)*B16*C16)</f>
        <v>8.3406985213657592</v>
      </c>
      <c r="D17" s="6">
        <f ca="1">MAX(0,D16+MCSimulation!$C$7*7*'Sim2'!C16)</f>
        <v>616.4250278676484</v>
      </c>
      <c r="F17" s="34">
        <f t="shared" ca="1" si="1"/>
        <v>8261.8828791484921</v>
      </c>
      <c r="G17" s="4">
        <f ca="1">C17*($G$2*(1-$G$1)+$F$2*$G$1+(ASSUMPTIONS!$D$15=1)*Simulation!$I$1)</f>
        <v>157857.47813411697</v>
      </c>
      <c r="H17" s="4">
        <f t="shared" ca="1" si="3"/>
        <v>91756.21624513327</v>
      </c>
      <c r="I17" s="35">
        <f t="shared" ca="1" si="2"/>
        <v>7170111.2806591662</v>
      </c>
    </row>
    <row r="18" spans="1:9">
      <c r="A18">
        <f t="shared" si="0"/>
        <v>15</v>
      </c>
      <c r="B18" s="4">
        <f ca="1">MAX(0,B17-(MCSimulation!$C$6*7/ASSUMPTIONS!$D$6)*B17*C17)</f>
        <v>1054.7240950292812</v>
      </c>
      <c r="C18" s="4">
        <f ca="1">MAX(0,(1-MCSimulation!$C$7*7)*C17+(MCSimulation!$C$6*7/ASSUMPTIONS!$D$6)*B17*C17)</f>
        <v>4.1463654055410508</v>
      </c>
      <c r="D18" s="6">
        <f ca="1">MAX(0,D17+MCSimulation!$C$7*7*'Sim2'!C17)</f>
        <v>635.17276718158701</v>
      </c>
      <c r="F18" s="34">
        <f t="shared" ca="1" si="1"/>
        <v>4366.0218594341586</v>
      </c>
      <c r="G18" s="4">
        <f ca="1">C18*($G$2*(1-$G$1)+$F$2*$G$1+(ASSUMPTIONS!$D$15=1)*Simulation!$I$1)</f>
        <v>78474.816547388866</v>
      </c>
      <c r="H18" s="4">
        <f t="shared" ca="1" si="3"/>
        <v>49737.752399879129</v>
      </c>
      <c r="I18" s="35">
        <f t="shared" ca="1" si="2"/>
        <v>7302689.8714658692</v>
      </c>
    </row>
    <row r="19" spans="1:9">
      <c r="A19">
        <f t="shared" si="0"/>
        <v>16</v>
      </c>
      <c r="B19" s="4">
        <f ca="1">MAX(0,B18-(MCSimulation!$C$6*7/ASSUMPTIONS!$D$6)*B18*C18)</f>
        <v>1047.5877105768348</v>
      </c>
      <c r="C19" s="4">
        <f ca="1">MAX(0,(1-MCSimulation!$C$7*7)*C18+(MCSimulation!$C$6*7/ASSUMPTIONS!$D$6)*B18*C18)</f>
        <v>1.9627897222399984</v>
      </c>
      <c r="D19" s="6">
        <f ca="1">MAX(0,D18+MCSimulation!$C$7*7*'Sim2'!C18)</f>
        <v>644.49272731733447</v>
      </c>
      <c r="F19" s="34">
        <f t="shared" ca="1" si="1"/>
        <v>2140.9153357339392</v>
      </c>
      <c r="G19" s="4">
        <f ca="1">C19*($G$2*(1-$G$1)+$F$2*$G$1+(ASSUMPTIONS!$D$15=1)*Simulation!$I$1)</f>
        <v>37148.091957366989</v>
      </c>
      <c r="H19" s="4">
        <f t="shared" ca="1" si="3"/>
        <v>24725.854240138025</v>
      </c>
      <c r="I19" s="35">
        <f t="shared" ca="1" si="2"/>
        <v>7366704.7329991087</v>
      </c>
    </row>
    <row r="20" spans="1:9">
      <c r="A20">
        <f t="shared" si="0"/>
        <v>17</v>
      </c>
      <c r="B20" s="4">
        <f ca="1">MAX(0,B19-(MCSimulation!$C$6*7/ASSUMPTIONS!$D$6)*B19*C19)</f>
        <v>1044.2323749461993</v>
      </c>
      <c r="C20" s="4">
        <f ca="1">MAX(0,(1-MCSimulation!$C$7*7)*C19+(MCSimulation!$C$6*7/ASSUMPTIONS!$D$6)*B19*C19)</f>
        <v>0.90628023626183207</v>
      </c>
      <c r="D20" s="6">
        <f ca="1">MAX(0,D19+MCSimulation!$C$7*7*'Sim2'!C19)</f>
        <v>648.90457243394803</v>
      </c>
      <c r="F20" s="34">
        <f t="shared" ca="1" si="1"/>
        <v>1006.6006891906227</v>
      </c>
      <c r="G20" s="4">
        <f ca="1">C20*($G$2*(1-$G$1)+$F$2*$G$1+(ASSUMPTIONS!$D$15=1)*Simulation!$I$1)</f>
        <v>17152.413819131598</v>
      </c>
      <c r="H20" s="4">
        <f t="shared" ca="1" si="3"/>
        <v>11704.625094375782</v>
      </c>
      <c r="I20" s="35">
        <f t="shared" ca="1" si="2"/>
        <v>7396568.3726018062</v>
      </c>
    </row>
    <row r="21" spans="1:9">
      <c r="A21">
        <f t="shared" si="0"/>
        <v>18</v>
      </c>
      <c r="B21" s="4">
        <f ca="1">MAX(0,B20-(MCSimulation!$C$6*7/ASSUMPTIONS!$D$6)*B20*C20)</f>
        <v>1042.6880756929463</v>
      </c>
      <c r="C21" s="4">
        <f ca="1">MAX(0,(1-MCSimulation!$C$7*7)*C20+(MCSimulation!$C$6*7/ASSUMPTIONS!$D$6)*B20*C20)</f>
        <v>0.41349523676463695</v>
      </c>
      <c r="D21" s="6">
        <f ca="1">MAX(0,D20+MCSimulation!$C$7*7*'Sim2'!C20)</f>
        <v>650.94165668669825</v>
      </c>
      <c r="F21" s="34">
        <f t="shared" ca="1" si="1"/>
        <v>463.28977597590892</v>
      </c>
      <c r="G21" s="4">
        <f ca="1">C21*($G$2*(1-$G$1)+$F$2*$G$1+(ASSUMPTIONS!$D$15=1)*Simulation!$I$1)</f>
        <v>7825.8811451977681</v>
      </c>
      <c r="H21" s="4">
        <f t="shared" ca="1" si="3"/>
        <v>5404.384522546331</v>
      </c>
      <c r="I21" s="35">
        <f t="shared" ca="1" si="2"/>
        <v>7410261.9280455261</v>
      </c>
    </row>
    <row r="22" spans="1:9">
      <c r="A22">
        <f t="shared" si="0"/>
        <v>19</v>
      </c>
      <c r="B22" s="4">
        <f ca="1">MAX(0,B21-(MCSimulation!$C$6*7/ASSUMPTIONS!$D$6)*B21*C21)</f>
        <v>1041.9845228594174</v>
      </c>
      <c r="C22" s="4">
        <f ca="1">MAX(0,(1-MCSimulation!$C$7*7)*C21+(MCSimulation!$C$6*7/ASSUMPTIONS!$D$6)*B21*C21)</f>
        <v>0.18761741330956472</v>
      </c>
      <c r="D22" s="6">
        <f ca="1">MAX(0,D21+MCSimulation!$C$7*7*'Sim2'!C21)</f>
        <v>651.87108734368223</v>
      </c>
      <c r="F22" s="34">
        <f t="shared" ca="1" si="1"/>
        <v>211.06585005866236</v>
      </c>
      <c r="G22" s="4">
        <f ca="1">C22*($G$2*(1-$G$1)+$F$2*$G$1+(ASSUMPTIONS!$D$15=1)*Simulation!$I$1)</f>
        <v>3550.879059257084</v>
      </c>
      <c r="H22" s="4">
        <f t="shared" ca="1" si="3"/>
        <v>2465.779532978504</v>
      </c>
      <c r="I22" s="35">
        <f t="shared" ca="1" si="2"/>
        <v>7416489.65248782</v>
      </c>
    </row>
    <row r="23" spans="1:9">
      <c r="A23">
        <f t="shared" si="0"/>
        <v>20</v>
      </c>
      <c r="B23" s="4">
        <f ca="1">MAX(0,B22-(MCSimulation!$C$6*7/ASSUMPTIONS!$D$6)*B22*C22)</f>
        <v>1041.6655114537723</v>
      </c>
      <c r="C23" s="4">
        <f ca="1">MAX(0,(1-MCSimulation!$C$7*7)*C22+(MCSimulation!$C$6*7/ASSUMPTIONS!$D$6)*B22*C22)</f>
        <v>8.4913258025002714E-2</v>
      </c>
      <c r="D23" s="6">
        <f ca="1">MAX(0,D22+MCSimulation!$C$7*7*'Sim2'!C22)</f>
        <v>652.2928029046119</v>
      </c>
      <c r="F23" s="34">
        <f t="shared" ca="1" si="1"/>
        <v>95.703421693542623</v>
      </c>
      <c r="G23" s="4">
        <f ca="1">C23*($G$2*(1-$G$1)+$F$2*$G$1+(ASSUMPTIONS!$D$15=1)*Simulation!$I$1)</f>
        <v>1607.0827566350654</v>
      </c>
      <c r="H23" s="4">
        <f t="shared" ca="1" si="3"/>
        <v>1118.8113831464136</v>
      </c>
      <c r="I23" s="35">
        <f t="shared" ca="1" si="2"/>
        <v>7419311.2500492949</v>
      </c>
    </row>
    <row r="24" spans="1:9">
      <c r="A24">
        <f t="shared" si="0"/>
        <v>21</v>
      </c>
      <c r="B24" s="4">
        <f ca="1">MAX(0,B23-(MCSimulation!$C$6*7/ASSUMPTIONS!$D$6)*B23*C23)</f>
        <v>1041.5211751470486</v>
      </c>
      <c r="C24" s="4">
        <f ca="1">MAX(0,(1-MCSimulation!$C$7*7)*C23+(MCSimulation!$C$6*7/ASSUMPTIONS!$D$6)*B23*C23)</f>
        <v>3.8386458778469329E-2</v>
      </c>
      <c r="D24" s="6">
        <f ca="1">MAX(0,D23+MCSimulation!$C$7*7*'Sim2'!C23)</f>
        <v>652.48366601058228</v>
      </c>
      <c r="F24" s="34">
        <f t="shared" ca="1" si="1"/>
        <v>43.30089201712326</v>
      </c>
      <c r="G24" s="4">
        <f ca="1">C24*($G$2*(1-$G$1)+$F$2*$G$1+(ASSUMPTIONS!$D$15=1)*Simulation!$I$1)</f>
        <v>726.50864453930274</v>
      </c>
      <c r="H24" s="4">
        <f t="shared" ca="1" si="3"/>
        <v>506.35982013941646</v>
      </c>
      <c r="I24" s="35">
        <f t="shared" ca="1" si="2"/>
        <v>7420587.4194059903</v>
      </c>
    </row>
    <row r="25" spans="1:9">
      <c r="A25">
        <f t="shared" si="0"/>
        <v>22</v>
      </c>
      <c r="B25" s="4">
        <f ca="1">MAX(0,B24-(MCSimulation!$C$6*7/ASSUMPTIONS!$D$6)*B24*C24)</f>
        <v>1041.4559345462221</v>
      </c>
      <c r="C25" s="4">
        <f ca="1">MAX(0,(1-MCSimulation!$C$7*7)*C24+(MCSimulation!$C$6*7/ASSUMPTIONS!$D$6)*B24*C24)</f>
        <v>1.7344199659614812E-2</v>
      </c>
      <c r="D25" s="6">
        <f ca="1">MAX(0,D24+MCSimulation!$C$7*7*'Sim2'!C24)</f>
        <v>652.56994887052747</v>
      </c>
      <c r="F25" s="34">
        <f t="shared" ca="1" si="1"/>
        <v>19.572180247928372</v>
      </c>
      <c r="G25" s="4">
        <f ca="1">C25*($G$2*(1-$G$1)+$F$2*$G$1+(ASSUMPTIONS!$D$15=1)*Simulation!$I$1)</f>
        <v>328.25927127181205</v>
      </c>
      <c r="H25" s="4">
        <f t="shared" ca="1" si="3"/>
        <v>228.90842743457824</v>
      </c>
      <c r="I25" s="35">
        <f t="shared" ca="1" si="2"/>
        <v>7421164.1592849446</v>
      </c>
    </row>
    <row r="26" spans="1:9">
      <c r="A26">
        <f t="shared" si="0"/>
        <v>23</v>
      </c>
      <c r="B26" s="4">
        <f ca="1">MAX(0,B25-(MCSimulation!$C$6*7/ASSUMPTIONS!$D$6)*B25*C25)</f>
        <v>1041.4264586538652</v>
      </c>
      <c r="C26" s="4">
        <f ca="1">MAX(0,(1-MCSimulation!$C$7*7)*C25+(MCSimulation!$C$6*7/ASSUMPTIONS!$D$6)*B25*C25)</f>
        <v>7.8348040343248528E-3</v>
      </c>
      <c r="D26" s="6">
        <f ca="1">MAX(0,D25+MCSimulation!$C$7*7*'Sim2'!C25)</f>
        <v>652.60893415850956</v>
      </c>
      <c r="F26" s="34">
        <f t="shared" ca="1" si="1"/>
        <v>8.8427677070740174</v>
      </c>
      <c r="G26" s="4">
        <f ca="1">C26*($G$2*(1-$G$1)+$F$2*$G$1+(ASSUMPTIONS!$D$15=1)*Simulation!$I$1)</f>
        <v>148.28283307031799</v>
      </c>
      <c r="H26" s="4">
        <f t="shared" ca="1" si="3"/>
        <v>103.42796901647534</v>
      </c>
      <c r="I26" s="35">
        <f t="shared" ca="1" si="2"/>
        <v>7421424.7128547383</v>
      </c>
    </row>
    <row r="27" spans="1:9">
      <c r="A27">
        <f t="shared" si="0"/>
        <v>24</v>
      </c>
      <c r="B27" s="4">
        <f ca="1">MAX(0,B26-(MCSimulation!$C$6*7/ASSUMPTIONS!$D$6)*B26*C26)</f>
        <v>1041.4131440409833</v>
      </c>
      <c r="C27" s="4">
        <f ca="1">MAX(0,(1-MCSimulation!$C$7*7)*C26+(MCSimulation!$C$6*7/ASSUMPTIONS!$D$6)*B26*C26)</f>
        <v>3.5387979453409112E-3</v>
      </c>
      <c r="D27" s="6">
        <f ca="1">MAX(0,D26+MCSimulation!$C$7*7*'Sim2'!C26)</f>
        <v>652.62654477748049</v>
      </c>
      <c r="F27" s="34">
        <f t="shared" ca="1" si="1"/>
        <v>3.994383864574047</v>
      </c>
      <c r="G27" s="4">
        <f ca="1">C27*($G$2*(1-$G$1)+$F$2*$G$1+(ASSUMPTIONS!$D$15=1)*Simulation!$I$1)</f>
        <v>66.975891509172783</v>
      </c>
      <c r="H27" s="4">
        <f t="shared" ca="1" si="3"/>
        <v>46.720972129888992</v>
      </c>
      <c r="I27" s="35">
        <f t="shared" ca="1" si="2"/>
        <v>7421542.4041022426</v>
      </c>
    </row>
    <row r="28" spans="1:9">
      <c r="A28">
        <f t="shared" si="0"/>
        <v>25</v>
      </c>
      <c r="B28" s="4">
        <f ca="1">MAX(0,B27-(MCSimulation!$C$6*7/ASSUMPTIONS!$D$6)*B27*C27)</f>
        <v>1041.4071302182886</v>
      </c>
      <c r="C28" s="4">
        <f ca="1">MAX(0,(1-MCSimulation!$C$7*7)*C27+(MCSimulation!$C$6*7/ASSUMPTIONS!$D$6)*B27*C27)</f>
        <v>1.5983154708248317E-3</v>
      </c>
      <c r="D28" s="6">
        <f ca="1">MAX(0,D27+MCSimulation!$C$7*7*'Sim2'!C27)</f>
        <v>652.63449908264977</v>
      </c>
      <c r="F28" s="34">
        <f t="shared" ca="1" si="1"/>
        <v>1.8041468084220469</v>
      </c>
      <c r="G28" s="4">
        <f ca="1">C28*($G$2*(1-$G$1)+$F$2*$G$1+(ASSUMPTIONS!$D$15=1)*Simulation!$I$1)</f>
        <v>30.249990314460803</v>
      </c>
      <c r="H28" s="4">
        <f t="shared" ca="1" si="3"/>
        <v>21.102771614094763</v>
      </c>
      <c r="I28" s="35">
        <f t="shared" ca="1" si="2"/>
        <v>7421595.5610109791</v>
      </c>
    </row>
    <row r="29" spans="1:9">
      <c r="A29">
        <f t="shared" si="0"/>
        <v>26</v>
      </c>
      <c r="B29" s="4">
        <f ca="1">MAX(0,B28-(MCSimulation!$C$6*7/ASSUMPTIONS!$D$6)*B28*C28)</f>
        <v>1041.4044140614201</v>
      </c>
      <c r="C29" s="4">
        <f ca="1">MAX(0,(1-MCSimulation!$C$7*7)*C28+(MCSimulation!$C$6*7/ASSUMPTIONS!$D$6)*B28*C28)</f>
        <v>7.2187134660925932E-4</v>
      </c>
      <c r="D29" s="6">
        <f ca="1">MAX(0,D28+MCSimulation!$C$7*7*'Sim2'!C28)</f>
        <v>652.63809168364253</v>
      </c>
      <c r="F29" s="34">
        <f t="shared" ca="1" si="1"/>
        <v>0.81484706054197886</v>
      </c>
      <c r="G29" s="4">
        <f ca="1">C29*($G$2*(1-$G$1)+$F$2*$G$1+(ASSUMPTIONS!$D$15=1)*Simulation!$I$1)</f>
        <v>13.662259824055765</v>
      </c>
      <c r="H29" s="4">
        <f t="shared" ca="1" si="3"/>
        <v>9.5311704337941592</v>
      </c>
      <c r="I29" s="35">
        <f t="shared" ca="1" si="2"/>
        <v>7421619.5692882966</v>
      </c>
    </row>
    <row r="30" spans="1:9">
      <c r="A30">
        <f t="shared" si="0"/>
        <v>27</v>
      </c>
      <c r="B30" s="4">
        <f ca="1">MAX(0,B29-(MCSimulation!$C$6*7/ASSUMPTIONS!$D$6)*B29*C29)</f>
        <v>1041.4031873256858</v>
      </c>
      <c r="C30" s="4">
        <f ca="1">MAX(0,(1-MCSimulation!$C$7*7)*C29+(MCSimulation!$C$6*7/ASSUMPTIONS!$D$6)*B29*C29)</f>
        <v>3.2602645516854195E-4</v>
      </c>
      <c r="D30" s="6">
        <f ca="1">MAX(0,D29+MCSimulation!$C$7*7*'Sim2'!C29)</f>
        <v>652.63971426426804</v>
      </c>
      <c r="F30" s="34">
        <f t="shared" ca="1" si="1"/>
        <v>0.36802072027057875</v>
      </c>
      <c r="G30" s="4">
        <f ca="1">C30*($G$2*(1-$G$1)+$F$2*$G$1+(ASSUMPTIONS!$D$15=1)*Simulation!$I$1)</f>
        <v>6.1704321150172028</v>
      </c>
      <c r="H30" s="4">
        <f t="shared" ca="1" si="3"/>
        <v>4.3047063994724795</v>
      </c>
      <c r="I30" s="35">
        <f t="shared" ca="1" si="2"/>
        <v>7421630.4124475308</v>
      </c>
    </row>
    <row r="31" spans="1:9">
      <c r="A31">
        <f t="shared" si="0"/>
        <v>28</v>
      </c>
      <c r="B31" s="4">
        <f ca="1">MAX(0,B30-(MCSimulation!$C$6*7/ASSUMPTIONS!$D$6)*B30*C30)</f>
        <v>1041.4026332825956</v>
      </c>
      <c r="C31" s="4">
        <f ca="1">MAX(0,(1-MCSimulation!$C$7*7)*C30+(MCSimulation!$C$6*7/ASSUMPTIONS!$D$6)*B30*C30)</f>
        <v>1.4724615244085727E-4</v>
      </c>
      <c r="D31" s="6">
        <f ca="1">MAX(0,D30+MCSimulation!$C$7*7*'Sim2'!C30)</f>
        <v>652.64044708766107</v>
      </c>
      <c r="F31" s="34">
        <f t="shared" ca="1" si="1"/>
        <v>0.16621292706986424</v>
      </c>
      <c r="G31" s="4">
        <f ca="1">C31*($G$2*(1-$G$1)+$F$2*$G$1+(ASSUMPTIONS!$D$15=1)*Simulation!$I$1)</f>
        <v>2.7868057129415793</v>
      </c>
      <c r="H31" s="4">
        <f t="shared" ca="1" si="3"/>
        <v>1.9441804617260914</v>
      </c>
      <c r="I31" s="35">
        <f t="shared" ca="1" si="2"/>
        <v>7421635.3096466316</v>
      </c>
    </row>
    <row r="32" spans="1:9">
      <c r="A32">
        <f t="shared" si="0"/>
        <v>29</v>
      </c>
      <c r="B32" s="4">
        <f ca="1">MAX(0,B31-(MCSimulation!$C$6*7/ASSUMPTIONS!$D$6)*B31*C31)</f>
        <v>1041.4023830554479</v>
      </c>
      <c r="C32" s="4">
        <f ca="1">MAX(0,(1-MCSimulation!$C$7*7)*C31+(MCSimulation!$C$6*7/ASSUMPTIONS!$D$6)*B31*C31)</f>
        <v>6.6501922352246994E-5</v>
      </c>
      <c r="D32" s="6">
        <f ca="1">MAX(0,D31+MCSimulation!$C$7*7*'Sim2'!C31)</f>
        <v>652.64077805903878</v>
      </c>
      <c r="F32" s="34">
        <f t="shared" ca="1" si="1"/>
        <v>7.5068144315082463E-2</v>
      </c>
      <c r="G32" s="4">
        <f ca="1">C32*($G$2*(1-$G$1)+$F$2*$G$1+(ASSUMPTIONS!$D$15=1)*Simulation!$I$1)</f>
        <v>1.2586266877654264</v>
      </c>
      <c r="H32" s="4">
        <f t="shared" ca="1" si="3"/>
        <v>0.8780670650569391</v>
      </c>
      <c r="I32" s="35">
        <f t="shared" ca="1" si="2"/>
        <v>7421637.5214085281</v>
      </c>
    </row>
    <row r="33" spans="1:9">
      <c r="A33">
        <f t="shared" si="0"/>
        <v>30</v>
      </c>
      <c r="B33" s="4">
        <f ca="1">MAX(0,B32-(MCSimulation!$C$6*7/ASSUMPTIONS!$D$6)*B32*C32)</f>
        <v>1041.4022700434468</v>
      </c>
      <c r="C33" s="4">
        <f ca="1">MAX(0,(1-MCSimulation!$C$7*7)*C32+(MCSimulation!$C$6*7/ASSUMPTIONS!$D$6)*B32*C32)</f>
        <v>3.0034752045135778E-5</v>
      </c>
      <c r="D33" s="6">
        <f ca="1">MAX(0,D32+MCSimulation!$C$7*7*'Sim2'!C32)</f>
        <v>652.64092753821024</v>
      </c>
      <c r="F33" s="34">
        <f t="shared" ca="1" si="1"/>
        <v>3.3903600319717953E-2</v>
      </c>
      <c r="G33" s="4">
        <f ca="1">C33*($G$2*(1-$G$1)+$F$2*$G$1+(ASSUMPTIONS!$D$15=1)*Simulation!$I$1)</f>
        <v>0.56844282311408734</v>
      </c>
      <c r="H33" s="4">
        <f t="shared" ca="1" si="3"/>
        <v>0.39656824186988615</v>
      </c>
      <c r="I33" s="35">
        <f t="shared" ca="1" si="2"/>
        <v>7421638.5203231936</v>
      </c>
    </row>
    <row r="34" spans="1:9">
      <c r="A34">
        <f t="shared" si="0"/>
        <v>31</v>
      </c>
      <c r="B34" s="4">
        <f ca="1">MAX(0,B33-(MCSimulation!$C$6*7/ASSUMPTIONS!$D$6)*B33*C33)</f>
        <v>1041.4022190030116</v>
      </c>
      <c r="C34" s="4">
        <f ca="1">MAX(0,(1-MCSimulation!$C$7*7)*C33+(MCSimulation!$C$6*7/ASSUMPTIONS!$D$6)*B33*C33)</f>
        <v>1.3564810311644282E-5</v>
      </c>
      <c r="D34" s="6">
        <f ca="1">MAX(0,D33+MCSimulation!$C$7*7*'Sim2'!C33)</f>
        <v>652.64099504858723</v>
      </c>
      <c r="F34" s="34">
        <f t="shared" ca="1" si="1"/>
        <v>1.5312130562961102E-2</v>
      </c>
      <c r="G34" s="4">
        <f ca="1">C34*($G$2*(1-$G$1)+$F$2*$G$1+(ASSUMPTIONS!$D$15=1)*Simulation!$I$1)</f>
        <v>0.25672990597593265</v>
      </c>
      <c r="H34" s="4">
        <f t="shared" ca="1" si="3"/>
        <v>0.1791050301640098</v>
      </c>
      <c r="I34" s="35">
        <f t="shared" ca="1" si="2"/>
        <v>7421638.971470261</v>
      </c>
    </row>
    <row r="35" spans="1:9">
      <c r="A35">
        <f t="shared" si="0"/>
        <v>32</v>
      </c>
      <c r="B35" s="4">
        <f ca="1">MAX(0,B34-(MCSimulation!$C$6*7/ASSUMPTIONS!$D$6)*B34*C34)</f>
        <v>1041.4021959512552</v>
      </c>
      <c r="C35" s="4">
        <f ca="1">MAX(0,(1-MCSimulation!$C$7*7)*C34+(MCSimulation!$C$6*7/ASSUMPTIONS!$D$6)*B34*C34)</f>
        <v>6.1263713641198266E-6</v>
      </c>
      <c r="D35" s="6">
        <f ca="1">MAX(0,D34+MCSimulation!$C$7*7*'Sim2'!C34)</f>
        <v>652.64102553878263</v>
      </c>
      <c r="F35" s="34">
        <f t="shared" ca="1" si="1"/>
        <v>6.915526932971261E-3</v>
      </c>
      <c r="G35" s="4">
        <f ca="1">C35*($G$2*(1-$G$1)+$F$2*$G$1+(ASSUMPTIONS!$D$15=1)*Simulation!$I$1)</f>
        <v>0.11594874592046372</v>
      </c>
      <c r="H35" s="4">
        <f t="shared" ca="1" si="3"/>
        <v>8.0890488395084503E-2</v>
      </c>
      <c r="I35" s="35">
        <f t="shared" ca="1" si="2"/>
        <v>7421639.1752250232</v>
      </c>
    </row>
    <row r="36" spans="1:9">
      <c r="A36">
        <f t="shared" si="0"/>
        <v>33</v>
      </c>
      <c r="B36" s="4">
        <f ca="1">MAX(0,B35-(MCSimulation!$C$6*7/ASSUMPTIONS!$D$6)*B35*C35)</f>
        <v>1041.4021855402273</v>
      </c>
      <c r="C36" s="4">
        <f ca="1">MAX(0,(1-MCSimulation!$C$7*7)*C35+(MCSimulation!$C$6*7/ASSUMPTIONS!$D$6)*B35*C35)</f>
        <v>2.7668962634045034E-6</v>
      </c>
      <c r="D36" s="6">
        <f ca="1">MAX(0,D35+MCSimulation!$C$7*7*'Sim2'!C35)</f>
        <v>652.64103930928559</v>
      </c>
      <c r="F36" s="34">
        <f t="shared" ca="1" si="1"/>
        <v>3.1233083745974E-3</v>
      </c>
      <c r="G36" s="4">
        <f ca="1">C36*($G$2*(1-$G$1)+$F$2*$G$1+(ASSUMPTIONS!$D$15=1)*Simulation!$I$1)</f>
        <v>5.2366749053558405E-2</v>
      </c>
      <c r="H36" s="4">
        <f t="shared" ca="1" si="3"/>
        <v>3.653314435325683E-2</v>
      </c>
      <c r="I36" s="35">
        <f t="shared" ca="1" si="2"/>
        <v>7421639.2672482254</v>
      </c>
    </row>
    <row r="37" spans="1:9">
      <c r="A37">
        <f t="shared" si="0"/>
        <v>34</v>
      </c>
      <c r="B37" s="4">
        <f ca="1">MAX(0,B36-(MCSimulation!$C$6*7/ASSUMPTIONS!$D$6)*B36*C36)</f>
        <v>1041.4021808382215</v>
      </c>
      <c r="C37" s="4">
        <f ca="1">MAX(0,(1-MCSimulation!$C$7*7)*C36+(MCSimulation!$C$6*7/ASSUMPTIONS!$D$6)*B36*C36)</f>
        <v>1.2496328069988247E-6</v>
      </c>
      <c r="D37" s="6">
        <f ca="1">MAX(0,D36+MCSimulation!$C$7*7*'Sim2'!C36)</f>
        <v>652.64104552855486</v>
      </c>
      <c r="F37" s="34">
        <f t="shared" ca="1" si="1"/>
        <v>1.4106017260928638E-3</v>
      </c>
      <c r="G37" s="4">
        <f ca="1">C37*($G$2*(1-$G$1)+$F$2*$G$1+(ASSUMPTIONS!$D$15=1)*Simulation!$I$1)</f>
        <v>2.3650762942836943E-2</v>
      </c>
      <c r="H37" s="4">
        <f t="shared" ca="1" si="3"/>
        <v>1.6499721364539255E-2</v>
      </c>
      <c r="I37" s="35">
        <f t="shared" ca="1" si="2"/>
        <v>7421639.3088093111</v>
      </c>
    </row>
    <row r="38" spans="1:9">
      <c r="A38">
        <f t="shared" si="0"/>
        <v>35</v>
      </c>
      <c r="B38" s="4">
        <f ca="1">MAX(0,B37-(MCSimulation!$C$6*7/ASSUMPTIONS!$D$6)*B37*C37)</f>
        <v>1041.4021787146216</v>
      </c>
      <c r="C38" s="4">
        <f ca="1">MAX(0,(1-MCSimulation!$C$7*7)*C37+(MCSimulation!$C$6*7/ASSUMPTIONS!$D$6)*B37*C37)</f>
        <v>5.6438043827373397E-7</v>
      </c>
      <c r="D38" s="6">
        <f ca="1">MAX(0,D37+MCSimulation!$C$7*7*'Sim2'!C37)</f>
        <v>652.64104833740714</v>
      </c>
      <c r="F38" s="34">
        <f t="shared" ca="1" si="1"/>
        <v>6.3707996105222264E-4</v>
      </c>
      <c r="G38" s="4">
        <f ca="1">C38*($G$2*(1-$G$1)+$F$2*$G$1+(ASSUMPTIONS!$D$15=1)*Simulation!$I$1)</f>
        <v>1.0681560119443195E-2</v>
      </c>
      <c r="H38" s="4">
        <f t="shared" ca="1" si="3"/>
        <v>7.4518851167795219E-3</v>
      </c>
      <c r="I38" s="35">
        <f t="shared" ca="1" si="2"/>
        <v>7421639.3275798364</v>
      </c>
    </row>
    <row r="39" spans="1:9">
      <c r="A39">
        <f t="shared" si="0"/>
        <v>36</v>
      </c>
      <c r="B39" s="4">
        <f ca="1">MAX(0,B38-(MCSimulation!$C$6*7/ASSUMPTIONS!$D$6)*B38*C38)</f>
        <v>1041.4021777555254</v>
      </c>
      <c r="C39" s="4">
        <f ca="1">MAX(0,(1-MCSimulation!$C$7*7)*C38+(MCSimulation!$C$6*7/ASSUMPTIONS!$D$6)*B38*C38)</f>
        <v>2.5489509788643426E-7</v>
      </c>
      <c r="D39" s="6">
        <f ca="1">MAX(0,D38+MCSimulation!$C$7*7*'Sim2'!C38)</f>
        <v>652.64104960598877</v>
      </c>
      <c r="F39" s="34">
        <f t="shared" ca="1" si="1"/>
        <v>2.8772888072126079E-4</v>
      </c>
      <c r="G39" s="4">
        <f ca="1">C39*($G$2*(1-$G$1)+$F$2*$G$1+(ASSUMPTIONS!$D$15=1)*Simulation!$I$1)</f>
        <v>4.8241879547652952E-3</v>
      </c>
      <c r="H39" s="4">
        <f t="shared" ca="1" si="3"/>
        <v>3.3655470572284685E-3</v>
      </c>
      <c r="I39" s="35">
        <f t="shared" ca="1" si="2"/>
        <v>7421639.3360573007</v>
      </c>
    </row>
    <row r="40" spans="1:9">
      <c r="A40">
        <f t="shared" si="0"/>
        <v>37</v>
      </c>
      <c r="B40" s="4">
        <f ca="1">MAX(0,B39-(MCSimulation!$C$6*7/ASSUMPTIONS!$D$6)*B39*C39)</f>
        <v>1041.4021773223619</v>
      </c>
      <c r="C40" s="4">
        <f ca="1">MAX(0,(1-MCSimulation!$C$7*7)*C39+(MCSimulation!$C$6*7/ASSUMPTIONS!$D$6)*B39*C39)</f>
        <v>1.1512006138999985E-7</v>
      </c>
      <c r="D40" s="6">
        <f ca="1">MAX(0,D39+MCSimulation!$C$7*7*'Sim2'!C39)</f>
        <v>652.64105017892723</v>
      </c>
      <c r="F40" s="34">
        <f t="shared" ca="1" si="1"/>
        <v>1.2994903499929933E-4</v>
      </c>
      <c r="G40" s="4">
        <f ca="1">C40*($G$2*(1-$G$1)+$F$2*$G$1+(ASSUMPTIONS!$D$15=1)*Simulation!$I$1)</f>
        <v>2.1787818522775735E-3</v>
      </c>
      <c r="H40" s="4">
        <f t="shared" ca="1" si="3"/>
        <v>1.5200057373476739E-3</v>
      </c>
      <c r="I40" s="35">
        <f t="shared" ca="1" si="2"/>
        <v>7421639.3398860376</v>
      </c>
    </row>
    <row r="41" spans="1:9">
      <c r="A41">
        <f t="shared" si="0"/>
        <v>38</v>
      </c>
      <c r="B41" s="4">
        <f ca="1">MAX(0,B40-(MCSimulation!$C$6*7/ASSUMPTIONS!$D$6)*B40*C40)</f>
        <v>1041.4021771267294</v>
      </c>
      <c r="C41" s="4">
        <f ca="1">MAX(0,(1-MCSimulation!$C$7*7)*C40+(MCSimulation!$C$6*7/ASSUMPTIONS!$D$6)*B40*C40)</f>
        <v>5.1992480920918282E-8</v>
      </c>
      <c r="D41" s="6">
        <f ca="1">MAX(0,D40+MCSimulation!$C$7*7*'Sim2'!C40)</f>
        <v>652.64105043768745</v>
      </c>
      <c r="F41" s="34">
        <f t="shared" ca="1" si="1"/>
        <v>5.8689761317509692E-5</v>
      </c>
      <c r="G41" s="4">
        <f ca="1">C41*($G$2*(1-$G$1)+$F$2*$G$1+(ASSUMPTIONS!$D$15=1)*Simulation!$I$1)</f>
        <v>9.8401853263105593E-4</v>
      </c>
      <c r="H41" s="4">
        <f t="shared" ca="1" si="3"/>
        <v>6.8649087404537568E-4</v>
      </c>
      <c r="I41" s="35">
        <f t="shared" ca="1" si="2"/>
        <v>7421639.3416152373</v>
      </c>
    </row>
    <row r="42" spans="1:9">
      <c r="A42">
        <f t="shared" si="0"/>
        <v>39</v>
      </c>
      <c r="B42" s="4">
        <f ca="1">MAX(0,B41-(MCSimulation!$C$6*7/ASSUMPTIONS!$D$6)*B41*C41)</f>
        <v>1041.4021770383745</v>
      </c>
      <c r="C42" s="4">
        <f ca="1">MAX(0,(1-MCSimulation!$C$7*7)*C41+(MCSimulation!$C$6*7/ASSUMPTIONS!$D$6)*B41*C41)</f>
        <v>2.3481728881671E-8</v>
      </c>
      <c r="D42" s="6">
        <f ca="1">MAX(0,D41+MCSimulation!$C$7*7*'Sim2'!C41)</f>
        <v>652.64105055455309</v>
      </c>
      <c r="F42" s="34">
        <f t="shared" ca="1" si="1"/>
        <v>2.6506472750043031E-5</v>
      </c>
      <c r="G42" s="4">
        <f ca="1">C42*($G$2*(1-$G$1)+$F$2*$G$1+(ASSUMPTIONS!$D$15=1)*Simulation!$I$1)</f>
        <v>4.4441919270841519E-4</v>
      </c>
      <c r="H42" s="4">
        <f t="shared" ca="1" si="3"/>
        <v>3.1004453069272131E-4</v>
      </c>
      <c r="I42" s="35">
        <f t="shared" ca="1" si="2"/>
        <v>7421639.3423962072</v>
      </c>
    </row>
    <row r="43" spans="1:9">
      <c r="A43">
        <f t="shared" si="0"/>
        <v>40</v>
      </c>
      <c r="B43" s="4">
        <f ca="1">MAX(0,B42-(MCSimulation!$C$6*7/ASSUMPTIONS!$D$6)*B42*C42)</f>
        <v>1041.4021769984702</v>
      </c>
      <c r="C43" s="4">
        <f ca="1">MAX(0,(1-MCSimulation!$C$7*7)*C42+(MCSimulation!$C$6*7/ASSUMPTIONS!$D$6)*B42*C42)</f>
        <v>1.0605217934011579E-8</v>
      </c>
      <c r="D43" s="6">
        <f ca="1">MAX(0,D42+MCSimulation!$C$7*7*'Sim2'!C42)</f>
        <v>652.64105060733391</v>
      </c>
      <c r="F43" s="34">
        <f t="shared" ca="1" si="1"/>
        <v>1.1971292224188801E-5</v>
      </c>
      <c r="G43" s="4">
        <f ca="1">C43*($G$2*(1-$G$1)+$F$2*$G$1+(ASSUMPTIONS!$D$15=1)*Simulation!$I$1)</f>
        <v>2.007161575061519E-4</v>
      </c>
      <c r="H43" s="4">
        <f t="shared" ca="1" si="3"/>
        <v>1.4002751470343355E-4</v>
      </c>
      <c r="I43" s="35">
        <f t="shared" ca="1" si="2"/>
        <v>7421639.3427489214</v>
      </c>
    </row>
    <row r="44" spans="1:9">
      <c r="A44">
        <f t="shared" si="0"/>
        <v>41</v>
      </c>
      <c r="B44" s="4">
        <f ca="1">MAX(0,B43-(MCSimulation!$C$6*7/ASSUMPTIONS!$D$6)*B43*C43)</f>
        <v>1041.4021769804478</v>
      </c>
      <c r="C44" s="4">
        <f ca="1">MAX(0,(1-MCSimulation!$C$7*7)*C43+(MCSimulation!$C$6*7/ASSUMPTIONS!$D$6)*B43*C43)</f>
        <v>4.7897089681269378E-9</v>
      </c>
      <c r="D44" s="6">
        <f ca="1">MAX(0,D43+MCSimulation!$C$7*7*'Sim2'!C43)</f>
        <v>652.64105063117165</v>
      </c>
      <c r="F44" s="34">
        <f t="shared" ca="1" si="1"/>
        <v>5.4066958909970708E-6</v>
      </c>
      <c r="G44" s="4">
        <f ca="1">C44*($G$2*(1-$G$1)+$F$2*$G$1+(ASSUMPTIONS!$D$15=1)*Simulation!$I$1)</f>
        <v>9.0650846181295004E-5</v>
      </c>
      <c r="H44" s="4">
        <f t="shared" ca="1" si="3"/>
        <v>6.324153071091132E-5</v>
      </c>
      <c r="I44" s="35">
        <f t="shared" ca="1" si="2"/>
        <v>7421639.3429082204</v>
      </c>
    </row>
    <row r="45" spans="1:9">
      <c r="A45">
        <f t="shared" si="0"/>
        <v>42</v>
      </c>
      <c r="B45" s="4">
        <f ca="1">MAX(0,B44-(MCSimulation!$C$6*7/ASSUMPTIONS!$D$6)*B44*C44)</f>
        <v>1041.4021769723083</v>
      </c>
      <c r="C45" s="4">
        <f ca="1">MAX(0,(1-MCSimulation!$C$7*7)*C44+(MCSimulation!$C$6*7/ASSUMPTIONS!$D$6)*B44*C44)</f>
        <v>2.1632098595812512E-9</v>
      </c>
      <c r="D45" s="6">
        <f ca="1">MAX(0,D44+MCSimulation!$C$7*7*'Sim2'!C44)</f>
        <v>652.64105064193768</v>
      </c>
      <c r="F45" s="34">
        <f t="shared" ca="1" si="1"/>
        <v>2.4418568500550464E-6</v>
      </c>
      <c r="G45" s="4">
        <f ca="1">C45*($G$2*(1-$G$1)+$F$2*$G$1+(ASSUMPTIONS!$D$15=1)*Simulation!$I$1)</f>
        <v>4.0941277548110884E-5</v>
      </c>
      <c r="H45" s="4">
        <f t="shared" ca="1" si="3"/>
        <v>2.8562277179844386E-5</v>
      </c>
      <c r="I45" s="35">
        <f t="shared" ca="1" si="2"/>
        <v>7421639.342980166</v>
      </c>
    </row>
    <row r="46" spans="1:9">
      <c r="A46">
        <f t="shared" si="0"/>
        <v>43</v>
      </c>
      <c r="B46" s="4">
        <f ca="1">MAX(0,B45-(MCSimulation!$C$6*7/ASSUMPTIONS!$D$6)*B45*C45)</f>
        <v>1041.4021769686321</v>
      </c>
      <c r="C46" s="4">
        <f ca="1">MAX(0,(1-MCSimulation!$C$7*7)*C45+(MCSimulation!$C$6*7/ASSUMPTIONS!$D$6)*B45*C45)</f>
        <v>9.7698564309260577E-10</v>
      </c>
      <c r="D46" s="6">
        <f ca="1">MAX(0,D45+MCSimulation!$C$7*7*'Sim2'!C45)</f>
        <v>652.64105064680007</v>
      </c>
      <c r="F46" s="34">
        <f t="shared" ca="1" si="1"/>
        <v>1.1028532753698528E-6</v>
      </c>
      <c r="G46" s="4">
        <f ca="1">C46*($G$2*(1-$G$1)+$F$2*$G$1+(ASSUMPTIONS!$D$15=1)*Simulation!$I$1)</f>
        <v>1.8490596368729981E-5</v>
      </c>
      <c r="H46" s="4">
        <f t="shared" ca="1" si="3"/>
        <v>1.2899910188934882E-5</v>
      </c>
      <c r="I46" s="35">
        <f t="shared" ca="1" si="2"/>
        <v>7421639.3430126589</v>
      </c>
    </row>
    <row r="47" spans="1:9">
      <c r="A47">
        <f t="shared" si="0"/>
        <v>44</v>
      </c>
      <c r="B47" s="4">
        <f ca="1">MAX(0,B46-(MCSimulation!$C$6*7/ASSUMPTIONS!$D$6)*B46*C46)</f>
        <v>1041.4021769669719</v>
      </c>
      <c r="C47" s="4">
        <f ca="1">MAX(0,(1-MCSimulation!$C$7*7)*C46+(MCSimulation!$C$6*7/ASSUMPTIONS!$D$6)*B46*C46)</f>
        <v>4.4124287921892357E-10</v>
      </c>
      <c r="D47" s="6">
        <f ca="1">MAX(0,D46+MCSimulation!$C$7*7*'Sim2'!C46)</f>
        <v>652.64105064899604</v>
      </c>
      <c r="F47" s="34">
        <f t="shared" ca="1" si="1"/>
        <v>4.9808477342594415E-7</v>
      </c>
      <c r="G47" s="4">
        <f ca="1">C47*($G$2*(1-$G$1)+$F$2*$G$1+(ASSUMPTIONS!$D$15=1)*Simulation!$I$1)</f>
        <v>8.3510377433868141E-6</v>
      </c>
      <c r="H47" s="4">
        <f t="shared" ca="1" si="3"/>
        <v>5.8259215620637406E-6</v>
      </c>
      <c r="I47" s="35">
        <f t="shared" ca="1" si="2"/>
        <v>7421639.3430273347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AI1005"/>
  <sheetViews>
    <sheetView showGridLines="0" workbookViewId="0">
      <selection activeCell="I15" sqref="I15"/>
    </sheetView>
  </sheetViews>
  <sheetFormatPr defaultColWidth="9.109375" defaultRowHeight="14.4"/>
  <cols>
    <col min="1" max="1" width="9.109375" style="22"/>
    <col min="2" max="2" width="22.88671875" style="22" customWidth="1"/>
    <col min="3" max="3" width="15.33203125" style="22" customWidth="1"/>
    <col min="4" max="10" width="9.109375" style="22"/>
    <col min="11" max="11" width="8" style="22" customWidth="1"/>
    <col min="12" max="12" width="10.88671875" style="22" customWidth="1"/>
    <col min="13" max="13" width="9.5546875" style="22" bestFit="1" customWidth="1"/>
    <col min="14" max="14" width="9.6640625" style="22" customWidth="1"/>
    <col min="15" max="15" width="12.44140625" style="22" customWidth="1"/>
    <col min="16" max="16" width="10.88671875" style="22" bestFit="1" customWidth="1"/>
    <col min="17" max="17" width="2.88671875" style="22" customWidth="1"/>
    <col min="18" max="18" width="9.109375" style="22"/>
    <col min="19" max="19" width="10.5546875" style="22" bestFit="1" customWidth="1"/>
    <col min="20" max="23" width="9.109375" style="22"/>
    <col min="24" max="24" width="16.6640625" style="22" bestFit="1" customWidth="1"/>
    <col min="25" max="25" width="13.6640625" style="22" customWidth="1"/>
    <col min="26" max="26" width="14.33203125" style="22" customWidth="1"/>
    <col min="27" max="27" width="18" style="22" customWidth="1"/>
    <col min="28" max="28" width="16.33203125" style="22" customWidth="1"/>
    <col min="29" max="29" width="9.109375" style="22"/>
    <col min="30" max="30" width="26.6640625" style="22" customWidth="1"/>
    <col min="31" max="31" width="11.5546875" style="22" customWidth="1"/>
    <col min="32" max="32" width="9.109375" style="22"/>
    <col min="33" max="33" width="12" style="22" customWidth="1"/>
    <col min="34" max="34" width="16.5546875" style="22" customWidth="1"/>
    <col min="35" max="16384" width="9.109375" style="22"/>
  </cols>
  <sheetData>
    <row r="1" spans="2:35">
      <c r="K1" s="109" t="s">
        <v>172</v>
      </c>
      <c r="L1" s="120">
        <f t="shared" ref="L1:O1" si="0">AVERAGE(L6:L1005)</f>
        <v>0.35200381454342405</v>
      </c>
      <c r="M1" s="110">
        <f t="shared" si="0"/>
        <v>0.32782814012842376</v>
      </c>
      <c r="N1" s="121">
        <f t="shared" si="0"/>
        <v>0.29057873814784602</v>
      </c>
      <c r="O1" s="110">
        <f t="shared" si="0"/>
        <v>1.2395181043644625</v>
      </c>
      <c r="P1" s="110">
        <f>AVERAGE(P6:P1005)</f>
        <v>4.8879849376644975</v>
      </c>
      <c r="W1" s="109" t="s">
        <v>183</v>
      </c>
      <c r="X1" s="110">
        <f>MIN(W6:W1005)</f>
        <v>7.6936936532781899E-2</v>
      </c>
    </row>
    <row r="2" spans="2:35" ht="15.6">
      <c r="B2" s="93" t="s">
        <v>180</v>
      </c>
      <c r="K2" s="122" t="s">
        <v>212</v>
      </c>
      <c r="L2" s="120">
        <f t="shared" ref="L2:P2" si="1">_xlfn.STDEV.P(L6:L1005)</f>
        <v>6.9291688740064146</v>
      </c>
      <c r="M2" s="110">
        <f t="shared" si="1"/>
        <v>1.1891170828670226E-2</v>
      </c>
      <c r="N2" s="121">
        <f t="shared" si="1"/>
        <v>2.9747425200206516E-2</v>
      </c>
      <c r="O2" s="110">
        <f t="shared" si="1"/>
        <v>0.18262493085508341</v>
      </c>
      <c r="P2" s="110">
        <f t="shared" si="1"/>
        <v>4.6981165920057331</v>
      </c>
      <c r="W2" s="109" t="s">
        <v>184</v>
      </c>
      <c r="X2" s="110">
        <f>MAX(W6:W1005)</f>
        <v>24.900754900364436</v>
      </c>
    </row>
    <row r="3" spans="2:35" ht="43.2">
      <c r="K3" s="123" t="s">
        <v>213</v>
      </c>
      <c r="L3" s="124" t="str">
        <f>B8</f>
        <v>Mild Symptoms Rate</v>
      </c>
      <c r="M3" s="124" t="str">
        <f>B7</f>
        <v>Recovery Rate</v>
      </c>
      <c r="N3" s="124" t="str">
        <f>B5</f>
        <v>Attack Rate</v>
      </c>
      <c r="O3" s="124" t="str">
        <f>B6</f>
        <v>Infective Transmission Rate</v>
      </c>
      <c r="P3" s="125" t="str">
        <f>B9</f>
        <v>Cost</v>
      </c>
      <c r="W3" s="109" t="s">
        <v>185</v>
      </c>
      <c r="X3" s="109">
        <v>10</v>
      </c>
    </row>
    <row r="4" spans="2:35" ht="15" thickBot="1">
      <c r="C4" s="94" t="s">
        <v>175</v>
      </c>
      <c r="D4" s="22" t="s">
        <v>214</v>
      </c>
      <c r="E4" s="22" t="s">
        <v>216</v>
      </c>
      <c r="F4" s="22" t="s">
        <v>217</v>
      </c>
      <c r="G4" s="22" t="s">
        <v>215</v>
      </c>
      <c r="H4" s="22" t="s">
        <v>190</v>
      </c>
      <c r="I4" s="22" t="s">
        <v>7</v>
      </c>
      <c r="K4" s="126" t="s">
        <v>39</v>
      </c>
      <c r="L4" s="127">
        <f>D8</f>
        <v>0.69333333333333336</v>
      </c>
      <c r="M4" s="127">
        <f>D7</f>
        <v>0.32790476190476187</v>
      </c>
      <c r="N4" s="127">
        <f>D5</f>
        <v>0.28999999999999998</v>
      </c>
      <c r="O4" s="127">
        <f>D6</f>
        <v>1.244</v>
      </c>
      <c r="P4" s="128" t="s">
        <v>176</v>
      </c>
      <c r="W4" s="109" t="s">
        <v>186</v>
      </c>
      <c r="X4" s="110">
        <f>(X2-X1)/X3</f>
        <v>2.4823817963831654</v>
      </c>
    </row>
    <row r="5" spans="2:35">
      <c r="B5" s="22" t="str">
        <f>ASSUMPTIONS!B7</f>
        <v>Attack Rate</v>
      </c>
      <c r="C5" s="103">
        <f ca="1">_xlfn.NORM.INV(RAND(),D5,G5)</f>
        <v>0.28184053793606823</v>
      </c>
      <c r="D5" s="22">
        <f>(ASSUMPTIONS!F7+ASSUMPTIONS!E7+4*ASSUMPTIONS!D7)/6</f>
        <v>0.28999999999999998</v>
      </c>
      <c r="E5" s="22">
        <f>(ASSUMPTIONS!D7-MCSimulation!D5)/(ASSUMPTIONS!F7-ASSUMPTIONS!E7)</f>
        <v>5.0000000000000058E-2</v>
      </c>
      <c r="F5" s="22">
        <f>E5*(1-E5)*16/7+9/7</f>
        <v>1.3942857142857146</v>
      </c>
      <c r="G5" s="22">
        <f>F5^0.5*(ASSUMPTIONS!F7-ASSUMPTIONS!E7)/6</f>
        <v>2.9519969028245465E-2</v>
      </c>
      <c r="H5" s="22">
        <f t="shared" ref="H5" si="2">IF(D5*(D5*(1-D5)/G5^2-1)&lt;0,1,D5*(D5*(1-D5)/G5^2-1))</f>
        <v>68.230819672131133</v>
      </c>
      <c r="I5" s="22">
        <f>IF((1-D5)*(D5*(1-D5)/G5^2-1)&lt;0,1,(1-D5)*(D5*(1-D5)/G5^2-1))</f>
        <v>167.04786885245898</v>
      </c>
      <c r="J5" s="142">
        <v>3</v>
      </c>
      <c r="K5" s="129"/>
      <c r="L5" s="138">
        <f ca="1">+C8</f>
        <v>10.311323228554343</v>
      </c>
      <c r="M5" s="139">
        <f ca="1">+C7</f>
        <v>0.32110601606797395</v>
      </c>
      <c r="N5" s="138">
        <f ca="1">+C5</f>
        <v>0.28184053793606823</v>
      </c>
      <c r="O5" s="140">
        <f ca="1">+C6</f>
        <v>1.3987013976177392</v>
      </c>
      <c r="P5" s="141">
        <f ca="1">C9/1000000</f>
        <v>7.4216393430273344</v>
      </c>
      <c r="R5" s="95"/>
      <c r="W5" s="109" t="s">
        <v>181</v>
      </c>
      <c r="X5" s="109" t="s">
        <v>182</v>
      </c>
      <c r="Y5" s="22" t="s">
        <v>37</v>
      </c>
      <c r="Z5" s="22" t="s">
        <v>189</v>
      </c>
      <c r="AA5" s="22" t="s">
        <v>188</v>
      </c>
      <c r="AB5" s="22" t="s">
        <v>187</v>
      </c>
      <c r="AD5" s="148" t="s">
        <v>193</v>
      </c>
      <c r="AH5" s="22" t="str">
        <f>Z5</f>
        <v>Frequency %</v>
      </c>
      <c r="AI5" s="22" t="str">
        <f>AA5</f>
        <v>Cumulative %</v>
      </c>
    </row>
    <row r="6" spans="2:35">
      <c r="B6" s="22" t="str">
        <f>ASSUMPTIONS!B8</f>
        <v>Infective Transmission Rate</v>
      </c>
      <c r="C6" s="103">
        <f t="shared" ref="C6:C8" ca="1" si="3">_xlfn.NORM.INV(RAND(),D6,G6)</f>
        <v>1.3987013976177392</v>
      </c>
      <c r="D6" s="22">
        <f>(ASSUMPTIONS!F8+ASSUMPTIONS!E8+4*ASSUMPTIONS!D8)/6</f>
        <v>1.244</v>
      </c>
      <c r="E6" s="22">
        <f>(ASSUMPTIONS!D8-MCSimulation!D6)/(ASSUMPTIONS!F8-ASSUMPTIONS!E8)</f>
        <v>-9.9999999999999881E-2</v>
      </c>
      <c r="F6" s="22">
        <f t="shared" ref="F6:F8" si="4">E6*(1-E6)*16/7+9/7</f>
        <v>1.0342857142857147</v>
      </c>
      <c r="G6" s="22">
        <f>F6^0.5*(ASSUMPTIONS!F8-ASSUMPTIONS!E8)/6</f>
        <v>0.18305970922859341</v>
      </c>
      <c r="H6" s="22">
        <f>ABS(D6*(D6*(1-D6)/G6^2-1))</f>
        <v>12.511953618443478</v>
      </c>
      <c r="I6" s="22">
        <f>IF((1-D6)*(D6*(1-D6)/G6^2-1)&lt;0,5,(1-D6)*(D6*(1-D6)/G6^2-1))</f>
        <v>2.4541130891480778</v>
      </c>
      <c r="K6" s="130">
        <v>1</v>
      </c>
      <c r="L6" s="108">
        <f t="dataTable" ref="L6:P1005" dt2D="0" dtr="0" r1="J5" ca="1"/>
        <v>3.4016448473691661</v>
      </c>
      <c r="M6" s="107">
        <v>0.35218945306789984</v>
      </c>
      <c r="N6" s="96">
        <v>0.29059716369076216</v>
      </c>
      <c r="O6" s="96">
        <v>1.2546789792685076</v>
      </c>
      <c r="P6" s="131">
        <v>1.9292291182740005</v>
      </c>
      <c r="R6" s="97"/>
      <c r="W6" s="114">
        <f t="shared" ref="W6:W69" si="5">P6</f>
        <v>1.9292291182740005</v>
      </c>
      <c r="X6" s="111">
        <f>X1</f>
        <v>7.6936936532781899E-2</v>
      </c>
      <c r="Y6" s="22">
        <f t="array" ref="Y6:Y16">FREQUENCY(W6:W1005,X6:X16)</f>
        <v>1</v>
      </c>
      <c r="Z6" s="106">
        <f>Y6/SUM($Y$6:$Y$16)</f>
        <v>1E-3</v>
      </c>
      <c r="AA6" s="117">
        <f>Z6</f>
        <v>1E-3</v>
      </c>
      <c r="AB6" s="118">
        <f>X6</f>
        <v>7.6936936532781899E-2</v>
      </c>
      <c r="AD6" s="22" t="s">
        <v>226</v>
      </c>
      <c r="AE6" s="30">
        <f>MIN(W6:W1005)</f>
        <v>7.6936936532781899E-2</v>
      </c>
      <c r="AG6" s="118">
        <f>X6</f>
        <v>7.6936936532781899E-2</v>
      </c>
      <c r="AH6" s="117">
        <f>Z6</f>
        <v>1E-3</v>
      </c>
      <c r="AI6" s="117">
        <f>AA6</f>
        <v>1E-3</v>
      </c>
    </row>
    <row r="7" spans="2:35">
      <c r="B7" s="22" t="str">
        <f>ASSUMPTIONS!B9</f>
        <v>Recovery Rate</v>
      </c>
      <c r="C7" s="103">
        <f t="shared" ca="1" si="3"/>
        <v>0.32110601606797395</v>
      </c>
      <c r="D7" s="22">
        <f>(ASSUMPTIONS!F9+ASSUMPTIONS!E9+4*ASSUMPTIONS!D9)/6</f>
        <v>0.32790476190476187</v>
      </c>
      <c r="E7" s="22">
        <f>(ASSUMPTIONS!D9-MCSimulation!D7)/(ASSUMPTIONS!F9-ASSUMPTIONS!E9)</f>
        <v>-1.6666666666666226E-2</v>
      </c>
      <c r="F7" s="22">
        <f t="shared" si="4"/>
        <v>1.2469841269841282</v>
      </c>
      <c r="G7" s="22">
        <f>F7^0.5*(ASSUMPTIONS!F9-ASSUMPTIONS!E9)/6</f>
        <v>1.1698598841041153E-2</v>
      </c>
      <c r="H7" s="22">
        <f t="shared" ref="H7" si="6">IF(D7*(D7*(1-D7)/G7^2-1)&lt;0,1,D7*(D7*(1-D7)/G7^2-1))</f>
        <v>527.70205934196474</v>
      </c>
      <c r="I7" s="22">
        <f t="shared" ref="I7" si="7">IF((1-D7)*(D7*(1-D7)/G7^2-1)&lt;0,1,(1-D7)*(D7*(1-D7)/G7^2-1))</f>
        <v>1081.6129633390199</v>
      </c>
      <c r="K7" s="130">
        <v>2</v>
      </c>
      <c r="L7" s="108">
        <v>-2.7138697946312793</v>
      </c>
      <c r="M7" s="107">
        <v>0.34758887701431235</v>
      </c>
      <c r="N7" s="96">
        <v>0.27261893561013723</v>
      </c>
      <c r="O7" s="96">
        <v>1.141135519502209</v>
      </c>
      <c r="P7" s="131">
        <v>0.29028650025792668</v>
      </c>
      <c r="W7" s="115">
        <f t="shared" si="5"/>
        <v>0.29028650025792668</v>
      </c>
      <c r="X7" s="112">
        <f>X6+$X$4</f>
        <v>2.5593187329159472</v>
      </c>
      <c r="Y7" s="22">
        <v>439</v>
      </c>
      <c r="Z7" s="106">
        <f t="shared" ref="Z7:Z16" si="8">Y7/SUM($Y$6:$Y$16)</f>
        <v>0.439</v>
      </c>
      <c r="AA7" s="117">
        <f>AA6+Z7</f>
        <v>0.44</v>
      </c>
      <c r="AB7" s="118">
        <f t="shared" ref="AB7:AB16" si="9">X7</f>
        <v>2.5593187329159472</v>
      </c>
      <c r="AD7" s="22" t="s">
        <v>227</v>
      </c>
      <c r="AE7" s="30">
        <f>MAX(W6:W1005)</f>
        <v>24.900754900364436</v>
      </c>
      <c r="AG7" s="118">
        <f t="shared" ref="AG7:AG16" si="10">X7</f>
        <v>2.5593187329159472</v>
      </c>
      <c r="AH7" s="117">
        <f t="shared" ref="AH7:AH16" si="11">Z7</f>
        <v>0.439</v>
      </c>
      <c r="AI7" s="117">
        <f t="shared" ref="AI7:AI16" si="12">AA7</f>
        <v>0.44</v>
      </c>
    </row>
    <row r="8" spans="2:35">
      <c r="B8" s="22" t="str">
        <f>ASSUMPTIONS!B13</f>
        <v>Mild Symptoms Rate</v>
      </c>
      <c r="C8" s="103">
        <f t="shared" ca="1" si="3"/>
        <v>10.311323228554343</v>
      </c>
      <c r="D8" s="22">
        <f>(ASSUMPTIONS!F13+ASSUMPTIONS!E13+4*ASSUMPTIONS!D13)/6</f>
        <v>0.69333333333333336</v>
      </c>
      <c r="E8" s="22">
        <f>(ASSUMPTIONS!D10-MCSimulation!D8)/(ASSUMPTIONS!F10-ASSUMPTIONS!E10)</f>
        <v>1.3240888888888889</v>
      </c>
      <c r="F8" s="22">
        <f t="shared" si="4"/>
        <v>0.304862864479718</v>
      </c>
      <c r="G8" s="22">
        <f>F8^0.5*(ASSUMPTIONS!F10-ASSUMPTIONS!E10)/6</f>
        <v>6.9017985029234188</v>
      </c>
      <c r="H8" s="22">
        <f>ABS(D8*(D8*(1-D8)/G8^2-1))</f>
        <v>0.69023857898965746</v>
      </c>
      <c r="I8" s="22">
        <f>ABS((1-D8)*(D8*(1-D8)/G8^2-1))</f>
        <v>0.30529783301465618</v>
      </c>
      <c r="K8" s="130">
        <v>3</v>
      </c>
      <c r="L8" s="108">
        <v>1.4850760942763652</v>
      </c>
      <c r="M8" s="107">
        <v>0.32917686963160475</v>
      </c>
      <c r="N8" s="96">
        <v>0.26849745119804769</v>
      </c>
      <c r="O8" s="96">
        <v>1.5190625909749229</v>
      </c>
      <c r="P8" s="131">
        <v>7.2387077314235428</v>
      </c>
      <c r="W8" s="115">
        <f t="shared" si="5"/>
        <v>7.2387077314235428</v>
      </c>
      <c r="X8" s="112">
        <f t="shared" ref="X8:X15" si="13">X7+$X$4</f>
        <v>5.0417005292991126</v>
      </c>
      <c r="Y8" s="22">
        <v>159</v>
      </c>
      <c r="Z8" s="106">
        <f t="shared" si="8"/>
        <v>0.159</v>
      </c>
      <c r="AA8" s="117">
        <f t="shared" ref="AA8:AA16" si="14">AA7+Z8</f>
        <v>0.59899999999999998</v>
      </c>
      <c r="AB8" s="118">
        <f t="shared" si="9"/>
        <v>5.0417005292991126</v>
      </c>
      <c r="AD8" s="22" t="s">
        <v>228</v>
      </c>
      <c r="AE8" s="30">
        <f>AVERAGE(W6:W1005)</f>
        <v>4.8879849376644975</v>
      </c>
      <c r="AG8" s="118">
        <f t="shared" si="10"/>
        <v>5.0417005292991126</v>
      </c>
      <c r="AH8" s="117">
        <f t="shared" si="11"/>
        <v>0.159</v>
      </c>
      <c r="AI8" s="117">
        <f t="shared" si="12"/>
        <v>0.59899999999999998</v>
      </c>
    </row>
    <row r="9" spans="2:35">
      <c r="B9" s="101" t="s">
        <v>181</v>
      </c>
      <c r="C9" s="102">
        <f ca="1">'Sim2'!I2</f>
        <v>7421639.3430273347</v>
      </c>
      <c r="D9" s="22" t="s">
        <v>171</v>
      </c>
      <c r="K9" s="130">
        <v>4</v>
      </c>
      <c r="L9" s="108">
        <v>-10.144345752427109</v>
      </c>
      <c r="M9" s="107">
        <v>0.32490461580009827</v>
      </c>
      <c r="N9" s="96">
        <v>0.35891856854286658</v>
      </c>
      <c r="O9" s="96">
        <v>1.1232655295234095</v>
      </c>
      <c r="P9" s="131">
        <v>9.7445088641777975</v>
      </c>
      <c r="R9" s="98" t="s">
        <v>177</v>
      </c>
      <c r="W9" s="115">
        <f t="shared" si="5"/>
        <v>9.7445088641777975</v>
      </c>
      <c r="X9" s="112">
        <f t="shared" si="13"/>
        <v>7.5240823256822775</v>
      </c>
      <c r="Y9" s="22">
        <v>119</v>
      </c>
      <c r="Z9" s="106">
        <f t="shared" si="8"/>
        <v>0.11899999999999999</v>
      </c>
      <c r="AA9" s="117">
        <f t="shared" si="14"/>
        <v>0.71799999999999997</v>
      </c>
      <c r="AB9" s="118">
        <f t="shared" si="9"/>
        <v>7.5240823256822775</v>
      </c>
      <c r="AD9" s="22" t="s">
        <v>229</v>
      </c>
      <c r="AE9" s="30">
        <f>MEDIAN(W6:W1005)</f>
        <v>3.5909692329879066</v>
      </c>
      <c r="AG9" s="118">
        <f t="shared" si="10"/>
        <v>7.5240823256822775</v>
      </c>
      <c r="AH9" s="117">
        <f t="shared" si="11"/>
        <v>0.11899999999999999</v>
      </c>
      <c r="AI9" s="117">
        <f t="shared" si="12"/>
        <v>0.71799999999999997</v>
      </c>
    </row>
    <row r="10" spans="2:35">
      <c r="K10" s="130">
        <v>5</v>
      </c>
      <c r="L10" s="108">
        <v>5.6290408341138365</v>
      </c>
      <c r="M10" s="107">
        <v>0.330085792288354</v>
      </c>
      <c r="N10" s="96">
        <v>0.33766200973728661</v>
      </c>
      <c r="O10" s="96">
        <v>1.1068939871379913</v>
      </c>
      <c r="P10" s="131">
        <v>5.6253060679138986</v>
      </c>
      <c r="R10" s="98" t="s">
        <v>178</v>
      </c>
      <c r="W10" s="115">
        <f t="shared" si="5"/>
        <v>5.6253060679138986</v>
      </c>
      <c r="X10" s="112">
        <f t="shared" si="13"/>
        <v>10.006464122065443</v>
      </c>
      <c r="Y10" s="22">
        <v>122</v>
      </c>
      <c r="Z10" s="106">
        <f t="shared" si="8"/>
        <v>0.122</v>
      </c>
      <c r="AA10" s="117">
        <f t="shared" si="14"/>
        <v>0.84</v>
      </c>
      <c r="AB10" s="118">
        <f t="shared" si="9"/>
        <v>10.006464122065443</v>
      </c>
      <c r="AD10" s="22" t="s">
        <v>230</v>
      </c>
      <c r="AE10" s="30">
        <f>VLOOKUP(MAX(Y6:Y16),Y6:AB16,4,FALSE)</f>
        <v>2.5593187329159472</v>
      </c>
      <c r="AG10" s="118">
        <f t="shared" si="10"/>
        <v>10.006464122065443</v>
      </c>
      <c r="AH10" s="117">
        <f t="shared" si="11"/>
        <v>0.122</v>
      </c>
      <c r="AI10" s="117">
        <f t="shared" si="12"/>
        <v>0.84</v>
      </c>
    </row>
    <row r="11" spans="2:35">
      <c r="B11" s="22" t="s">
        <v>219</v>
      </c>
      <c r="K11" s="130">
        <v>6</v>
      </c>
      <c r="L11" s="108">
        <v>-2.463910015475677</v>
      </c>
      <c r="M11" s="107">
        <v>0.30974243022743803</v>
      </c>
      <c r="N11" s="96">
        <v>0.3557788756448037</v>
      </c>
      <c r="O11" s="96">
        <v>1.2496627231278903</v>
      </c>
      <c r="P11" s="131">
        <v>15.475234337976401</v>
      </c>
      <c r="R11" s="98" t="s">
        <v>179</v>
      </c>
      <c r="S11" s="99"/>
      <c r="W11" s="115">
        <f t="shared" si="5"/>
        <v>15.475234337976401</v>
      </c>
      <c r="X11" s="112">
        <f t="shared" si="13"/>
        <v>12.488845918448609</v>
      </c>
      <c r="Y11" s="22">
        <v>83</v>
      </c>
      <c r="Z11" s="106">
        <f t="shared" si="8"/>
        <v>8.3000000000000004E-2</v>
      </c>
      <c r="AA11" s="117">
        <f t="shared" si="14"/>
        <v>0.92299999999999993</v>
      </c>
      <c r="AB11" s="118">
        <f t="shared" si="9"/>
        <v>12.488845918448609</v>
      </c>
      <c r="AD11" s="22" t="s">
        <v>231</v>
      </c>
      <c r="AE11" s="30">
        <f>_xlfn.STDEV.P(W6:W1005)</f>
        <v>4.6981165920057331</v>
      </c>
      <c r="AG11" s="118">
        <f t="shared" si="10"/>
        <v>12.488845918448609</v>
      </c>
      <c r="AH11" s="117">
        <f t="shared" si="11"/>
        <v>8.3000000000000004E-2</v>
      </c>
      <c r="AI11" s="117">
        <f t="shared" si="12"/>
        <v>0.92299999999999993</v>
      </c>
    </row>
    <row r="12" spans="2:35">
      <c r="B12" s="143" t="s">
        <v>218</v>
      </c>
      <c r="K12" s="130">
        <v>7</v>
      </c>
      <c r="L12" s="108">
        <v>3.8121199362119089</v>
      </c>
      <c r="M12" s="107">
        <v>0.32161936881131603</v>
      </c>
      <c r="N12" s="96">
        <v>0.3108220519845637</v>
      </c>
      <c r="O12" s="96">
        <v>1.1044910922730189</v>
      </c>
      <c r="P12" s="131">
        <v>3.1810431950528382</v>
      </c>
      <c r="W12" s="115">
        <f t="shared" si="5"/>
        <v>3.1810431950528382</v>
      </c>
      <c r="X12" s="112">
        <f t="shared" si="13"/>
        <v>14.971227714831775</v>
      </c>
      <c r="Y12" s="22">
        <v>37</v>
      </c>
      <c r="Z12" s="106">
        <f t="shared" si="8"/>
        <v>3.6999999999999998E-2</v>
      </c>
      <c r="AA12" s="117">
        <f t="shared" si="14"/>
        <v>0.96</v>
      </c>
      <c r="AB12" s="118">
        <f t="shared" si="9"/>
        <v>14.971227714831775</v>
      </c>
      <c r="AD12" s="22" t="s">
        <v>191</v>
      </c>
      <c r="AE12" s="30">
        <f>SKEW(W6:W1005)</f>
        <v>0.96877461806886334</v>
      </c>
      <c r="AG12" s="118">
        <f t="shared" si="10"/>
        <v>14.971227714831775</v>
      </c>
      <c r="AH12" s="117">
        <f t="shared" si="11"/>
        <v>3.6999999999999998E-2</v>
      </c>
      <c r="AI12" s="117">
        <f t="shared" si="12"/>
        <v>0.96</v>
      </c>
    </row>
    <row r="13" spans="2:35">
      <c r="B13" s="18" t="s">
        <v>222</v>
      </c>
      <c r="K13" s="130">
        <v>8</v>
      </c>
      <c r="L13" s="108">
        <v>-4.6098960777479885</v>
      </c>
      <c r="M13" s="107">
        <v>0.32581679479452919</v>
      </c>
      <c r="N13" s="96">
        <v>0.25795021439270471</v>
      </c>
      <c r="O13" s="96">
        <v>1.3825545795326</v>
      </c>
      <c r="P13" s="131">
        <v>3.4122598907725155</v>
      </c>
      <c r="W13" s="115">
        <f t="shared" si="5"/>
        <v>3.4122598907725155</v>
      </c>
      <c r="X13" s="112">
        <f t="shared" si="13"/>
        <v>17.453609511214939</v>
      </c>
      <c r="Y13" s="22">
        <v>30</v>
      </c>
      <c r="Z13" s="106">
        <f t="shared" si="8"/>
        <v>0.03</v>
      </c>
      <c r="AA13" s="117">
        <f t="shared" si="14"/>
        <v>0.99</v>
      </c>
      <c r="AB13" s="118">
        <f t="shared" si="9"/>
        <v>17.453609511214939</v>
      </c>
      <c r="AD13" s="22" t="s">
        <v>192</v>
      </c>
      <c r="AE13" s="30">
        <f>KURT(W6:W1005)</f>
        <v>0.3030831477324174</v>
      </c>
      <c r="AG13" s="118">
        <f t="shared" si="10"/>
        <v>17.453609511214939</v>
      </c>
      <c r="AH13" s="117">
        <f t="shared" si="11"/>
        <v>0.03</v>
      </c>
      <c r="AI13" s="117">
        <f t="shared" si="12"/>
        <v>0.99</v>
      </c>
    </row>
    <row r="14" spans="2:35">
      <c r="B14" s="22" t="s">
        <v>220</v>
      </c>
      <c r="C14" s="104"/>
      <c r="K14" s="130">
        <v>9</v>
      </c>
      <c r="L14" s="108">
        <v>-0.29237247866678373</v>
      </c>
      <c r="M14" s="107">
        <v>0.31814387171714176</v>
      </c>
      <c r="N14" s="96">
        <v>0.31667373573247631</v>
      </c>
      <c r="O14" s="96">
        <v>1.036388581344593</v>
      </c>
      <c r="P14" s="131">
        <v>2.0889928134428852</v>
      </c>
      <c r="W14" s="115">
        <f t="shared" si="5"/>
        <v>2.0889928134428852</v>
      </c>
      <c r="X14" s="112">
        <f t="shared" si="13"/>
        <v>19.935991307598105</v>
      </c>
      <c r="Y14" s="22">
        <v>7</v>
      </c>
      <c r="Z14" s="106">
        <f t="shared" si="8"/>
        <v>7.0000000000000001E-3</v>
      </c>
      <c r="AA14" s="117">
        <f t="shared" si="14"/>
        <v>0.997</v>
      </c>
      <c r="AB14" s="118">
        <f t="shared" si="9"/>
        <v>19.935991307598105</v>
      </c>
      <c r="AG14" s="118">
        <f t="shared" si="10"/>
        <v>19.935991307598105</v>
      </c>
      <c r="AH14" s="117">
        <f t="shared" si="11"/>
        <v>7.0000000000000001E-3</v>
      </c>
      <c r="AI14" s="117">
        <f t="shared" si="12"/>
        <v>0.997</v>
      </c>
    </row>
    <row r="15" spans="2:35">
      <c r="B15" s="18" t="s">
        <v>221</v>
      </c>
      <c r="C15" s="105"/>
      <c r="K15" s="130">
        <v>10</v>
      </c>
      <c r="L15" s="108">
        <v>0.29489528012555172</v>
      </c>
      <c r="M15" s="107">
        <v>0.32564939931199538</v>
      </c>
      <c r="N15" s="96">
        <v>0.29431065610209683</v>
      </c>
      <c r="O15" s="96">
        <v>1.0158805369599659</v>
      </c>
      <c r="P15" s="131">
        <v>0.37864883705176194</v>
      </c>
      <c r="W15" s="115">
        <f t="shared" si="5"/>
        <v>0.37864883705176194</v>
      </c>
      <c r="X15" s="112">
        <f t="shared" si="13"/>
        <v>22.418373103981271</v>
      </c>
      <c r="Y15" s="22">
        <v>1</v>
      </c>
      <c r="Z15" s="106">
        <f t="shared" si="8"/>
        <v>1E-3</v>
      </c>
      <c r="AA15" s="117">
        <f t="shared" si="14"/>
        <v>0.998</v>
      </c>
      <c r="AB15" s="118">
        <f t="shared" si="9"/>
        <v>22.418373103981271</v>
      </c>
      <c r="AG15" s="118">
        <f t="shared" si="10"/>
        <v>22.418373103981271</v>
      </c>
      <c r="AH15" s="117">
        <f t="shared" si="11"/>
        <v>1E-3</v>
      </c>
      <c r="AI15" s="117">
        <f t="shared" si="12"/>
        <v>0.998</v>
      </c>
    </row>
    <row r="16" spans="2:35">
      <c r="C16" s="104"/>
      <c r="K16" s="130">
        <v>11</v>
      </c>
      <c r="L16" s="108">
        <v>-13.126911839402315</v>
      </c>
      <c r="M16" s="107">
        <v>0.34079377383080589</v>
      </c>
      <c r="N16" s="96">
        <v>0.29529295270674188</v>
      </c>
      <c r="O16" s="96">
        <v>1.1992580166201412</v>
      </c>
      <c r="P16" s="131">
        <v>2.1035312763185043</v>
      </c>
      <c r="W16" s="115">
        <f t="shared" si="5"/>
        <v>2.1035312763185043</v>
      </c>
      <c r="X16" s="113">
        <f>X15+$X$4</f>
        <v>24.900754900364436</v>
      </c>
      <c r="Y16" s="22">
        <v>2</v>
      </c>
      <c r="Z16" s="106">
        <f t="shared" si="8"/>
        <v>2E-3</v>
      </c>
      <c r="AA16" s="117">
        <f t="shared" si="14"/>
        <v>1</v>
      </c>
      <c r="AB16" s="118">
        <f t="shared" si="9"/>
        <v>24.900754900364436</v>
      </c>
      <c r="AG16" s="118">
        <f t="shared" si="10"/>
        <v>24.900754900364436</v>
      </c>
      <c r="AH16" s="117">
        <f t="shared" si="11"/>
        <v>2E-3</v>
      </c>
      <c r="AI16" s="117">
        <f t="shared" si="12"/>
        <v>1</v>
      </c>
    </row>
    <row r="17" spans="3:23">
      <c r="C17" s="100"/>
      <c r="K17" s="130">
        <v>12</v>
      </c>
      <c r="L17" s="108">
        <v>-7.0040441263102053</v>
      </c>
      <c r="M17" s="107">
        <v>0.32022639310480244</v>
      </c>
      <c r="N17" s="96">
        <v>0.29713610777244609</v>
      </c>
      <c r="O17" s="96">
        <v>1.411708449808188</v>
      </c>
      <c r="P17" s="131">
        <v>9.9210313143491096</v>
      </c>
      <c r="W17" s="115">
        <f t="shared" si="5"/>
        <v>9.9210313143491096</v>
      </c>
    </row>
    <row r="18" spans="3:23">
      <c r="K18" s="130">
        <v>13</v>
      </c>
      <c r="L18" s="108">
        <v>-7.8674157331132903</v>
      </c>
      <c r="M18" s="107">
        <v>0.33394932675811823</v>
      </c>
      <c r="N18" s="96">
        <v>0.28634840600327088</v>
      </c>
      <c r="O18" s="96">
        <v>1.272801292737791</v>
      </c>
      <c r="P18" s="131">
        <v>3.5916581459872208</v>
      </c>
      <c r="W18" s="115">
        <f t="shared" si="5"/>
        <v>3.5916581459872208</v>
      </c>
    </row>
    <row r="19" spans="3:23">
      <c r="K19" s="130">
        <v>14</v>
      </c>
      <c r="L19" s="108">
        <v>3.7345340374717311</v>
      </c>
      <c r="M19" s="107">
        <v>0.31039867548077738</v>
      </c>
      <c r="N19" s="96">
        <v>0.27551837441965565</v>
      </c>
      <c r="O19" s="96">
        <v>1.5291221794206835</v>
      </c>
      <c r="P19" s="131">
        <v>10.429812696327065</v>
      </c>
      <c r="W19" s="115">
        <f t="shared" si="5"/>
        <v>10.429812696327065</v>
      </c>
    </row>
    <row r="20" spans="3:23">
      <c r="K20" s="130">
        <v>15</v>
      </c>
      <c r="L20" s="108">
        <v>5.1278875689037964</v>
      </c>
      <c r="M20" s="107">
        <v>0.33498498023236095</v>
      </c>
      <c r="N20" s="96">
        <v>0.30791155874172754</v>
      </c>
      <c r="O20" s="96">
        <v>1.6625745873981601</v>
      </c>
      <c r="P20" s="131">
        <v>14.71830623261414</v>
      </c>
      <c r="W20" s="115">
        <f t="shared" si="5"/>
        <v>14.71830623261414</v>
      </c>
    </row>
    <row r="21" spans="3:23">
      <c r="K21" s="130">
        <v>16</v>
      </c>
      <c r="L21" s="108">
        <v>16.984292008965234</v>
      </c>
      <c r="M21" s="107">
        <v>0.32398888220296251</v>
      </c>
      <c r="N21" s="96">
        <v>0.27715696529673856</v>
      </c>
      <c r="O21" s="96">
        <v>1.0813747272472529</v>
      </c>
      <c r="P21" s="131">
        <v>0.40661039589397452</v>
      </c>
      <c r="W21" s="115">
        <f t="shared" si="5"/>
        <v>0.40661039589397452</v>
      </c>
    </row>
    <row r="22" spans="3:23">
      <c r="K22" s="130">
        <v>17</v>
      </c>
      <c r="L22" s="108">
        <v>-7.1352590114415415</v>
      </c>
      <c r="M22" s="107">
        <v>0.33562187841569896</v>
      </c>
      <c r="N22" s="96">
        <v>0.25265482071893069</v>
      </c>
      <c r="O22" s="96">
        <v>0.91520847411040918</v>
      </c>
      <c r="P22" s="131">
        <v>0.10506675559586007</v>
      </c>
      <c r="W22" s="115">
        <f t="shared" si="5"/>
        <v>0.10506675559586007</v>
      </c>
    </row>
    <row r="23" spans="3:23">
      <c r="K23" s="130">
        <v>18</v>
      </c>
      <c r="L23" s="108">
        <v>5.6598462810838353</v>
      </c>
      <c r="M23" s="107">
        <v>0.31465044789118962</v>
      </c>
      <c r="N23" s="96">
        <v>0.27139100449144549</v>
      </c>
      <c r="O23" s="96">
        <v>1.201155623648527</v>
      </c>
      <c r="P23" s="131">
        <v>2.003204377968816</v>
      </c>
      <c r="W23" s="115">
        <f t="shared" si="5"/>
        <v>2.003204377968816</v>
      </c>
    </row>
    <row r="24" spans="3:23">
      <c r="K24" s="130">
        <v>19</v>
      </c>
      <c r="L24" s="108">
        <v>-0.51490462375709178</v>
      </c>
      <c r="M24" s="107">
        <v>0.34057413202174314</v>
      </c>
      <c r="N24" s="96">
        <v>0.32404201287455026</v>
      </c>
      <c r="O24" s="96">
        <v>1.437691456237983</v>
      </c>
      <c r="P24" s="131">
        <v>11.839541013544485</v>
      </c>
      <c r="W24" s="115">
        <f t="shared" si="5"/>
        <v>11.839541013544485</v>
      </c>
    </row>
    <row r="25" spans="3:23">
      <c r="K25" s="130">
        <v>20</v>
      </c>
      <c r="L25" s="108">
        <v>15.248452627753116</v>
      </c>
      <c r="M25" s="107">
        <v>0.34264163017114063</v>
      </c>
      <c r="N25" s="96">
        <v>0.29632653015571347</v>
      </c>
      <c r="O25" s="96">
        <v>1.290516310291951</v>
      </c>
      <c r="P25" s="131">
        <v>4.3748265633931922</v>
      </c>
      <c r="W25" s="115">
        <f t="shared" si="5"/>
        <v>4.3748265633931922</v>
      </c>
    </row>
    <row r="26" spans="3:23">
      <c r="K26" s="130">
        <v>21</v>
      </c>
      <c r="L26" s="108">
        <v>10.777383659190106</v>
      </c>
      <c r="M26" s="107">
        <v>0.32799148543118745</v>
      </c>
      <c r="N26" s="96">
        <v>0.33573329831289811</v>
      </c>
      <c r="O26" s="96">
        <v>1.2553577402540372</v>
      </c>
      <c r="P26" s="131">
        <v>10.340538452429922</v>
      </c>
      <c r="W26" s="115">
        <f t="shared" si="5"/>
        <v>10.340538452429922</v>
      </c>
    </row>
    <row r="27" spans="3:23">
      <c r="K27" s="130">
        <v>22</v>
      </c>
      <c r="L27" s="108">
        <v>-7.2328055686426556</v>
      </c>
      <c r="M27" s="107">
        <v>0.31137498739070574</v>
      </c>
      <c r="N27" s="96">
        <v>0.29184365929031314</v>
      </c>
      <c r="O27" s="96">
        <v>1.2410640695154289</v>
      </c>
      <c r="P27" s="131">
        <v>6.0242049247943594</v>
      </c>
      <c r="W27" s="115">
        <f t="shared" si="5"/>
        <v>6.0242049247943594</v>
      </c>
    </row>
    <row r="28" spans="3:23">
      <c r="K28" s="130">
        <v>23</v>
      </c>
      <c r="L28" s="108">
        <v>3.6525359845639795</v>
      </c>
      <c r="M28" s="107">
        <v>0.31440679712990466</v>
      </c>
      <c r="N28" s="96">
        <v>0.28842723470719966</v>
      </c>
      <c r="O28" s="96">
        <v>1.2581734217208782</v>
      </c>
      <c r="P28" s="131">
        <v>5.6573288871699141</v>
      </c>
      <c r="W28" s="115">
        <f t="shared" si="5"/>
        <v>5.6573288871699141</v>
      </c>
    </row>
    <row r="29" spans="3:23">
      <c r="K29" s="130">
        <v>24</v>
      </c>
      <c r="L29" s="108">
        <v>5.2842398337185799</v>
      </c>
      <c r="M29" s="107">
        <v>0.33090758393868019</v>
      </c>
      <c r="N29" s="96">
        <v>0.24169888013482838</v>
      </c>
      <c r="O29" s="96">
        <v>1.2586299107451413</v>
      </c>
      <c r="P29" s="131">
        <v>0.37296190052656469</v>
      </c>
      <c r="W29" s="115">
        <f t="shared" si="5"/>
        <v>0.37296190052656469</v>
      </c>
    </row>
    <row r="30" spans="3:23">
      <c r="K30" s="130">
        <v>25</v>
      </c>
      <c r="L30" s="108">
        <v>-0.51724051197716991</v>
      </c>
      <c r="M30" s="107">
        <v>0.32759352107014911</v>
      </c>
      <c r="N30" s="96">
        <v>0.29082403137394386</v>
      </c>
      <c r="O30" s="96">
        <v>1.3716672044526255</v>
      </c>
      <c r="P30" s="131">
        <v>7.2926859342891985</v>
      </c>
      <c r="W30" s="115">
        <f t="shared" si="5"/>
        <v>7.2926859342891985</v>
      </c>
    </row>
    <row r="31" spans="3:23">
      <c r="K31" s="130">
        <v>26</v>
      </c>
      <c r="L31" s="108">
        <v>8.1701977580397038</v>
      </c>
      <c r="M31" s="107">
        <v>0.30628466885736688</v>
      </c>
      <c r="N31" s="96">
        <v>0.31302383199137435</v>
      </c>
      <c r="O31" s="96">
        <v>1.0471648942996012</v>
      </c>
      <c r="P31" s="131">
        <v>3.4073354453081457</v>
      </c>
      <c r="W31" s="115">
        <f t="shared" si="5"/>
        <v>3.4073354453081457</v>
      </c>
    </row>
    <row r="32" spans="3:23">
      <c r="K32" s="130">
        <v>27</v>
      </c>
      <c r="L32" s="108">
        <v>10.88936991817099</v>
      </c>
      <c r="M32" s="107">
        <v>0.33103437948645581</v>
      </c>
      <c r="N32" s="96">
        <v>0.26880342335950547</v>
      </c>
      <c r="O32" s="96">
        <v>0.9850711934215679</v>
      </c>
      <c r="P32" s="131">
        <v>0.16413463208017731</v>
      </c>
      <c r="W32" s="115">
        <f t="shared" si="5"/>
        <v>0.16413463208017731</v>
      </c>
    </row>
    <row r="33" spans="11:23">
      <c r="K33" s="130">
        <v>28</v>
      </c>
      <c r="L33" s="108">
        <v>-1.5364918697394576</v>
      </c>
      <c r="M33" s="107">
        <v>0.32142904391935317</v>
      </c>
      <c r="N33" s="96">
        <v>0.35084133375122295</v>
      </c>
      <c r="O33" s="96">
        <v>1.084658038521279</v>
      </c>
      <c r="P33" s="131">
        <v>7.7439528167318876</v>
      </c>
      <c r="W33" s="115">
        <f t="shared" si="5"/>
        <v>7.7439528167318876</v>
      </c>
    </row>
    <row r="34" spans="11:23">
      <c r="K34" s="130">
        <v>29</v>
      </c>
      <c r="L34" s="108">
        <v>-5.3026855450243175</v>
      </c>
      <c r="M34" s="107">
        <v>0.33790731962928094</v>
      </c>
      <c r="N34" s="96">
        <v>0.26910002696969038</v>
      </c>
      <c r="O34" s="96">
        <v>1.2025800462011209</v>
      </c>
      <c r="P34" s="131">
        <v>0.58395076839715521</v>
      </c>
      <c r="W34" s="115">
        <f t="shared" si="5"/>
        <v>0.58395076839715521</v>
      </c>
    </row>
    <row r="35" spans="11:23">
      <c r="K35" s="130">
        <v>30</v>
      </c>
      <c r="L35" s="108">
        <v>3.5837743736520844</v>
      </c>
      <c r="M35" s="107">
        <v>0.33595541709259003</v>
      </c>
      <c r="N35" s="96">
        <v>0.28146924476370455</v>
      </c>
      <c r="O35" s="96">
        <v>1.3585426965902891</v>
      </c>
      <c r="P35" s="131">
        <v>4.8473791673304056</v>
      </c>
      <c r="W35" s="115">
        <f t="shared" si="5"/>
        <v>4.8473791673304056</v>
      </c>
    </row>
    <row r="36" spans="11:23">
      <c r="K36" s="130">
        <v>31</v>
      </c>
      <c r="L36" s="108">
        <v>14.580874830528177</v>
      </c>
      <c r="M36" s="107">
        <v>0.32293465789878206</v>
      </c>
      <c r="N36" s="96">
        <v>0.31903555936631983</v>
      </c>
      <c r="O36" s="96">
        <v>1.6171068211326305</v>
      </c>
      <c r="P36" s="132">
        <v>17.237422341121185</v>
      </c>
      <c r="W36" s="115">
        <f t="shared" si="5"/>
        <v>17.237422341121185</v>
      </c>
    </row>
    <row r="37" spans="11:23">
      <c r="K37" s="130">
        <v>32</v>
      </c>
      <c r="L37" s="108">
        <v>7.653320444251837</v>
      </c>
      <c r="M37" s="107">
        <v>0.32604659796830177</v>
      </c>
      <c r="N37" s="96">
        <v>0.23856775867590221</v>
      </c>
      <c r="O37" s="96">
        <v>0.98311404370604483</v>
      </c>
      <c r="P37" s="132">
        <v>0.11887361016932765</v>
      </c>
      <c r="W37" s="115">
        <f t="shared" si="5"/>
        <v>0.11887361016932765</v>
      </c>
    </row>
    <row r="38" spans="11:23">
      <c r="K38" s="130">
        <v>33</v>
      </c>
      <c r="L38" s="108">
        <v>-3.3098359795508694</v>
      </c>
      <c r="M38" s="107">
        <v>0.3420461905036517</v>
      </c>
      <c r="N38" s="96">
        <v>0.28447844064614947</v>
      </c>
      <c r="O38" s="96">
        <v>1.2583934735590014</v>
      </c>
      <c r="P38" s="132">
        <v>2.2422914749548695</v>
      </c>
      <c r="W38" s="115">
        <f t="shared" si="5"/>
        <v>2.2422914749548695</v>
      </c>
    </row>
    <row r="39" spans="11:23">
      <c r="K39" s="130">
        <v>34</v>
      </c>
      <c r="L39" s="108">
        <v>-2.6343593361584845</v>
      </c>
      <c r="M39" s="107">
        <v>0.32781789265635497</v>
      </c>
      <c r="N39" s="96">
        <v>0.31650828887269217</v>
      </c>
      <c r="O39" s="96">
        <v>1.2177833357573404</v>
      </c>
      <c r="P39" s="132">
        <v>6.6737433244644908</v>
      </c>
      <c r="W39" s="115">
        <f t="shared" si="5"/>
        <v>6.6737433244644908</v>
      </c>
    </row>
    <row r="40" spans="11:23">
      <c r="K40" s="130">
        <v>35</v>
      </c>
      <c r="L40" s="108">
        <v>-6.7809926086425234</v>
      </c>
      <c r="M40" s="107">
        <v>0.34040881963808861</v>
      </c>
      <c r="N40" s="96">
        <v>0.30423045179167479</v>
      </c>
      <c r="O40" s="96">
        <v>0.98036290447845342</v>
      </c>
      <c r="P40" s="132">
        <v>0.25475373553269803</v>
      </c>
      <c r="W40" s="115">
        <f t="shared" si="5"/>
        <v>0.25475373553269803</v>
      </c>
    </row>
    <row r="41" spans="11:23">
      <c r="K41" s="130">
        <v>36</v>
      </c>
      <c r="L41" s="108">
        <v>3.7135574093888684</v>
      </c>
      <c r="M41" s="107">
        <v>0.34315667285028856</v>
      </c>
      <c r="N41" s="96">
        <v>0.2613558649265339</v>
      </c>
      <c r="O41" s="96">
        <v>1.1147458372918144</v>
      </c>
      <c r="P41" s="132">
        <v>0.20954314111164604</v>
      </c>
      <c r="W41" s="115">
        <f t="shared" si="5"/>
        <v>0.20954314111164604</v>
      </c>
    </row>
    <row r="42" spans="11:23">
      <c r="K42" s="130">
        <v>37</v>
      </c>
      <c r="L42" s="108">
        <v>-5.5779215281359447</v>
      </c>
      <c r="M42" s="107">
        <v>0.3370104650303809</v>
      </c>
      <c r="N42" s="96">
        <v>0.30293543059055661</v>
      </c>
      <c r="O42" s="96">
        <v>1.4307809425984592</v>
      </c>
      <c r="P42" s="132">
        <v>9.2228402818871782</v>
      </c>
      <c r="W42" s="115">
        <f t="shared" si="5"/>
        <v>9.2228402818871782</v>
      </c>
    </row>
    <row r="43" spans="11:23">
      <c r="K43" s="130">
        <v>38</v>
      </c>
      <c r="L43" s="108">
        <v>-10.301693254508285</v>
      </c>
      <c r="M43" s="107">
        <v>0.31211494157171249</v>
      </c>
      <c r="N43" s="96">
        <v>0.28062370164041373</v>
      </c>
      <c r="O43" s="96">
        <v>1.2311192360758234</v>
      </c>
      <c r="P43" s="132">
        <v>4.1606837676319799</v>
      </c>
      <c r="W43" s="115">
        <f t="shared" si="5"/>
        <v>4.1606837676319799</v>
      </c>
    </row>
    <row r="44" spans="11:23">
      <c r="K44" s="130">
        <v>39</v>
      </c>
      <c r="L44" s="108">
        <v>-9.4217235955816676</v>
      </c>
      <c r="M44" s="107">
        <v>0.3486019217462924</v>
      </c>
      <c r="N44" s="96">
        <v>0.26224768119351782</v>
      </c>
      <c r="O44" s="96">
        <v>1.3650434682876498</v>
      </c>
      <c r="P44" s="132">
        <v>1.6105289662599491</v>
      </c>
      <c r="W44" s="115">
        <f t="shared" si="5"/>
        <v>1.6105289662599491</v>
      </c>
    </row>
    <row r="45" spans="11:23">
      <c r="K45" s="130">
        <v>40</v>
      </c>
      <c r="L45" s="108">
        <v>0.16216381952982661</v>
      </c>
      <c r="M45" s="107">
        <v>0.33044479282106753</v>
      </c>
      <c r="N45" s="96">
        <v>0.30148188383887992</v>
      </c>
      <c r="O45" s="96">
        <v>1.4571061276011414</v>
      </c>
      <c r="P45" s="132">
        <v>10.336059963427866</v>
      </c>
      <c r="W45" s="115">
        <f t="shared" si="5"/>
        <v>10.336059963427866</v>
      </c>
    </row>
    <row r="46" spans="11:23">
      <c r="K46" s="130">
        <v>41</v>
      </c>
      <c r="L46" s="108">
        <v>5.9772927165154526</v>
      </c>
      <c r="M46" s="107">
        <v>0.31885293025092565</v>
      </c>
      <c r="N46" s="96">
        <v>0.27706810321466585</v>
      </c>
      <c r="O46" s="96">
        <v>1.240037888197989</v>
      </c>
      <c r="P46" s="132">
        <v>3.1957355024415746</v>
      </c>
      <c r="W46" s="115">
        <f t="shared" si="5"/>
        <v>3.1957355024415746</v>
      </c>
    </row>
    <row r="47" spans="11:23">
      <c r="K47" s="130">
        <v>42</v>
      </c>
      <c r="L47" s="108">
        <v>3.9699608554559105</v>
      </c>
      <c r="M47" s="107">
        <v>0.31896942588431454</v>
      </c>
      <c r="N47" s="96">
        <v>0.28981377747595166</v>
      </c>
      <c r="O47" s="96">
        <v>1.2301675316495413</v>
      </c>
      <c r="P47" s="132">
        <v>4.5488369522845487</v>
      </c>
      <c r="W47" s="115">
        <f t="shared" si="5"/>
        <v>4.5488369522845487</v>
      </c>
    </row>
    <row r="48" spans="11:23">
      <c r="K48" s="130">
        <v>43</v>
      </c>
      <c r="L48" s="108">
        <v>-0.94787842480876039</v>
      </c>
      <c r="M48" s="107">
        <v>0.35561327896656797</v>
      </c>
      <c r="N48" s="96">
        <v>0.23888094508158847</v>
      </c>
      <c r="O48" s="96">
        <v>1.2517172186185355</v>
      </c>
      <c r="P48" s="132">
        <v>0.19392232515949931</v>
      </c>
      <c r="W48" s="115">
        <f t="shared" si="5"/>
        <v>0.19392232515949931</v>
      </c>
    </row>
    <row r="49" spans="11:23">
      <c r="K49" s="130">
        <v>44</v>
      </c>
      <c r="L49" s="108">
        <v>10.477202428940711</v>
      </c>
      <c r="M49" s="107">
        <v>0.31451906177245292</v>
      </c>
      <c r="N49" s="96">
        <v>0.32039274940175355</v>
      </c>
      <c r="O49" s="96">
        <v>1.2951491221656848</v>
      </c>
      <c r="P49" s="132">
        <v>11.047979042145309</v>
      </c>
      <c r="W49" s="115">
        <f t="shared" si="5"/>
        <v>11.047979042145309</v>
      </c>
    </row>
    <row r="50" spans="11:23">
      <c r="K50" s="130">
        <v>45</v>
      </c>
      <c r="L50" s="108">
        <v>-4.6802247224964058</v>
      </c>
      <c r="M50" s="107">
        <v>0.33249235972884872</v>
      </c>
      <c r="N50" s="96">
        <v>0.33237216891709792</v>
      </c>
      <c r="O50" s="96">
        <v>1.3453655491482519</v>
      </c>
      <c r="P50" s="132">
        <v>11.732074714663003</v>
      </c>
      <c r="W50" s="115">
        <f t="shared" si="5"/>
        <v>11.732074714663003</v>
      </c>
    </row>
    <row r="51" spans="11:23">
      <c r="K51" s="130">
        <v>46</v>
      </c>
      <c r="L51" s="108">
        <v>-14.126868305034337</v>
      </c>
      <c r="M51" s="107">
        <v>0.31775668844799992</v>
      </c>
      <c r="N51" s="96">
        <v>0.25305382353459438</v>
      </c>
      <c r="O51" s="96">
        <v>1.2273822954894376</v>
      </c>
      <c r="P51" s="132">
        <v>0.79822408968004532</v>
      </c>
      <c r="W51" s="115">
        <f t="shared" si="5"/>
        <v>0.79822408968004532</v>
      </c>
    </row>
    <row r="52" spans="11:23">
      <c r="K52" s="130">
        <v>47</v>
      </c>
      <c r="L52" s="108">
        <v>6.5976381707525551</v>
      </c>
      <c r="M52" s="107">
        <v>0.31744082337311941</v>
      </c>
      <c r="N52" s="96">
        <v>0.30170656894259368</v>
      </c>
      <c r="O52" s="96">
        <v>1.370995737786602</v>
      </c>
      <c r="P52" s="132">
        <v>9.9557450196072743</v>
      </c>
      <c r="W52" s="115">
        <f t="shared" si="5"/>
        <v>9.9557450196072743</v>
      </c>
    </row>
    <row r="53" spans="11:23">
      <c r="K53" s="130">
        <v>48</v>
      </c>
      <c r="L53" s="108">
        <v>5.7776145190730457</v>
      </c>
      <c r="M53" s="107">
        <v>0.32311421102131399</v>
      </c>
      <c r="N53" s="96">
        <v>0.32962136284943483</v>
      </c>
      <c r="O53" s="96">
        <v>0.80507101509707035</v>
      </c>
      <c r="P53" s="132">
        <v>0.18693178184694254</v>
      </c>
      <c r="W53" s="115">
        <f t="shared" si="5"/>
        <v>0.18693178184694254</v>
      </c>
    </row>
    <row r="54" spans="11:23">
      <c r="K54" s="130">
        <v>49</v>
      </c>
      <c r="L54" s="108">
        <v>3.6773586787986599</v>
      </c>
      <c r="M54" s="107">
        <v>0.30881176698683627</v>
      </c>
      <c r="N54" s="96">
        <v>0.31848591009703364</v>
      </c>
      <c r="O54" s="96">
        <v>1.2296981231116038</v>
      </c>
      <c r="P54" s="132">
        <v>9.736022530343309</v>
      </c>
      <c r="W54" s="115">
        <f t="shared" si="5"/>
        <v>9.736022530343309</v>
      </c>
    </row>
    <row r="55" spans="11:23">
      <c r="K55" s="130">
        <v>50</v>
      </c>
      <c r="L55" s="108">
        <v>2.0150981375370063</v>
      </c>
      <c r="M55" s="107">
        <v>0.33507020140841559</v>
      </c>
      <c r="N55" s="96">
        <v>0.308866147180683</v>
      </c>
      <c r="O55" s="96">
        <v>0.97060725954324389</v>
      </c>
      <c r="P55" s="132">
        <v>0.2989640876550429</v>
      </c>
      <c r="W55" s="115">
        <f t="shared" si="5"/>
        <v>0.2989640876550429</v>
      </c>
    </row>
    <row r="56" spans="11:23">
      <c r="K56" s="130">
        <v>51</v>
      </c>
      <c r="L56" s="108">
        <v>4.3768986589598562</v>
      </c>
      <c r="M56" s="107">
        <v>0.33734434262470164</v>
      </c>
      <c r="N56" s="96">
        <v>0.28847365837538713</v>
      </c>
      <c r="O56" s="96">
        <v>1.3346630720170631</v>
      </c>
      <c r="P56" s="132">
        <v>5.0351734346566426</v>
      </c>
      <c r="W56" s="115">
        <f t="shared" si="5"/>
        <v>5.0351734346566426</v>
      </c>
    </row>
    <row r="57" spans="11:23">
      <c r="K57" s="130">
        <v>52</v>
      </c>
      <c r="L57" s="108">
        <v>3.9024701093246223</v>
      </c>
      <c r="M57" s="107">
        <v>0.32689625591931659</v>
      </c>
      <c r="N57" s="96">
        <v>0.29631666539869894</v>
      </c>
      <c r="O57" s="96">
        <v>0.72469010181450022</v>
      </c>
      <c r="P57" s="132">
        <v>9.7132877255680358E-2</v>
      </c>
      <c r="W57" s="115">
        <f t="shared" si="5"/>
        <v>9.7132877255680358E-2</v>
      </c>
    </row>
    <row r="58" spans="11:23">
      <c r="K58" s="130">
        <v>53</v>
      </c>
      <c r="L58" s="108">
        <v>-2.7146045367944418</v>
      </c>
      <c r="M58" s="107">
        <v>0.31004717224876538</v>
      </c>
      <c r="N58" s="96">
        <v>0.26846372107412869</v>
      </c>
      <c r="O58" s="96">
        <v>1.1682726766781744</v>
      </c>
      <c r="P58" s="132">
        <v>1.4136536838058504</v>
      </c>
      <c r="W58" s="115">
        <f t="shared" si="5"/>
        <v>1.4136536838058504</v>
      </c>
    </row>
    <row r="59" spans="11:23">
      <c r="K59" s="130">
        <v>54</v>
      </c>
      <c r="L59" s="108">
        <v>0.73590054038682939</v>
      </c>
      <c r="M59" s="107">
        <v>0.33060458208304117</v>
      </c>
      <c r="N59" s="96">
        <v>0.30510868173290023</v>
      </c>
      <c r="O59" s="96">
        <v>1.2803290188104341</v>
      </c>
      <c r="P59" s="132">
        <v>6.5754804757203242</v>
      </c>
      <c r="W59" s="115">
        <f t="shared" si="5"/>
        <v>6.5754804757203242</v>
      </c>
    </row>
    <row r="60" spans="11:23">
      <c r="K60" s="130">
        <v>55</v>
      </c>
      <c r="L60" s="108">
        <v>-7.7054529828736058</v>
      </c>
      <c r="M60" s="107">
        <v>0.31894827065985359</v>
      </c>
      <c r="N60" s="96">
        <v>0.30152733810263149</v>
      </c>
      <c r="O60" s="96">
        <v>1.1959092520102943</v>
      </c>
      <c r="P60" s="132">
        <v>5.1214539612069974</v>
      </c>
      <c r="W60" s="115">
        <f t="shared" si="5"/>
        <v>5.1214539612069974</v>
      </c>
    </row>
    <row r="61" spans="11:23">
      <c r="K61" s="130">
        <v>56</v>
      </c>
      <c r="L61" s="108">
        <v>1.9909247727548629</v>
      </c>
      <c r="M61" s="107">
        <v>0.32797526173418168</v>
      </c>
      <c r="N61" s="96">
        <v>0.34882845976399912</v>
      </c>
      <c r="O61" s="96">
        <v>0.83736757182077604</v>
      </c>
      <c r="P61" s="132">
        <v>0.29473016109727929</v>
      </c>
      <c r="W61" s="115">
        <f t="shared" si="5"/>
        <v>0.29473016109727929</v>
      </c>
    </row>
    <row r="62" spans="11:23">
      <c r="K62" s="130">
        <v>57</v>
      </c>
      <c r="L62" s="108">
        <v>6.1324849041037215</v>
      </c>
      <c r="M62" s="107">
        <v>0.32184355827641969</v>
      </c>
      <c r="N62" s="96">
        <v>0.27448533508730794</v>
      </c>
      <c r="O62" s="96">
        <v>1.475085290933329</v>
      </c>
      <c r="P62" s="132">
        <v>7.9595253130548107</v>
      </c>
      <c r="W62" s="115">
        <f t="shared" si="5"/>
        <v>7.9595253130548107</v>
      </c>
    </row>
    <row r="63" spans="11:23">
      <c r="K63" s="130">
        <v>58</v>
      </c>
      <c r="L63" s="108">
        <v>-13.129233534968225</v>
      </c>
      <c r="M63" s="107">
        <v>0.33461476278281505</v>
      </c>
      <c r="N63" s="96">
        <v>0.29153053416067198</v>
      </c>
      <c r="O63" s="96">
        <v>1.2808986550826669</v>
      </c>
      <c r="P63" s="132">
        <v>4.3753971757389838</v>
      </c>
      <c r="W63" s="115">
        <f t="shared" si="5"/>
        <v>4.3753971757389838</v>
      </c>
    </row>
    <row r="64" spans="11:23">
      <c r="K64" s="130">
        <v>59</v>
      </c>
      <c r="L64" s="108">
        <v>10.765449879409815</v>
      </c>
      <c r="M64" s="107">
        <v>0.32918753084514929</v>
      </c>
      <c r="N64" s="96">
        <v>0.27505905855662288</v>
      </c>
      <c r="O64" s="96">
        <v>1.3205079578129408</v>
      </c>
      <c r="P64" s="132">
        <v>3.8382388602334605</v>
      </c>
      <c r="W64" s="115">
        <f t="shared" si="5"/>
        <v>3.8382388602334605</v>
      </c>
    </row>
    <row r="65" spans="11:23">
      <c r="K65" s="130">
        <v>60</v>
      </c>
      <c r="L65" s="108">
        <v>1.4826227791424862</v>
      </c>
      <c r="M65" s="107">
        <v>0.30530813847711619</v>
      </c>
      <c r="N65" s="96">
        <v>0.26765288561078426</v>
      </c>
      <c r="O65" s="96">
        <v>0.97103231200914997</v>
      </c>
      <c r="P65" s="132">
        <v>0.23171608028521293</v>
      </c>
      <c r="W65" s="115">
        <f t="shared" si="5"/>
        <v>0.23171608028521293</v>
      </c>
    </row>
    <row r="66" spans="11:23">
      <c r="K66" s="130">
        <v>61</v>
      </c>
      <c r="L66" s="108">
        <v>-1.5163201616978661</v>
      </c>
      <c r="M66" s="107">
        <v>0.3198536961948526</v>
      </c>
      <c r="N66" s="96">
        <v>0.29522079025618048</v>
      </c>
      <c r="O66" s="96">
        <v>1.4232044430040593</v>
      </c>
      <c r="P66" s="132">
        <v>9.9532211027775652</v>
      </c>
      <c r="W66" s="115">
        <f t="shared" si="5"/>
        <v>9.9532211027775652</v>
      </c>
    </row>
    <row r="67" spans="11:23">
      <c r="K67" s="130">
        <v>62</v>
      </c>
      <c r="L67" s="108">
        <v>4.6463866426746918</v>
      </c>
      <c r="M67" s="107">
        <v>0.33343240764301074</v>
      </c>
      <c r="N67" s="96">
        <v>0.28371472493592947</v>
      </c>
      <c r="O67" s="96">
        <v>1.3302500036009586</v>
      </c>
      <c r="P67" s="132">
        <v>4.7305107699679345</v>
      </c>
      <c r="W67" s="115">
        <f t="shared" si="5"/>
        <v>4.7305107699679345</v>
      </c>
    </row>
    <row r="68" spans="11:23">
      <c r="K68" s="130">
        <v>63</v>
      </c>
      <c r="L68" s="108">
        <v>-4.2502022090790144</v>
      </c>
      <c r="M68" s="107">
        <v>0.33269910201628289</v>
      </c>
      <c r="N68" s="96">
        <v>0.28944957799454207</v>
      </c>
      <c r="O68" s="96">
        <v>1.2945045239480313</v>
      </c>
      <c r="P68" s="132">
        <v>4.6627916908076186</v>
      </c>
      <c r="W68" s="115">
        <f t="shared" si="5"/>
        <v>4.6627916908076186</v>
      </c>
    </row>
    <row r="69" spans="11:23">
      <c r="K69" s="130">
        <v>64</v>
      </c>
      <c r="L69" s="108">
        <v>12.668706844837427</v>
      </c>
      <c r="M69" s="107">
        <v>0.32802041061805093</v>
      </c>
      <c r="N69" s="96">
        <v>0.26583261543361825</v>
      </c>
      <c r="O69" s="96">
        <v>1.0628115616941789</v>
      </c>
      <c r="P69" s="132">
        <v>0.23463596272010798</v>
      </c>
      <c r="W69" s="115">
        <f t="shared" si="5"/>
        <v>0.23463596272010798</v>
      </c>
    </row>
    <row r="70" spans="11:23">
      <c r="K70" s="130">
        <v>65</v>
      </c>
      <c r="L70" s="108">
        <v>8.0178808031919822</v>
      </c>
      <c r="M70" s="107">
        <v>0.34145660869243366</v>
      </c>
      <c r="N70" s="96">
        <v>0.28895457427365273</v>
      </c>
      <c r="O70" s="96">
        <v>1.2849193624033304</v>
      </c>
      <c r="P70" s="132">
        <v>3.4489505394672748</v>
      </c>
      <c r="W70" s="115">
        <f t="shared" ref="W70:W133" si="15">P70</f>
        <v>3.4489505394672748</v>
      </c>
    </row>
    <row r="71" spans="11:23">
      <c r="K71" s="130">
        <v>66</v>
      </c>
      <c r="L71" s="108">
        <v>13.033268439959805</v>
      </c>
      <c r="M71" s="107">
        <v>0.32788823354583713</v>
      </c>
      <c r="N71" s="96">
        <v>0.23692325788328744</v>
      </c>
      <c r="O71" s="96">
        <v>1.2712028068668215</v>
      </c>
      <c r="P71" s="132">
        <v>0.37191737292843563</v>
      </c>
      <c r="W71" s="115">
        <f t="shared" si="15"/>
        <v>0.37191737292843563</v>
      </c>
    </row>
    <row r="72" spans="11:23">
      <c r="K72" s="130">
        <v>67</v>
      </c>
      <c r="L72" s="108">
        <v>2.4614486377116487</v>
      </c>
      <c r="M72" s="107">
        <v>0.32891661235990127</v>
      </c>
      <c r="N72" s="96">
        <v>0.24636283553536578</v>
      </c>
      <c r="O72" s="96">
        <v>1.2497193671611513</v>
      </c>
      <c r="P72" s="132">
        <v>0.44833166229216792</v>
      </c>
      <c r="W72" s="115">
        <f t="shared" si="15"/>
        <v>0.44833166229216792</v>
      </c>
    </row>
    <row r="73" spans="11:23">
      <c r="K73" s="130">
        <v>68</v>
      </c>
      <c r="L73" s="108">
        <v>10.867519594372538</v>
      </c>
      <c r="M73" s="107">
        <v>0.3255249149873925</v>
      </c>
      <c r="N73" s="96">
        <v>0.31748257609328878</v>
      </c>
      <c r="O73" s="96">
        <v>1.3699132620242813</v>
      </c>
      <c r="P73" s="132">
        <v>11.13893796914547</v>
      </c>
      <c r="W73" s="115">
        <f t="shared" si="15"/>
        <v>11.13893796914547</v>
      </c>
    </row>
    <row r="74" spans="11:23">
      <c r="K74" s="130">
        <v>69</v>
      </c>
      <c r="L74" s="108">
        <v>5.7003312409426359</v>
      </c>
      <c r="M74" s="107">
        <v>0.32275012344356618</v>
      </c>
      <c r="N74" s="96">
        <v>0.3072313635117096</v>
      </c>
      <c r="O74" s="96">
        <v>1.1329243115392975</v>
      </c>
      <c r="P74" s="132">
        <v>3.4990440058562715</v>
      </c>
      <c r="W74" s="115">
        <f t="shared" si="15"/>
        <v>3.4990440058562715</v>
      </c>
    </row>
    <row r="75" spans="11:23">
      <c r="K75" s="130">
        <v>70</v>
      </c>
      <c r="L75" s="108">
        <v>-6.3066452441549181</v>
      </c>
      <c r="M75" s="107">
        <v>0.32255735618389447</v>
      </c>
      <c r="N75" s="96">
        <v>0.28745640374372</v>
      </c>
      <c r="O75" s="96">
        <v>1.0428396730782385</v>
      </c>
      <c r="P75" s="132">
        <v>0.42885622753438551</v>
      </c>
      <c r="W75" s="115">
        <f t="shared" si="15"/>
        <v>0.42885622753438551</v>
      </c>
    </row>
    <row r="76" spans="11:23">
      <c r="K76" s="130">
        <v>71</v>
      </c>
      <c r="L76" s="108">
        <v>7.3352520847131739</v>
      </c>
      <c r="M76" s="107">
        <v>0.33109021875465328</v>
      </c>
      <c r="N76" s="96">
        <v>0.35126915797375646</v>
      </c>
      <c r="O76" s="96">
        <v>1.3915093955396742</v>
      </c>
      <c r="P76" s="132">
        <v>15.677926575217938</v>
      </c>
      <c r="W76" s="115">
        <f t="shared" si="15"/>
        <v>15.677926575217938</v>
      </c>
    </row>
    <row r="77" spans="11:23">
      <c r="K77" s="130">
        <v>72</v>
      </c>
      <c r="L77" s="108">
        <v>4.9998566753449527</v>
      </c>
      <c r="M77" s="107">
        <v>0.31288022762157103</v>
      </c>
      <c r="N77" s="96">
        <v>0.33205383717411302</v>
      </c>
      <c r="O77" s="96">
        <v>1.2104822832935453</v>
      </c>
      <c r="P77" s="132">
        <v>10.526239156659175</v>
      </c>
      <c r="W77" s="115">
        <f t="shared" si="15"/>
        <v>10.526239156659175</v>
      </c>
    </row>
    <row r="78" spans="11:23">
      <c r="K78" s="130">
        <v>73</v>
      </c>
      <c r="L78" s="108">
        <v>13.01875649889821</v>
      </c>
      <c r="M78" s="107">
        <v>0.328587404821435</v>
      </c>
      <c r="N78" s="96">
        <v>0.24245226061689396</v>
      </c>
      <c r="O78" s="96">
        <v>0.97741344257115514</v>
      </c>
      <c r="P78" s="132">
        <v>0.1189821134356297</v>
      </c>
      <c r="W78" s="115">
        <f t="shared" si="15"/>
        <v>0.1189821134356297</v>
      </c>
    </row>
    <row r="79" spans="11:23">
      <c r="K79" s="130">
        <v>74</v>
      </c>
      <c r="L79" s="108">
        <v>-7.1859458049706246</v>
      </c>
      <c r="M79" s="107">
        <v>0.31162637964978329</v>
      </c>
      <c r="N79" s="96">
        <v>0.29134602366788143</v>
      </c>
      <c r="O79" s="96">
        <v>1.4719590208372064</v>
      </c>
      <c r="P79" s="132">
        <v>11.410485116321519</v>
      </c>
      <c r="W79" s="115">
        <f t="shared" si="15"/>
        <v>11.410485116321519</v>
      </c>
    </row>
    <row r="80" spans="11:23">
      <c r="K80" s="130">
        <v>75</v>
      </c>
      <c r="L80" s="108">
        <v>-0.35486973448693582</v>
      </c>
      <c r="M80" s="107">
        <v>0.31777121394855584</v>
      </c>
      <c r="N80" s="96">
        <v>0.25007565997310921</v>
      </c>
      <c r="O80" s="96">
        <v>1.3317056808087886</v>
      </c>
      <c r="P80" s="132">
        <v>2.1697922023346465</v>
      </c>
      <c r="W80" s="115">
        <f t="shared" si="15"/>
        <v>2.1697922023346465</v>
      </c>
    </row>
    <row r="81" spans="11:23">
      <c r="K81" s="130">
        <v>76</v>
      </c>
      <c r="L81" s="108">
        <v>4.7455034809466872</v>
      </c>
      <c r="M81" s="107">
        <v>0.32030046030447273</v>
      </c>
      <c r="N81" s="96">
        <v>0.29375321816181843</v>
      </c>
      <c r="O81" s="96">
        <v>1.2466856583987085</v>
      </c>
      <c r="P81" s="132">
        <v>5.3646049920300474</v>
      </c>
      <c r="W81" s="115">
        <f t="shared" si="15"/>
        <v>5.3646049920300474</v>
      </c>
    </row>
    <row r="82" spans="11:23">
      <c r="K82" s="130">
        <v>77</v>
      </c>
      <c r="L82" s="108">
        <v>-10.129797327417869</v>
      </c>
      <c r="M82" s="107">
        <v>0.32978155984364144</v>
      </c>
      <c r="N82" s="96">
        <v>0.22901620298177011</v>
      </c>
      <c r="O82" s="96">
        <v>1.2308824347638776</v>
      </c>
      <c r="P82" s="132">
        <v>0.22299894599610676</v>
      </c>
      <c r="W82" s="115">
        <f t="shared" si="15"/>
        <v>0.22299894599610676</v>
      </c>
    </row>
    <row r="83" spans="11:23">
      <c r="K83" s="130">
        <v>78</v>
      </c>
      <c r="L83" s="108">
        <v>-1.706140979658866</v>
      </c>
      <c r="M83" s="107">
        <v>0.33934316080149418</v>
      </c>
      <c r="N83" s="96">
        <v>0.33264706380303233</v>
      </c>
      <c r="O83" s="96">
        <v>1.5322962051852027</v>
      </c>
      <c r="P83" s="132">
        <v>15.35883708932441</v>
      </c>
      <c r="W83" s="115">
        <f t="shared" si="15"/>
        <v>15.35883708932441</v>
      </c>
    </row>
    <row r="84" spans="11:23">
      <c r="K84" s="130">
        <v>79</v>
      </c>
      <c r="L84" s="108">
        <v>9.6265016484859203</v>
      </c>
      <c r="M84" s="107">
        <v>0.32730994781184447</v>
      </c>
      <c r="N84" s="96">
        <v>0.34677517930624824</v>
      </c>
      <c r="O84" s="96">
        <v>1.1989738543095341</v>
      </c>
      <c r="P84" s="132">
        <v>10.259971639752825</v>
      </c>
      <c r="W84" s="115">
        <f t="shared" si="15"/>
        <v>10.259971639752825</v>
      </c>
    </row>
    <row r="85" spans="11:23">
      <c r="K85" s="130">
        <v>80</v>
      </c>
      <c r="L85" s="108">
        <v>-8.1376660112219117</v>
      </c>
      <c r="M85" s="107">
        <v>0.33462811856675734</v>
      </c>
      <c r="N85" s="96">
        <v>0.20714533292409004</v>
      </c>
      <c r="O85" s="96">
        <v>1.0648028832689567</v>
      </c>
      <c r="P85" s="132">
        <v>9.6058997305353638E-2</v>
      </c>
      <c r="W85" s="115">
        <f t="shared" si="15"/>
        <v>9.6058997305353638E-2</v>
      </c>
    </row>
    <row r="86" spans="11:23">
      <c r="K86" s="130">
        <v>81</v>
      </c>
      <c r="L86" s="108">
        <v>0.12456042263886424</v>
      </c>
      <c r="M86" s="107">
        <v>0.32091856980026312</v>
      </c>
      <c r="N86" s="96">
        <v>0.28936445993846938</v>
      </c>
      <c r="O86" s="96">
        <v>0.91325473989649875</v>
      </c>
      <c r="P86" s="132">
        <v>0.1898117009182313</v>
      </c>
      <c r="W86" s="115">
        <f t="shared" si="15"/>
        <v>0.1898117009182313</v>
      </c>
    </row>
    <row r="87" spans="11:23">
      <c r="K87" s="130">
        <v>82</v>
      </c>
      <c r="L87" s="108">
        <v>-1.8526716362783171</v>
      </c>
      <c r="M87" s="107">
        <v>0.33577820470180508</v>
      </c>
      <c r="N87" s="96">
        <v>0.29806609941970452</v>
      </c>
      <c r="O87" s="96">
        <v>1.2476207674263278</v>
      </c>
      <c r="P87" s="132">
        <v>4.2000424815888637</v>
      </c>
      <c r="W87" s="115">
        <f t="shared" si="15"/>
        <v>4.2000424815888637</v>
      </c>
    </row>
    <row r="88" spans="11:23">
      <c r="K88" s="130">
        <v>83</v>
      </c>
      <c r="L88" s="108">
        <v>-0.49260726843546099</v>
      </c>
      <c r="M88" s="107">
        <v>0.32096374895517882</v>
      </c>
      <c r="N88" s="96">
        <v>0.35008104674891344</v>
      </c>
      <c r="O88" s="96">
        <v>0.93998545521826871</v>
      </c>
      <c r="P88" s="132">
        <v>2.0196937252468024</v>
      </c>
      <c r="W88" s="115">
        <f t="shared" si="15"/>
        <v>2.0196937252468024</v>
      </c>
    </row>
    <row r="89" spans="11:23">
      <c r="K89" s="130">
        <v>84</v>
      </c>
      <c r="L89" s="108">
        <v>-0.83158376359389585</v>
      </c>
      <c r="M89" s="107">
        <v>0.35186816093811168</v>
      </c>
      <c r="N89" s="96">
        <v>0.34045623127037405</v>
      </c>
      <c r="O89" s="96">
        <v>1.0977919479448901</v>
      </c>
      <c r="P89" s="132">
        <v>3.0577059439954857</v>
      </c>
      <c r="W89" s="115">
        <f t="shared" si="15"/>
        <v>3.0577059439954857</v>
      </c>
    </row>
    <row r="90" spans="11:23">
      <c r="K90" s="130">
        <v>85</v>
      </c>
      <c r="L90" s="108">
        <v>8.6443968361512091</v>
      </c>
      <c r="M90" s="107">
        <v>0.34445225531696838</v>
      </c>
      <c r="N90" s="96">
        <v>0.27663761016547361</v>
      </c>
      <c r="O90" s="96">
        <v>1.3588149037242963</v>
      </c>
      <c r="P90" s="132">
        <v>3.4073031773515883</v>
      </c>
      <c r="W90" s="115">
        <f t="shared" si="15"/>
        <v>3.4073031773515883</v>
      </c>
    </row>
    <row r="91" spans="11:23">
      <c r="K91" s="130">
        <v>86</v>
      </c>
      <c r="L91" s="108">
        <v>4.4091458188409671</v>
      </c>
      <c r="M91" s="107">
        <v>0.3145566405035472</v>
      </c>
      <c r="N91" s="96">
        <v>0.28849716076423798</v>
      </c>
      <c r="O91" s="96">
        <v>1.3379887131704544</v>
      </c>
      <c r="P91" s="132">
        <v>7.6803256981762313</v>
      </c>
      <c r="W91" s="115">
        <f t="shared" si="15"/>
        <v>7.6803256981762313</v>
      </c>
    </row>
    <row r="92" spans="11:23">
      <c r="K92" s="130">
        <v>87</v>
      </c>
      <c r="L92" s="108">
        <v>-6.9132282164966261</v>
      </c>
      <c r="M92" s="107">
        <v>0.30535962177845127</v>
      </c>
      <c r="N92" s="96">
        <v>0.3444678316469198</v>
      </c>
      <c r="O92" s="96">
        <v>1.1606466165649296</v>
      </c>
      <c r="P92" s="132">
        <v>11.800094132020268</v>
      </c>
      <c r="W92" s="115">
        <f t="shared" si="15"/>
        <v>11.800094132020268</v>
      </c>
    </row>
    <row r="93" spans="11:23">
      <c r="K93" s="130">
        <v>88</v>
      </c>
      <c r="L93" s="108">
        <v>-2.4827027921061395</v>
      </c>
      <c r="M93" s="107">
        <v>0.29704977245132913</v>
      </c>
      <c r="N93" s="96">
        <v>0.28669649865625846</v>
      </c>
      <c r="O93" s="96">
        <v>1.5257677469935809</v>
      </c>
      <c r="P93" s="132">
        <v>13.545931099302855</v>
      </c>
      <c r="W93" s="115">
        <f t="shared" si="15"/>
        <v>13.545931099302855</v>
      </c>
    </row>
    <row r="94" spans="11:23">
      <c r="K94" s="130">
        <v>89</v>
      </c>
      <c r="L94" s="108">
        <v>5.9871962401754102</v>
      </c>
      <c r="M94" s="107">
        <v>0.32219779722202141</v>
      </c>
      <c r="N94" s="96">
        <v>0.25172302217356501</v>
      </c>
      <c r="O94" s="96">
        <v>1.47372856187618</v>
      </c>
      <c r="P94" s="132">
        <v>4.8203989178113869</v>
      </c>
      <c r="W94" s="115">
        <f t="shared" si="15"/>
        <v>4.8203989178113869</v>
      </c>
    </row>
    <row r="95" spans="11:23">
      <c r="K95" s="130">
        <v>90</v>
      </c>
      <c r="L95" s="108">
        <v>-2.4507909211192658</v>
      </c>
      <c r="M95" s="107">
        <v>0.30335385608200871</v>
      </c>
      <c r="N95" s="96">
        <v>0.31014442452644986</v>
      </c>
      <c r="O95" s="96">
        <v>1.162071806907004</v>
      </c>
      <c r="P95" s="132">
        <v>7.2749180970753331</v>
      </c>
      <c r="W95" s="115">
        <f t="shared" si="15"/>
        <v>7.2749180970753331</v>
      </c>
    </row>
    <row r="96" spans="11:23">
      <c r="K96" s="130">
        <v>91</v>
      </c>
      <c r="L96" s="108">
        <v>-4.2096069508073963</v>
      </c>
      <c r="M96" s="107">
        <v>0.31854911798837865</v>
      </c>
      <c r="N96" s="96">
        <v>0.32208159271245868</v>
      </c>
      <c r="O96" s="96">
        <v>1.8415018054290915</v>
      </c>
      <c r="P96" s="132">
        <v>23.779129801211639</v>
      </c>
      <c r="W96" s="115">
        <f t="shared" si="15"/>
        <v>23.779129801211639</v>
      </c>
    </row>
    <row r="97" spans="11:23">
      <c r="K97" s="130">
        <v>92</v>
      </c>
      <c r="L97" s="108">
        <v>13.757349248446355</v>
      </c>
      <c r="M97" s="107">
        <v>0.3459219994830296</v>
      </c>
      <c r="N97" s="96">
        <v>0.27154890826844624</v>
      </c>
      <c r="O97" s="96">
        <v>0.98835513414035692</v>
      </c>
      <c r="P97" s="132">
        <v>0.14226095823183144</v>
      </c>
      <c r="W97" s="115">
        <f t="shared" si="15"/>
        <v>0.14226095823183144</v>
      </c>
    </row>
    <row r="98" spans="11:23">
      <c r="K98" s="130">
        <v>93</v>
      </c>
      <c r="L98" s="108">
        <v>-1.7870903426980185</v>
      </c>
      <c r="M98" s="107">
        <v>0.32685403424738629</v>
      </c>
      <c r="N98" s="96">
        <v>0.30116546641995001</v>
      </c>
      <c r="O98" s="96">
        <v>1.0825675441573146</v>
      </c>
      <c r="P98" s="132">
        <v>1.150116147781064</v>
      </c>
      <c r="W98" s="115">
        <f t="shared" si="15"/>
        <v>1.150116147781064</v>
      </c>
    </row>
    <row r="99" spans="11:23">
      <c r="K99" s="130">
        <v>94</v>
      </c>
      <c r="L99" s="108">
        <v>-1.9774977765454098</v>
      </c>
      <c r="M99" s="107">
        <v>0.32859516913654929</v>
      </c>
      <c r="N99" s="96">
        <v>0.3104981405147843</v>
      </c>
      <c r="O99" s="96">
        <v>1.3881783858580339</v>
      </c>
      <c r="P99" s="132">
        <v>10.242149247134419</v>
      </c>
      <c r="W99" s="115">
        <f t="shared" si="15"/>
        <v>10.242149247134419</v>
      </c>
    </row>
    <row r="100" spans="11:23">
      <c r="K100" s="130">
        <v>95</v>
      </c>
      <c r="L100" s="108">
        <v>1.6464468186003356</v>
      </c>
      <c r="M100" s="107">
        <v>0.31553666163961663</v>
      </c>
      <c r="N100" s="96">
        <v>0.26876717219664925</v>
      </c>
      <c r="O100" s="96">
        <v>1.3495446699394462</v>
      </c>
      <c r="P100" s="132">
        <v>5.15062745502743</v>
      </c>
      <c r="W100" s="115">
        <f t="shared" si="15"/>
        <v>5.15062745502743</v>
      </c>
    </row>
    <row r="101" spans="11:23">
      <c r="K101" s="130">
        <v>96</v>
      </c>
      <c r="L101" s="108">
        <v>-6.6337171789627103</v>
      </c>
      <c r="M101" s="107">
        <v>0.33263693352263402</v>
      </c>
      <c r="N101" s="96">
        <v>0.31188403998897496</v>
      </c>
      <c r="O101" s="96">
        <v>1.4680701009391017</v>
      </c>
      <c r="P101" s="132">
        <v>11.752876428086973</v>
      </c>
      <c r="W101" s="115">
        <f t="shared" si="15"/>
        <v>11.752876428086973</v>
      </c>
    </row>
    <row r="102" spans="11:23">
      <c r="K102" s="130">
        <v>97</v>
      </c>
      <c r="L102" s="108">
        <v>0.15138603491860192</v>
      </c>
      <c r="M102" s="107">
        <v>0.34679595119955553</v>
      </c>
      <c r="N102" s="96">
        <v>0.32721564234933509</v>
      </c>
      <c r="O102" s="96">
        <v>0.78306617425734659</v>
      </c>
      <c r="P102" s="132">
        <v>0.12218652598920168</v>
      </c>
      <c r="W102" s="115">
        <f t="shared" si="15"/>
        <v>0.12218652598920168</v>
      </c>
    </row>
    <row r="103" spans="11:23">
      <c r="K103" s="130">
        <v>98</v>
      </c>
      <c r="L103" s="108">
        <v>4.5522939276326619</v>
      </c>
      <c r="M103" s="107">
        <v>0.33393068685683097</v>
      </c>
      <c r="N103" s="96">
        <v>0.31094775481386361</v>
      </c>
      <c r="O103" s="96">
        <v>0.93914373540913099</v>
      </c>
      <c r="P103" s="132">
        <v>0.25531504195955579</v>
      </c>
      <c r="W103" s="115">
        <f t="shared" si="15"/>
        <v>0.25531504195955579</v>
      </c>
    </row>
    <row r="104" spans="11:23">
      <c r="K104" s="130">
        <v>99</v>
      </c>
      <c r="L104" s="108">
        <v>6.0832736072126545</v>
      </c>
      <c r="M104" s="107">
        <v>0.33331292471753454</v>
      </c>
      <c r="N104" s="96">
        <v>0.24947850964785265</v>
      </c>
      <c r="O104" s="96">
        <v>1.1464136638332332</v>
      </c>
      <c r="P104" s="132">
        <v>0.22656783724759863</v>
      </c>
      <c r="W104" s="115">
        <f t="shared" si="15"/>
        <v>0.22656783724759863</v>
      </c>
    </row>
    <row r="105" spans="11:23">
      <c r="K105" s="130">
        <v>100</v>
      </c>
      <c r="L105" s="108">
        <v>-5.5243391664171675</v>
      </c>
      <c r="M105" s="107">
        <v>0.33000671322394109</v>
      </c>
      <c r="N105" s="96">
        <v>0.30506340886962097</v>
      </c>
      <c r="O105" s="96">
        <v>1.2483470098616516</v>
      </c>
      <c r="P105" s="132">
        <v>5.7696929385770046</v>
      </c>
      <c r="W105" s="115">
        <f t="shared" si="15"/>
        <v>5.7696929385770046</v>
      </c>
    </row>
    <row r="106" spans="11:23">
      <c r="K106" s="130">
        <v>101</v>
      </c>
      <c r="L106" s="108">
        <v>2.9935213874330926</v>
      </c>
      <c r="M106" s="107">
        <v>0.3464155803718133</v>
      </c>
      <c r="N106" s="96">
        <v>0.25125488210327518</v>
      </c>
      <c r="O106" s="96">
        <v>1.3021041267658557</v>
      </c>
      <c r="P106" s="132">
        <v>0.47780017791726898</v>
      </c>
      <c r="W106" s="115">
        <f t="shared" si="15"/>
        <v>0.47780017791726898</v>
      </c>
    </row>
    <row r="107" spans="11:23">
      <c r="K107" s="130">
        <v>102</v>
      </c>
      <c r="L107" s="108">
        <v>16.738743054576993</v>
      </c>
      <c r="M107" s="107">
        <v>0.32397870498113474</v>
      </c>
      <c r="N107" s="96">
        <v>0.3060754726093422</v>
      </c>
      <c r="O107" s="96">
        <v>1.6449861433918995</v>
      </c>
      <c r="P107" s="132">
        <v>15.361001782531366</v>
      </c>
      <c r="W107" s="115">
        <f t="shared" si="15"/>
        <v>15.361001782531366</v>
      </c>
    </row>
    <row r="108" spans="11:23">
      <c r="K108" s="130">
        <v>103</v>
      </c>
      <c r="L108" s="108">
        <v>6.5004484555810054</v>
      </c>
      <c r="M108" s="107">
        <v>0.34381170657966686</v>
      </c>
      <c r="N108" s="96">
        <v>0.2555533043893789</v>
      </c>
      <c r="O108" s="96">
        <v>1.2825422502383867</v>
      </c>
      <c r="P108" s="132">
        <v>0.53876546750068843</v>
      </c>
      <c r="W108" s="115">
        <f t="shared" si="15"/>
        <v>0.53876546750068843</v>
      </c>
    </row>
    <row r="109" spans="11:23">
      <c r="K109" s="130">
        <v>104</v>
      </c>
      <c r="L109" s="108">
        <v>15.90980146433593</v>
      </c>
      <c r="M109" s="107">
        <v>0.33313735390769245</v>
      </c>
      <c r="N109" s="96">
        <v>0.29839453048621783</v>
      </c>
      <c r="O109" s="96">
        <v>1.5453413728704255</v>
      </c>
      <c r="P109" s="132">
        <v>11.409249062226168</v>
      </c>
      <c r="W109" s="115">
        <f t="shared" si="15"/>
        <v>11.409249062226168</v>
      </c>
    </row>
    <row r="110" spans="11:23">
      <c r="K110" s="130">
        <v>105</v>
      </c>
      <c r="L110" s="108">
        <v>7.3254007139300672</v>
      </c>
      <c r="M110" s="107">
        <v>0.32751117687380177</v>
      </c>
      <c r="N110" s="96">
        <v>0.22715364707009766</v>
      </c>
      <c r="O110" s="96">
        <v>1.1401913627479667</v>
      </c>
      <c r="P110" s="132">
        <v>0.15816036056639521</v>
      </c>
      <c r="W110" s="115">
        <f t="shared" si="15"/>
        <v>0.15816036056639521</v>
      </c>
    </row>
    <row r="111" spans="11:23">
      <c r="K111" s="130">
        <v>106</v>
      </c>
      <c r="L111" s="108">
        <v>10.301499312077205</v>
      </c>
      <c r="M111" s="107">
        <v>0.32719859710544114</v>
      </c>
      <c r="N111" s="96">
        <v>0.3181477438147769</v>
      </c>
      <c r="O111" s="96">
        <v>0.95794973003602335</v>
      </c>
      <c r="P111" s="132">
        <v>0.43875857361956316</v>
      </c>
      <c r="W111" s="115">
        <f t="shared" si="15"/>
        <v>0.43875857361956316</v>
      </c>
    </row>
    <row r="112" spans="11:23">
      <c r="K112" s="130">
        <v>107</v>
      </c>
      <c r="L112" s="108">
        <v>-3.2754022198958479</v>
      </c>
      <c r="M112" s="107">
        <v>0.34559315332907736</v>
      </c>
      <c r="N112" s="96">
        <v>0.3629483061632911</v>
      </c>
      <c r="O112" s="96">
        <v>1.4385275063070984</v>
      </c>
      <c r="P112" s="132">
        <v>16.77318561759779</v>
      </c>
      <c r="W112" s="115">
        <f t="shared" si="15"/>
        <v>16.77318561759779</v>
      </c>
    </row>
    <row r="113" spans="11:23">
      <c r="K113" s="130">
        <v>108</v>
      </c>
      <c r="L113" s="108">
        <v>8.4681016500127555</v>
      </c>
      <c r="M113" s="107">
        <v>0.34454608909026152</v>
      </c>
      <c r="N113" s="96">
        <v>0.26768996080628066</v>
      </c>
      <c r="O113" s="96">
        <v>1.3133693916495359</v>
      </c>
      <c r="P113" s="132">
        <v>1.4991461281461906</v>
      </c>
      <c r="W113" s="115">
        <f t="shared" si="15"/>
        <v>1.4991461281461906</v>
      </c>
    </row>
    <row r="114" spans="11:23">
      <c r="K114" s="130">
        <v>109</v>
      </c>
      <c r="L114" s="108">
        <v>2.2490736380526828</v>
      </c>
      <c r="M114" s="107">
        <v>0.34344030546852078</v>
      </c>
      <c r="N114" s="96">
        <v>0.24112588379038258</v>
      </c>
      <c r="O114" s="96">
        <v>1.1199582050477048</v>
      </c>
      <c r="P114" s="132">
        <v>0.14972188047504698</v>
      </c>
      <c r="W114" s="115">
        <f t="shared" si="15"/>
        <v>0.14972188047504698</v>
      </c>
    </row>
    <row r="115" spans="11:23">
      <c r="K115" s="130">
        <v>110</v>
      </c>
      <c r="L115" s="108">
        <v>-2.1744412297046667</v>
      </c>
      <c r="M115" s="107">
        <v>0.33682421081737268</v>
      </c>
      <c r="N115" s="96">
        <v>0.26603879342948422</v>
      </c>
      <c r="O115" s="96">
        <v>1.1821477957542457</v>
      </c>
      <c r="P115" s="132">
        <v>0.43301751236896935</v>
      </c>
      <c r="W115" s="115">
        <f t="shared" si="15"/>
        <v>0.43301751236896935</v>
      </c>
    </row>
    <row r="116" spans="11:23">
      <c r="K116" s="130">
        <v>111</v>
      </c>
      <c r="L116" s="108">
        <v>-18.029139048083231</v>
      </c>
      <c r="M116" s="107">
        <v>0.3237698375752503</v>
      </c>
      <c r="N116" s="96">
        <v>0.27883234391196809</v>
      </c>
      <c r="O116" s="96">
        <v>1.465559149348362</v>
      </c>
      <c r="P116" s="132">
        <v>8.1507780935263163</v>
      </c>
      <c r="W116" s="115">
        <f t="shared" si="15"/>
        <v>8.1507780935263163</v>
      </c>
    </row>
    <row r="117" spans="11:23">
      <c r="K117" s="130">
        <v>112</v>
      </c>
      <c r="L117" s="108">
        <v>4.1838722568670281</v>
      </c>
      <c r="M117" s="107">
        <v>0.32002468051126542</v>
      </c>
      <c r="N117" s="96">
        <v>0.27050416858407328</v>
      </c>
      <c r="O117" s="96">
        <v>1.5749934195795325</v>
      </c>
      <c r="P117" s="132">
        <v>9.5126151817570257</v>
      </c>
      <c r="W117" s="115">
        <f t="shared" si="15"/>
        <v>9.5126151817570257</v>
      </c>
    </row>
    <row r="118" spans="11:23">
      <c r="K118" s="130">
        <v>113</v>
      </c>
      <c r="L118" s="108">
        <v>-1.1980889247141768</v>
      </c>
      <c r="M118" s="107">
        <v>0.34790307709245366</v>
      </c>
      <c r="N118" s="96">
        <v>0.24870823265920533</v>
      </c>
      <c r="O118" s="96">
        <v>1.2012295649995282</v>
      </c>
      <c r="P118" s="132">
        <v>0.22060009166469774</v>
      </c>
      <c r="W118" s="115">
        <f t="shared" si="15"/>
        <v>0.22060009166469774</v>
      </c>
    </row>
    <row r="119" spans="11:23">
      <c r="K119" s="130">
        <v>114</v>
      </c>
      <c r="L119" s="108">
        <v>-0.16210555108509428</v>
      </c>
      <c r="M119" s="107">
        <v>0.31183651953079777</v>
      </c>
      <c r="N119" s="96">
        <v>0.25970829726074762</v>
      </c>
      <c r="O119" s="96">
        <v>1.2168184848552397</v>
      </c>
      <c r="P119" s="132">
        <v>1.4206651850022682</v>
      </c>
      <c r="W119" s="115">
        <f t="shared" si="15"/>
        <v>1.4206651850022682</v>
      </c>
    </row>
    <row r="120" spans="11:23">
      <c r="K120" s="130">
        <v>115</v>
      </c>
      <c r="L120" s="108">
        <v>6.2683187243686795</v>
      </c>
      <c r="M120" s="107">
        <v>0.34349738159316728</v>
      </c>
      <c r="N120" s="96">
        <v>0.30345159915617725</v>
      </c>
      <c r="O120" s="96">
        <v>0.82940204691437414</v>
      </c>
      <c r="P120" s="132">
        <v>0.12019637391539137</v>
      </c>
      <c r="W120" s="115">
        <f t="shared" si="15"/>
        <v>0.12019637391539137</v>
      </c>
    </row>
    <row r="121" spans="11:23">
      <c r="K121" s="130">
        <v>116</v>
      </c>
      <c r="L121" s="108">
        <v>4.7696914741574155</v>
      </c>
      <c r="M121" s="107">
        <v>0.30699781413764865</v>
      </c>
      <c r="N121" s="96">
        <v>0.30504375367625691</v>
      </c>
      <c r="O121" s="96">
        <v>1.5553550563876462</v>
      </c>
      <c r="P121" s="132">
        <v>15.693499552162166</v>
      </c>
      <c r="W121" s="115">
        <f t="shared" si="15"/>
        <v>15.693499552162166</v>
      </c>
    </row>
    <row r="122" spans="11:23">
      <c r="K122" s="130">
        <v>117</v>
      </c>
      <c r="L122" s="108">
        <v>-9.4475494239816324</v>
      </c>
      <c r="M122" s="107">
        <v>0.34375475433268865</v>
      </c>
      <c r="N122" s="96">
        <v>0.28715097969053144</v>
      </c>
      <c r="O122" s="96">
        <v>1.6104011456782705</v>
      </c>
      <c r="P122" s="132">
        <v>9.9724413933161724</v>
      </c>
      <c r="W122" s="115">
        <f t="shared" si="15"/>
        <v>9.9724413933161724</v>
      </c>
    </row>
    <row r="123" spans="11:23">
      <c r="K123" s="130">
        <v>118</v>
      </c>
      <c r="L123" s="108">
        <v>10.630272567770039</v>
      </c>
      <c r="M123" s="107">
        <v>0.31410393033795014</v>
      </c>
      <c r="N123" s="96">
        <v>0.32049412884776268</v>
      </c>
      <c r="O123" s="96">
        <v>1.1442169446908435</v>
      </c>
      <c r="P123" s="132">
        <v>6.6871726692057454</v>
      </c>
      <c r="W123" s="115">
        <f t="shared" si="15"/>
        <v>6.6871726692057454</v>
      </c>
    </row>
    <row r="124" spans="11:23">
      <c r="K124" s="130">
        <v>119</v>
      </c>
      <c r="L124" s="108">
        <v>3.3043504850866086</v>
      </c>
      <c r="M124" s="107">
        <v>0.33264385791340717</v>
      </c>
      <c r="N124" s="96">
        <v>0.29074640180683375</v>
      </c>
      <c r="O124" s="96">
        <v>1.2869134543236309</v>
      </c>
      <c r="P124" s="132">
        <v>4.6418842658921111</v>
      </c>
      <c r="W124" s="115">
        <f t="shared" si="15"/>
        <v>4.6418842658921111</v>
      </c>
    </row>
    <row r="125" spans="11:23">
      <c r="K125" s="130">
        <v>120</v>
      </c>
      <c r="L125" s="108">
        <v>4.256037227464974</v>
      </c>
      <c r="M125" s="107">
        <v>0.33288198778841127</v>
      </c>
      <c r="N125" s="96">
        <v>0.27113094680034877</v>
      </c>
      <c r="O125" s="96">
        <v>0.96065765298069117</v>
      </c>
      <c r="P125" s="132">
        <v>0.15065197875701156</v>
      </c>
      <c r="W125" s="115">
        <f t="shared" si="15"/>
        <v>0.15065197875701156</v>
      </c>
    </row>
    <row r="126" spans="11:23">
      <c r="K126" s="130">
        <v>121</v>
      </c>
      <c r="L126" s="108">
        <v>2.0515522807105357</v>
      </c>
      <c r="M126" s="107">
        <v>0.33017625306903109</v>
      </c>
      <c r="N126" s="96">
        <v>0.21574946857436486</v>
      </c>
      <c r="O126" s="96">
        <v>1.4319937242234742</v>
      </c>
      <c r="P126" s="132">
        <v>0.43799005170973249</v>
      </c>
      <c r="W126" s="115">
        <f t="shared" si="15"/>
        <v>0.43799005170973249</v>
      </c>
    </row>
    <row r="127" spans="11:23">
      <c r="K127" s="130">
        <v>122</v>
      </c>
      <c r="L127" s="108">
        <v>0.28385399896418778</v>
      </c>
      <c r="M127" s="107">
        <v>0.33050200687665099</v>
      </c>
      <c r="N127" s="96">
        <v>0.32105788679353248</v>
      </c>
      <c r="O127" s="96">
        <v>1.3198533886047723</v>
      </c>
      <c r="P127" s="132">
        <v>9.7746771719921153</v>
      </c>
      <c r="W127" s="115">
        <f t="shared" si="15"/>
        <v>9.7746771719921153</v>
      </c>
    </row>
    <row r="128" spans="11:23">
      <c r="K128" s="130">
        <v>123</v>
      </c>
      <c r="L128" s="108">
        <v>9.4774458549424612</v>
      </c>
      <c r="M128" s="107">
        <v>0.33224710300580568</v>
      </c>
      <c r="N128" s="96">
        <v>0.29863582369145913</v>
      </c>
      <c r="O128" s="96">
        <v>1.3296336222658089</v>
      </c>
      <c r="P128" s="132">
        <v>6.7985725010536955</v>
      </c>
      <c r="W128" s="115">
        <f t="shared" si="15"/>
        <v>6.7985725010536955</v>
      </c>
    </row>
    <row r="129" spans="11:23">
      <c r="K129" s="130">
        <v>124</v>
      </c>
      <c r="L129" s="108">
        <v>6.7658170791637442</v>
      </c>
      <c r="M129" s="107">
        <v>0.33724742638010086</v>
      </c>
      <c r="N129" s="96">
        <v>0.30258871540144822</v>
      </c>
      <c r="O129" s="96">
        <v>1.1282155412774491</v>
      </c>
      <c r="P129" s="132">
        <v>1.4440088205560637</v>
      </c>
      <c r="W129" s="115">
        <f t="shared" si="15"/>
        <v>1.4440088205560637</v>
      </c>
    </row>
    <row r="130" spans="11:23">
      <c r="K130" s="130">
        <v>125</v>
      </c>
      <c r="L130" s="108">
        <v>-2.7995868391701793</v>
      </c>
      <c r="M130" s="107">
        <v>0.3211107067690715</v>
      </c>
      <c r="N130" s="96">
        <v>0.27203425607678527</v>
      </c>
      <c r="O130" s="96">
        <v>1.3199965355566552</v>
      </c>
      <c r="P130" s="132">
        <v>4.2848940399205961</v>
      </c>
      <c r="W130" s="115">
        <f t="shared" si="15"/>
        <v>4.2848940399205961</v>
      </c>
    </row>
    <row r="131" spans="11:23">
      <c r="K131" s="130">
        <v>126</v>
      </c>
      <c r="L131" s="108">
        <v>-5.1199037540772663</v>
      </c>
      <c r="M131" s="107">
        <v>0.32058457119496431</v>
      </c>
      <c r="N131" s="96">
        <v>0.26885264014018412</v>
      </c>
      <c r="O131" s="96">
        <v>1.1656304448506642</v>
      </c>
      <c r="P131" s="132">
        <v>0.8089565693170051</v>
      </c>
      <c r="W131" s="115">
        <f t="shared" si="15"/>
        <v>0.8089565693170051</v>
      </c>
    </row>
    <row r="132" spans="11:23">
      <c r="K132" s="130">
        <v>127</v>
      </c>
      <c r="L132" s="108">
        <v>4.8905315619425132</v>
      </c>
      <c r="M132" s="107">
        <v>0.33615724824998799</v>
      </c>
      <c r="N132" s="96">
        <v>0.30821471980530901</v>
      </c>
      <c r="O132" s="96">
        <v>1.4449919488557694</v>
      </c>
      <c r="P132" s="132">
        <v>10.348402902405903</v>
      </c>
      <c r="W132" s="115">
        <f t="shared" si="15"/>
        <v>10.348402902405903</v>
      </c>
    </row>
    <row r="133" spans="11:23">
      <c r="K133" s="130">
        <v>128</v>
      </c>
      <c r="L133" s="108">
        <v>-5.0474144830938483</v>
      </c>
      <c r="M133" s="107">
        <v>0.31969285777860917</v>
      </c>
      <c r="N133" s="96">
        <v>0.32608862258947047</v>
      </c>
      <c r="O133" s="96">
        <v>1.4945216501831813</v>
      </c>
      <c r="P133" s="132">
        <v>16.005650674556797</v>
      </c>
      <c r="W133" s="115">
        <f t="shared" si="15"/>
        <v>16.005650674556797</v>
      </c>
    </row>
    <row r="134" spans="11:23">
      <c r="K134" s="130">
        <v>129</v>
      </c>
      <c r="L134" s="108">
        <v>11.357399299254025</v>
      </c>
      <c r="M134" s="107">
        <v>0.32041894914044078</v>
      </c>
      <c r="N134" s="96">
        <v>0.30461732256635976</v>
      </c>
      <c r="O134" s="96">
        <v>1.1376504466558162</v>
      </c>
      <c r="P134" s="132">
        <v>3.5902803199885929</v>
      </c>
      <c r="W134" s="115">
        <f t="shared" ref="W134:W197" si="16">P134</f>
        <v>3.5902803199885929</v>
      </c>
    </row>
    <row r="135" spans="11:23">
      <c r="K135" s="130">
        <v>130</v>
      </c>
      <c r="L135" s="108">
        <v>-1.0536765959087808</v>
      </c>
      <c r="M135" s="107">
        <v>0.32268515404170484</v>
      </c>
      <c r="N135" s="96">
        <v>0.28296594299820182</v>
      </c>
      <c r="O135" s="96">
        <v>1.1829300499692901</v>
      </c>
      <c r="P135" s="132">
        <v>2.0651234830513738</v>
      </c>
      <c r="W135" s="115">
        <f t="shared" si="16"/>
        <v>2.0651234830513738</v>
      </c>
    </row>
    <row r="136" spans="11:23">
      <c r="K136" s="130">
        <v>131</v>
      </c>
      <c r="L136" s="108">
        <v>-1.9028379105214879</v>
      </c>
      <c r="M136" s="107">
        <v>0.33536899732566489</v>
      </c>
      <c r="N136" s="96">
        <v>0.27701839152080299</v>
      </c>
      <c r="O136" s="96">
        <v>1.1778828958967056</v>
      </c>
      <c r="P136" s="132">
        <v>0.73681338539305907</v>
      </c>
      <c r="W136" s="115">
        <f t="shared" si="16"/>
        <v>0.73681338539305907</v>
      </c>
    </row>
    <row r="137" spans="11:23">
      <c r="K137" s="130">
        <v>132</v>
      </c>
      <c r="L137" s="108">
        <v>4.1709120597831859</v>
      </c>
      <c r="M137" s="107">
        <v>0.3373940623065444</v>
      </c>
      <c r="N137" s="96">
        <v>0.25978132510336394</v>
      </c>
      <c r="O137" s="96">
        <v>1.3979695002171559</v>
      </c>
      <c r="P137" s="132">
        <v>2.8757263851231127</v>
      </c>
      <c r="W137" s="115">
        <f t="shared" si="16"/>
        <v>2.8757263851231127</v>
      </c>
    </row>
    <row r="138" spans="11:23">
      <c r="K138" s="130">
        <v>133</v>
      </c>
      <c r="L138" s="108">
        <v>-12.156229384705657</v>
      </c>
      <c r="M138" s="107">
        <v>0.30522553266361896</v>
      </c>
      <c r="N138" s="96">
        <v>0.31815509641459605</v>
      </c>
      <c r="O138" s="96">
        <v>1.4419927905010737</v>
      </c>
      <c r="P138" s="132">
        <v>15.441269735457858</v>
      </c>
      <c r="W138" s="115">
        <f t="shared" si="16"/>
        <v>15.441269735457858</v>
      </c>
    </row>
    <row r="139" spans="11:23">
      <c r="K139" s="130">
        <v>134</v>
      </c>
      <c r="L139" s="108">
        <v>3.4545233105158939</v>
      </c>
      <c r="M139" s="107">
        <v>0.31635682439849455</v>
      </c>
      <c r="N139" s="96">
        <v>0.2456855760996092</v>
      </c>
      <c r="O139" s="96">
        <v>1.4221065635485481</v>
      </c>
      <c r="P139" s="132">
        <v>3.5873956663891131</v>
      </c>
      <c r="W139" s="115">
        <f t="shared" si="16"/>
        <v>3.5873956663891131</v>
      </c>
    </row>
    <row r="140" spans="11:23">
      <c r="K140" s="130">
        <v>135</v>
      </c>
      <c r="L140" s="108">
        <v>-5.0023507821487803</v>
      </c>
      <c r="M140" s="107">
        <v>0.34493623007139185</v>
      </c>
      <c r="N140" s="96">
        <v>0.29698386958978273</v>
      </c>
      <c r="O140" s="96">
        <v>1.3159271525844474</v>
      </c>
      <c r="P140" s="132">
        <v>4.8591343184554709</v>
      </c>
      <c r="W140" s="115">
        <f t="shared" si="16"/>
        <v>4.8591343184554709</v>
      </c>
    </row>
    <row r="141" spans="11:23">
      <c r="K141" s="130">
        <v>136</v>
      </c>
      <c r="L141" s="108">
        <v>-10.128297301020718</v>
      </c>
      <c r="M141" s="107">
        <v>0.34694978523150244</v>
      </c>
      <c r="N141" s="96">
        <v>0.20506407859359169</v>
      </c>
      <c r="O141" s="96">
        <v>1.2498476003630321</v>
      </c>
      <c r="P141" s="132">
        <v>0.1218521703930551</v>
      </c>
      <c r="W141" s="115">
        <f t="shared" si="16"/>
        <v>0.1218521703930551</v>
      </c>
    </row>
    <row r="142" spans="11:23">
      <c r="K142" s="130">
        <v>137</v>
      </c>
      <c r="L142" s="108">
        <v>-4.6151837018718878</v>
      </c>
      <c r="M142" s="107">
        <v>0.32113659173240089</v>
      </c>
      <c r="N142" s="96">
        <v>0.26901884827131189</v>
      </c>
      <c r="O142" s="96">
        <v>1.0980371033145606</v>
      </c>
      <c r="P142" s="132">
        <v>0.38659393813073595</v>
      </c>
      <c r="W142" s="115">
        <f t="shared" si="16"/>
        <v>0.38659393813073595</v>
      </c>
    </row>
    <row r="143" spans="11:23">
      <c r="K143" s="130">
        <v>138</v>
      </c>
      <c r="L143" s="108">
        <v>0.74018379462903305</v>
      </c>
      <c r="M143" s="107">
        <v>0.32443027392933727</v>
      </c>
      <c r="N143" s="96">
        <v>0.2799629686862008</v>
      </c>
      <c r="O143" s="96">
        <v>1.1787025031327967</v>
      </c>
      <c r="P143" s="132">
        <v>1.529477742866135</v>
      </c>
      <c r="W143" s="115">
        <f t="shared" si="16"/>
        <v>1.529477742866135</v>
      </c>
    </row>
    <row r="144" spans="11:23">
      <c r="K144" s="130">
        <v>139</v>
      </c>
      <c r="L144" s="108">
        <v>3.3132660855617018</v>
      </c>
      <c r="M144" s="107">
        <v>0.33972190379601869</v>
      </c>
      <c r="N144" s="96">
        <v>0.33336453427639123</v>
      </c>
      <c r="O144" s="96">
        <v>1.5561244808083963</v>
      </c>
      <c r="P144" s="132">
        <v>15.798099032965847</v>
      </c>
      <c r="W144" s="115">
        <f t="shared" si="16"/>
        <v>15.798099032965847</v>
      </c>
    </row>
    <row r="145" spans="11:23">
      <c r="K145" s="130">
        <v>140</v>
      </c>
      <c r="L145" s="108">
        <v>-1.7906399540686233</v>
      </c>
      <c r="M145" s="107">
        <v>0.31896509255054489</v>
      </c>
      <c r="N145" s="96">
        <v>0.2586383970520037</v>
      </c>
      <c r="O145" s="96">
        <v>1.256152574916537</v>
      </c>
      <c r="P145" s="132">
        <v>1.5062059288277552</v>
      </c>
      <c r="W145" s="115">
        <f t="shared" si="16"/>
        <v>1.5062059288277552</v>
      </c>
    </row>
    <row r="146" spans="11:23">
      <c r="K146" s="130">
        <v>141</v>
      </c>
      <c r="L146" s="108">
        <v>0.65238679556224821</v>
      </c>
      <c r="M146" s="107">
        <v>0.33012740317656242</v>
      </c>
      <c r="N146" s="96">
        <v>0.23061387436264535</v>
      </c>
      <c r="O146" s="96">
        <v>1.4118451535868448</v>
      </c>
      <c r="P146" s="132">
        <v>0.85769903250710833</v>
      </c>
      <c r="W146" s="115">
        <f t="shared" si="16"/>
        <v>0.85769903250710833</v>
      </c>
    </row>
    <row r="147" spans="11:23">
      <c r="K147" s="130">
        <v>142</v>
      </c>
      <c r="L147" s="108">
        <v>13.111147679818936</v>
      </c>
      <c r="M147" s="107">
        <v>0.31538024979641766</v>
      </c>
      <c r="N147" s="96">
        <v>0.30819191901321014</v>
      </c>
      <c r="O147" s="96">
        <v>1.5881691453976503</v>
      </c>
      <c r="P147" s="132">
        <v>15.741967000979182</v>
      </c>
      <c r="W147" s="115">
        <f t="shared" si="16"/>
        <v>15.741967000979182</v>
      </c>
    </row>
    <row r="148" spans="11:23">
      <c r="K148" s="130">
        <v>143</v>
      </c>
      <c r="L148" s="108">
        <v>0.5609596029035846</v>
      </c>
      <c r="M148" s="107">
        <v>0.33712747039436208</v>
      </c>
      <c r="N148" s="96">
        <v>0.29437668154554936</v>
      </c>
      <c r="O148" s="96">
        <v>1.2075910506392333</v>
      </c>
      <c r="P148" s="132">
        <v>2.5547967160917087</v>
      </c>
      <c r="W148" s="115">
        <f t="shared" si="16"/>
        <v>2.5547967160917087</v>
      </c>
    </row>
    <row r="149" spans="11:23">
      <c r="K149" s="130">
        <v>144</v>
      </c>
      <c r="L149" s="108">
        <v>-5.2489549884134625</v>
      </c>
      <c r="M149" s="107">
        <v>0.32519113415083573</v>
      </c>
      <c r="N149" s="96">
        <v>0.25318166079611204</v>
      </c>
      <c r="O149" s="96">
        <v>0.74333922951271625</v>
      </c>
      <c r="P149" s="132">
        <v>7.9327548453417246E-2</v>
      </c>
      <c r="W149" s="115">
        <f t="shared" si="16"/>
        <v>7.9327548453417246E-2</v>
      </c>
    </row>
    <row r="150" spans="11:23">
      <c r="K150" s="130">
        <v>145</v>
      </c>
      <c r="L150" s="108">
        <v>2.2039839791266624</v>
      </c>
      <c r="M150" s="107">
        <v>0.3283307526863814</v>
      </c>
      <c r="N150" s="96">
        <v>0.27543194638456148</v>
      </c>
      <c r="O150" s="96">
        <v>1.1913170978966992</v>
      </c>
      <c r="P150" s="132">
        <v>1.1355375204411764</v>
      </c>
      <c r="W150" s="115">
        <f t="shared" si="16"/>
        <v>1.1355375204411764</v>
      </c>
    </row>
    <row r="151" spans="11:23">
      <c r="K151" s="130">
        <v>146</v>
      </c>
      <c r="L151" s="108">
        <v>0.58873095615368576</v>
      </c>
      <c r="M151" s="107">
        <v>0.33398404171741486</v>
      </c>
      <c r="N151" s="96">
        <v>0.30557149824489432</v>
      </c>
      <c r="O151" s="96">
        <v>1.4538553806636905</v>
      </c>
      <c r="P151" s="132">
        <v>10.426431269672175</v>
      </c>
      <c r="W151" s="115">
        <f t="shared" si="16"/>
        <v>10.426431269672175</v>
      </c>
    </row>
    <row r="152" spans="11:23">
      <c r="K152" s="130">
        <v>147</v>
      </c>
      <c r="L152" s="108">
        <v>-3.1903491807449829</v>
      </c>
      <c r="M152" s="107">
        <v>0.31167319107947888</v>
      </c>
      <c r="N152" s="96">
        <v>0.27927251064835007</v>
      </c>
      <c r="O152" s="96">
        <v>1.3901557424868831</v>
      </c>
      <c r="P152" s="132">
        <v>7.9552997371556877</v>
      </c>
      <c r="W152" s="115">
        <f t="shared" si="16"/>
        <v>7.9552997371556877</v>
      </c>
    </row>
    <row r="153" spans="11:23">
      <c r="K153" s="130">
        <v>148</v>
      </c>
      <c r="L153" s="108">
        <v>4.0346184076446354</v>
      </c>
      <c r="M153" s="107">
        <v>0.34082495803314722</v>
      </c>
      <c r="N153" s="96">
        <v>0.29473469493876014</v>
      </c>
      <c r="O153" s="96">
        <v>0.85044526319630265</v>
      </c>
      <c r="P153" s="132">
        <v>0.1221106047050646</v>
      </c>
      <c r="W153" s="115">
        <f t="shared" si="16"/>
        <v>0.1221106047050646</v>
      </c>
    </row>
    <row r="154" spans="11:23">
      <c r="K154" s="130">
        <v>149</v>
      </c>
      <c r="L154" s="108">
        <v>4.978632677363052</v>
      </c>
      <c r="M154" s="107">
        <v>0.31249606461077079</v>
      </c>
      <c r="N154" s="96">
        <v>0.27347669895178239</v>
      </c>
      <c r="O154" s="96">
        <v>1.4553718575606631</v>
      </c>
      <c r="P154" s="132">
        <v>8.4528992456288545</v>
      </c>
      <c r="W154" s="115">
        <f t="shared" si="16"/>
        <v>8.4528992456288545</v>
      </c>
    </row>
    <row r="155" spans="11:23">
      <c r="K155" s="130">
        <v>150</v>
      </c>
      <c r="L155" s="108">
        <v>-0.66151078246824246</v>
      </c>
      <c r="M155" s="107">
        <v>0.33400287613129703</v>
      </c>
      <c r="N155" s="96">
        <v>0.32656087002331191</v>
      </c>
      <c r="O155" s="96">
        <v>1.119373454539762</v>
      </c>
      <c r="P155" s="132">
        <v>4.147061410162558</v>
      </c>
      <c r="W155" s="115">
        <f t="shared" si="16"/>
        <v>4.147061410162558</v>
      </c>
    </row>
    <row r="156" spans="11:23">
      <c r="K156" s="130">
        <v>151</v>
      </c>
      <c r="L156" s="108">
        <v>2.9689006945320306</v>
      </c>
      <c r="M156" s="107">
        <v>0.30108446586287829</v>
      </c>
      <c r="N156" s="96">
        <v>0.2978518377424067</v>
      </c>
      <c r="O156" s="96">
        <v>1.2397024877625606</v>
      </c>
      <c r="P156" s="132">
        <v>8.1333650596207736</v>
      </c>
      <c r="W156" s="115">
        <f t="shared" si="16"/>
        <v>8.1333650596207736</v>
      </c>
    </row>
    <row r="157" spans="11:23">
      <c r="K157" s="130">
        <v>152</v>
      </c>
      <c r="L157" s="108">
        <v>-2.6409430622714916</v>
      </c>
      <c r="M157" s="107">
        <v>0.32200289785315023</v>
      </c>
      <c r="N157" s="96">
        <v>0.29119175346877552</v>
      </c>
      <c r="O157" s="96">
        <v>1.1276632151713539</v>
      </c>
      <c r="P157" s="132">
        <v>1.6395402657942586</v>
      </c>
      <c r="W157" s="115">
        <f t="shared" si="16"/>
        <v>1.6395402657942586</v>
      </c>
    </row>
    <row r="158" spans="11:23">
      <c r="K158" s="130">
        <v>153</v>
      </c>
      <c r="L158" s="108">
        <v>7.4426444161884024</v>
      </c>
      <c r="M158" s="107">
        <v>0.34145904232823054</v>
      </c>
      <c r="N158" s="96">
        <v>0.30195056787984476</v>
      </c>
      <c r="O158" s="96">
        <v>1.0518718103503732</v>
      </c>
      <c r="P158" s="132">
        <v>0.41722548864345854</v>
      </c>
      <c r="W158" s="115">
        <f t="shared" si="16"/>
        <v>0.41722548864345854</v>
      </c>
    </row>
    <row r="159" spans="11:23">
      <c r="K159" s="130">
        <v>154</v>
      </c>
      <c r="L159" s="108">
        <v>0.60201867620676541</v>
      </c>
      <c r="M159" s="107">
        <v>0.32851040378469676</v>
      </c>
      <c r="N159" s="96">
        <v>0.24781249414350109</v>
      </c>
      <c r="O159" s="96">
        <v>1.5799046844401052</v>
      </c>
      <c r="P159" s="132">
        <v>5.646435498143104</v>
      </c>
      <c r="W159" s="115">
        <f t="shared" si="16"/>
        <v>5.646435498143104</v>
      </c>
    </row>
    <row r="160" spans="11:23">
      <c r="K160" s="130">
        <v>155</v>
      </c>
      <c r="L160" s="108">
        <v>-1.7582404728160146</v>
      </c>
      <c r="M160" s="107">
        <v>0.33592370755173162</v>
      </c>
      <c r="N160" s="96">
        <v>0.31108361274356083</v>
      </c>
      <c r="O160" s="96">
        <v>1.1428772143858876</v>
      </c>
      <c r="P160" s="132">
        <v>2.8023218809743655</v>
      </c>
      <c r="W160" s="115">
        <f t="shared" si="16"/>
        <v>2.8023218809743655</v>
      </c>
    </row>
    <row r="161" spans="11:23">
      <c r="K161" s="130">
        <v>156</v>
      </c>
      <c r="L161" s="108">
        <v>-3.3331654147060279</v>
      </c>
      <c r="M161" s="107">
        <v>0.31799275987647097</v>
      </c>
      <c r="N161" s="96">
        <v>0.27176477408861355</v>
      </c>
      <c r="O161" s="96">
        <v>1.5286302483376244</v>
      </c>
      <c r="P161" s="132">
        <v>9.0510684103736949</v>
      </c>
      <c r="W161" s="115">
        <f t="shared" si="16"/>
        <v>9.0510684103736949</v>
      </c>
    </row>
    <row r="162" spans="11:23">
      <c r="K162" s="130">
        <v>157</v>
      </c>
      <c r="L162" s="108">
        <v>3.7230701939798205</v>
      </c>
      <c r="M162" s="107">
        <v>0.33602272699518482</v>
      </c>
      <c r="N162" s="96">
        <v>0.31567778971653804</v>
      </c>
      <c r="O162" s="96">
        <v>0.84218606342634794</v>
      </c>
      <c r="P162" s="132">
        <v>0.15594652428001204</v>
      </c>
      <c r="W162" s="115">
        <f t="shared" si="16"/>
        <v>0.15594652428001204</v>
      </c>
    </row>
    <row r="163" spans="11:23">
      <c r="K163" s="130">
        <v>158</v>
      </c>
      <c r="L163" s="108">
        <v>4.9917595518512821</v>
      </c>
      <c r="M163" s="107">
        <v>0.32026284830914742</v>
      </c>
      <c r="N163" s="96">
        <v>0.29127078464692702</v>
      </c>
      <c r="O163" s="96">
        <v>1.1573841242353164</v>
      </c>
      <c r="P163" s="132">
        <v>2.5687726265234465</v>
      </c>
      <c r="W163" s="115">
        <f t="shared" si="16"/>
        <v>2.5687726265234465</v>
      </c>
    </row>
    <row r="164" spans="11:23">
      <c r="K164" s="130">
        <v>159</v>
      </c>
      <c r="L164" s="108">
        <v>-1.9158329966636334</v>
      </c>
      <c r="M164" s="107">
        <v>0.33645359394142593</v>
      </c>
      <c r="N164" s="96">
        <v>0.28190831384959558</v>
      </c>
      <c r="O164" s="96">
        <v>1.1938354589166309</v>
      </c>
      <c r="P164" s="132">
        <v>1.1457636929508594</v>
      </c>
      <c r="W164" s="115">
        <f t="shared" si="16"/>
        <v>1.1457636929508594</v>
      </c>
    </row>
    <row r="165" spans="11:23">
      <c r="K165" s="130">
        <v>160</v>
      </c>
      <c r="L165" s="108">
        <v>-12.942815976940468</v>
      </c>
      <c r="M165" s="107">
        <v>0.32878066471211004</v>
      </c>
      <c r="N165" s="96">
        <v>0.30222039132559197</v>
      </c>
      <c r="O165" s="96">
        <v>1.4655366651440598</v>
      </c>
      <c r="P165" s="132">
        <v>10.80626174015163</v>
      </c>
      <c r="W165" s="115">
        <f t="shared" si="16"/>
        <v>10.80626174015163</v>
      </c>
    </row>
    <row r="166" spans="11:23">
      <c r="K166" s="130">
        <v>161</v>
      </c>
      <c r="L166" s="108">
        <v>-10.729938788095989</v>
      </c>
      <c r="M166" s="107">
        <v>0.32923374300027775</v>
      </c>
      <c r="N166" s="96">
        <v>0.31514118469647728</v>
      </c>
      <c r="O166" s="96">
        <v>1.0758700291104901</v>
      </c>
      <c r="P166" s="132">
        <v>1.9814129497812869</v>
      </c>
      <c r="W166" s="115">
        <f t="shared" si="16"/>
        <v>1.9814129497812869</v>
      </c>
    </row>
    <row r="167" spans="11:23">
      <c r="K167" s="130">
        <v>162</v>
      </c>
      <c r="L167" s="108">
        <v>-4.4557044790615006</v>
      </c>
      <c r="M167" s="107">
        <v>0.3266906293489607</v>
      </c>
      <c r="N167" s="96">
        <v>0.24408822766118635</v>
      </c>
      <c r="O167" s="96">
        <v>1.5994295847310454</v>
      </c>
      <c r="P167" s="132">
        <v>5.6585828451501046</v>
      </c>
      <c r="W167" s="115">
        <f t="shared" si="16"/>
        <v>5.6585828451501046</v>
      </c>
    </row>
    <row r="168" spans="11:23">
      <c r="K168" s="130">
        <v>163</v>
      </c>
      <c r="L168" s="108">
        <v>-13.50074809323135</v>
      </c>
      <c r="M168" s="107">
        <v>0.34427597431271917</v>
      </c>
      <c r="N168" s="96">
        <v>0.28519810938970919</v>
      </c>
      <c r="O168" s="96">
        <v>1.1153357950706697</v>
      </c>
      <c r="P168" s="132">
        <v>0.3855022766964345</v>
      </c>
      <c r="W168" s="115">
        <f t="shared" si="16"/>
        <v>0.3855022766964345</v>
      </c>
    </row>
    <row r="169" spans="11:23">
      <c r="K169" s="130">
        <v>164</v>
      </c>
      <c r="L169" s="108">
        <v>-1.702412152886156</v>
      </c>
      <c r="M169" s="107">
        <v>0.33582841992344981</v>
      </c>
      <c r="N169" s="96">
        <v>0.26893873683544461</v>
      </c>
      <c r="O169" s="96">
        <v>1.0264273112984172</v>
      </c>
      <c r="P169" s="132">
        <v>0.18194308695428346</v>
      </c>
      <c r="W169" s="115">
        <f t="shared" si="16"/>
        <v>0.18194308695428346</v>
      </c>
    </row>
    <row r="170" spans="11:23">
      <c r="K170" s="130">
        <v>165</v>
      </c>
      <c r="L170" s="108">
        <v>7.5222607152595771</v>
      </c>
      <c r="M170" s="107">
        <v>0.3288142466387074</v>
      </c>
      <c r="N170" s="96">
        <v>0.29351245491556699</v>
      </c>
      <c r="O170" s="96">
        <v>1.2951633392975306</v>
      </c>
      <c r="P170" s="132">
        <v>5.6360286770943784</v>
      </c>
      <c r="W170" s="115">
        <f t="shared" si="16"/>
        <v>5.6360286770943784</v>
      </c>
    </row>
    <row r="171" spans="11:23">
      <c r="K171" s="130">
        <v>166</v>
      </c>
      <c r="L171" s="108">
        <v>1.4008884420611918</v>
      </c>
      <c r="M171" s="107">
        <v>0.32067397953093363</v>
      </c>
      <c r="N171" s="96">
        <v>0.27686205878541448</v>
      </c>
      <c r="O171" s="96">
        <v>1.0578811346463184</v>
      </c>
      <c r="P171" s="132">
        <v>0.36363483721376094</v>
      </c>
      <c r="W171" s="115">
        <f t="shared" si="16"/>
        <v>0.36363483721376094</v>
      </c>
    </row>
    <row r="172" spans="11:23">
      <c r="K172" s="130">
        <v>167</v>
      </c>
      <c r="L172" s="108">
        <v>-0.7788263841747467</v>
      </c>
      <c r="M172" s="107">
        <v>0.31886710277176433</v>
      </c>
      <c r="N172" s="96">
        <v>0.26093631776217968</v>
      </c>
      <c r="O172" s="96">
        <v>1.3618299621685479</v>
      </c>
      <c r="P172" s="132">
        <v>4.0393110979849709</v>
      </c>
      <c r="W172" s="115">
        <f t="shared" si="16"/>
        <v>4.0393110979849709</v>
      </c>
    </row>
    <row r="173" spans="11:23">
      <c r="K173" s="130">
        <v>168</v>
      </c>
      <c r="L173" s="108">
        <v>-10.667541310885429</v>
      </c>
      <c r="M173" s="107">
        <v>0.33234413993518391</v>
      </c>
      <c r="N173" s="96">
        <v>0.26876327234537201</v>
      </c>
      <c r="O173" s="96">
        <v>1.0963945862814881</v>
      </c>
      <c r="P173" s="132">
        <v>0.27979829364432274</v>
      </c>
      <c r="W173" s="115">
        <f t="shared" si="16"/>
        <v>0.27979829364432274</v>
      </c>
    </row>
    <row r="174" spans="11:23">
      <c r="K174" s="130">
        <v>169</v>
      </c>
      <c r="L174" s="108">
        <v>-2.5314106628319517</v>
      </c>
      <c r="M174" s="107">
        <v>0.29475949678662328</v>
      </c>
      <c r="N174" s="96">
        <v>0.30888808974424908</v>
      </c>
      <c r="O174" s="96">
        <v>1.1887010068767878</v>
      </c>
      <c r="P174" s="132">
        <v>9.1059256357174707</v>
      </c>
      <c r="W174" s="115">
        <f t="shared" si="16"/>
        <v>9.1059256357174707</v>
      </c>
    </row>
    <row r="175" spans="11:23">
      <c r="K175" s="130">
        <v>170</v>
      </c>
      <c r="L175" s="108">
        <v>-6.1364310262116524</v>
      </c>
      <c r="M175" s="107">
        <v>0.32757783359581882</v>
      </c>
      <c r="N175" s="96">
        <v>0.25704393245547708</v>
      </c>
      <c r="O175" s="96">
        <v>1.2952941601475554</v>
      </c>
      <c r="P175" s="132">
        <v>1.4268548923968014</v>
      </c>
      <c r="W175" s="115">
        <f t="shared" si="16"/>
        <v>1.4268548923968014</v>
      </c>
    </row>
    <row r="176" spans="11:23">
      <c r="K176" s="130">
        <v>171</v>
      </c>
      <c r="L176" s="108">
        <v>5.8706507543545383</v>
      </c>
      <c r="M176" s="107">
        <v>0.33764452152318192</v>
      </c>
      <c r="N176" s="96">
        <v>0.25289389444117844</v>
      </c>
      <c r="O176" s="96">
        <v>1.4231149633717786</v>
      </c>
      <c r="P176" s="132">
        <v>2.5429790562773777</v>
      </c>
      <c r="W176" s="115">
        <f t="shared" si="16"/>
        <v>2.5429790562773777</v>
      </c>
    </row>
    <row r="177" spans="11:23">
      <c r="K177" s="130">
        <v>172</v>
      </c>
      <c r="L177" s="108">
        <v>4.6007316713123041</v>
      </c>
      <c r="M177" s="107">
        <v>0.31384050771819105</v>
      </c>
      <c r="N177" s="96">
        <v>0.303813507216951</v>
      </c>
      <c r="O177" s="96">
        <v>1.2500704797293116</v>
      </c>
      <c r="P177" s="132">
        <v>7.6088763918315383</v>
      </c>
      <c r="W177" s="115">
        <f t="shared" si="16"/>
        <v>7.6088763918315383</v>
      </c>
    </row>
    <row r="178" spans="11:23">
      <c r="K178" s="130">
        <v>173</v>
      </c>
      <c r="L178" s="108">
        <v>10.011480050796283</v>
      </c>
      <c r="M178" s="107">
        <v>0.32451591172504263</v>
      </c>
      <c r="N178" s="96">
        <v>0.28664317381593707</v>
      </c>
      <c r="O178" s="96">
        <v>1.1615408047592557</v>
      </c>
      <c r="P178" s="132">
        <v>1.7721016496703985</v>
      </c>
      <c r="W178" s="115">
        <f t="shared" si="16"/>
        <v>1.7721016496703985</v>
      </c>
    </row>
    <row r="179" spans="11:23">
      <c r="K179" s="130">
        <v>174</v>
      </c>
      <c r="L179" s="108">
        <v>-6.008115267734869</v>
      </c>
      <c r="M179" s="107">
        <v>0.32686339603624737</v>
      </c>
      <c r="N179" s="96">
        <v>0.29278440527507893</v>
      </c>
      <c r="O179" s="96">
        <v>1.1415836586282413</v>
      </c>
      <c r="P179" s="132">
        <v>1.6995364030189277</v>
      </c>
      <c r="W179" s="115">
        <f t="shared" si="16"/>
        <v>1.6995364030189277</v>
      </c>
    </row>
    <row r="180" spans="11:23">
      <c r="K180" s="130">
        <v>175</v>
      </c>
      <c r="L180" s="108">
        <v>-9.3043098985494375</v>
      </c>
      <c r="M180" s="107">
        <v>0.31277338795160392</v>
      </c>
      <c r="N180" s="96">
        <v>0.23271256566994708</v>
      </c>
      <c r="O180" s="96">
        <v>1.4983916155675026</v>
      </c>
      <c r="P180" s="132">
        <v>3.6965436076504039</v>
      </c>
      <c r="W180" s="115">
        <f t="shared" si="16"/>
        <v>3.6965436076504039</v>
      </c>
    </row>
    <row r="181" spans="11:23">
      <c r="K181" s="130">
        <v>176</v>
      </c>
      <c r="L181" s="108">
        <v>-14.856223054972411</v>
      </c>
      <c r="M181" s="107">
        <v>0.32234780035475674</v>
      </c>
      <c r="N181" s="96">
        <v>0.29957891120814906</v>
      </c>
      <c r="O181" s="96">
        <v>0.97148343945479176</v>
      </c>
      <c r="P181" s="132">
        <v>0.32990815125122674</v>
      </c>
      <c r="W181" s="115">
        <f t="shared" si="16"/>
        <v>0.32990815125122674</v>
      </c>
    </row>
    <row r="182" spans="11:23">
      <c r="K182" s="130">
        <v>177</v>
      </c>
      <c r="L182" s="108">
        <v>-3.8060075908999851</v>
      </c>
      <c r="M182" s="107">
        <v>0.33252132565880727</v>
      </c>
      <c r="N182" s="96">
        <v>0.30632292112609072</v>
      </c>
      <c r="O182" s="96">
        <v>1.0501871113863681</v>
      </c>
      <c r="P182" s="132">
        <v>0.6989019301800603</v>
      </c>
      <c r="W182" s="115">
        <f t="shared" si="16"/>
        <v>0.6989019301800603</v>
      </c>
    </row>
    <row r="183" spans="11:23">
      <c r="K183" s="130">
        <v>178</v>
      </c>
      <c r="L183" s="108">
        <v>2.8705767241743003</v>
      </c>
      <c r="M183" s="107">
        <v>0.3300526283913614</v>
      </c>
      <c r="N183" s="96">
        <v>0.28573125256968329</v>
      </c>
      <c r="O183" s="96">
        <v>1.588505270390598</v>
      </c>
      <c r="P183" s="132">
        <v>10.802248467175792</v>
      </c>
      <c r="W183" s="115">
        <f t="shared" si="16"/>
        <v>10.802248467175792</v>
      </c>
    </row>
    <row r="184" spans="11:23">
      <c r="K184" s="130">
        <v>179</v>
      </c>
      <c r="L184" s="108">
        <v>-6.4569561434818352</v>
      </c>
      <c r="M184" s="107">
        <v>0.32863143747473017</v>
      </c>
      <c r="N184" s="96">
        <v>0.30518670274330639</v>
      </c>
      <c r="O184" s="96">
        <v>1.0684062580592228</v>
      </c>
      <c r="P184" s="132">
        <v>1.053511113911773</v>
      </c>
      <c r="W184" s="115">
        <f t="shared" si="16"/>
        <v>1.053511113911773</v>
      </c>
    </row>
    <row r="185" spans="11:23">
      <c r="K185" s="130">
        <v>180</v>
      </c>
      <c r="L185" s="108">
        <v>-13.93912308068961</v>
      </c>
      <c r="M185" s="107">
        <v>0.32345179537131552</v>
      </c>
      <c r="N185" s="96">
        <v>0.23723827735416797</v>
      </c>
      <c r="O185" s="96">
        <v>1.3184881013720993</v>
      </c>
      <c r="P185" s="132">
        <v>0.66660687445927569</v>
      </c>
      <c r="W185" s="115">
        <f t="shared" si="16"/>
        <v>0.66660687445927569</v>
      </c>
    </row>
    <row r="186" spans="11:23">
      <c r="K186" s="130">
        <v>181</v>
      </c>
      <c r="L186" s="108">
        <v>-11.063720082594203</v>
      </c>
      <c r="M186" s="107">
        <v>0.32867080450387504</v>
      </c>
      <c r="N186" s="96">
        <v>0.25461193721540865</v>
      </c>
      <c r="O186" s="96">
        <v>1.4544398207316036</v>
      </c>
      <c r="P186" s="132">
        <v>4.1845414231775679</v>
      </c>
      <c r="W186" s="115">
        <f t="shared" si="16"/>
        <v>4.1845414231775679</v>
      </c>
    </row>
    <row r="187" spans="11:23">
      <c r="K187" s="130">
        <v>182</v>
      </c>
      <c r="L187" s="108">
        <v>-0.31761480083249571</v>
      </c>
      <c r="M187" s="107">
        <v>0.31925812092203082</v>
      </c>
      <c r="N187" s="96">
        <v>0.317550149442968</v>
      </c>
      <c r="O187" s="96">
        <v>0.85669242644188559</v>
      </c>
      <c r="P187" s="132">
        <v>0.22617504724363446</v>
      </c>
      <c r="W187" s="115">
        <f t="shared" si="16"/>
        <v>0.22617504724363446</v>
      </c>
    </row>
    <row r="188" spans="11:23">
      <c r="K188" s="130">
        <v>183</v>
      </c>
      <c r="L188" s="108">
        <v>-2.8843595420643986</v>
      </c>
      <c r="M188" s="107">
        <v>0.33727688339239886</v>
      </c>
      <c r="N188" s="96">
        <v>0.28768269780868216</v>
      </c>
      <c r="O188" s="96">
        <v>1.1521303901886308</v>
      </c>
      <c r="P188" s="132">
        <v>0.86542367522691932</v>
      </c>
      <c r="W188" s="115">
        <f t="shared" si="16"/>
        <v>0.86542367522691932</v>
      </c>
    </row>
    <row r="189" spans="11:23">
      <c r="K189" s="130">
        <v>184</v>
      </c>
      <c r="L189" s="108">
        <v>-4.5645359090787219</v>
      </c>
      <c r="M189" s="107">
        <v>0.32213711444267268</v>
      </c>
      <c r="N189" s="96">
        <v>0.33061240192481939</v>
      </c>
      <c r="O189" s="96">
        <v>1.4676149558626239</v>
      </c>
      <c r="P189" s="132">
        <v>15.736054969989267</v>
      </c>
      <c r="W189" s="115">
        <f t="shared" si="16"/>
        <v>15.736054969989267</v>
      </c>
    </row>
    <row r="190" spans="11:23">
      <c r="K190" s="130">
        <v>185</v>
      </c>
      <c r="L190" s="108">
        <v>-8.419488093606093</v>
      </c>
      <c r="M190" s="107">
        <v>0.325481841300437</v>
      </c>
      <c r="N190" s="96">
        <v>0.30172213082701183</v>
      </c>
      <c r="O190" s="96">
        <v>1.3843960593436473</v>
      </c>
      <c r="P190" s="132">
        <v>9.3149296700760313</v>
      </c>
      <c r="W190" s="115">
        <f t="shared" si="16"/>
        <v>9.3149296700760313</v>
      </c>
    </row>
    <row r="191" spans="11:23">
      <c r="K191" s="130">
        <v>186</v>
      </c>
      <c r="L191" s="108">
        <v>8.4375573939476407</v>
      </c>
      <c r="M191" s="107">
        <v>0.31740406923154008</v>
      </c>
      <c r="N191" s="96">
        <v>0.29046171421710937</v>
      </c>
      <c r="O191" s="96">
        <v>1.3302985371389713</v>
      </c>
      <c r="P191" s="132">
        <v>7.4258618636604696</v>
      </c>
      <c r="W191" s="115">
        <f t="shared" si="16"/>
        <v>7.4258618636604696</v>
      </c>
    </row>
    <row r="192" spans="11:23">
      <c r="K192" s="130">
        <v>187</v>
      </c>
      <c r="L192" s="108">
        <v>-8.1344007461480974</v>
      </c>
      <c r="M192" s="107">
        <v>0.33344342398252469</v>
      </c>
      <c r="N192" s="96">
        <v>0.30198944311406889</v>
      </c>
      <c r="O192" s="96">
        <v>1.3284497303488489</v>
      </c>
      <c r="P192" s="132">
        <v>7.0792713838689991</v>
      </c>
      <c r="W192" s="115">
        <f t="shared" si="16"/>
        <v>7.0792713838689991</v>
      </c>
    </row>
    <row r="193" spans="11:23">
      <c r="K193" s="130">
        <v>188</v>
      </c>
      <c r="L193" s="108">
        <v>11.410795375279758</v>
      </c>
      <c r="M193" s="107">
        <v>0.3460861435537485</v>
      </c>
      <c r="N193" s="96">
        <v>0.34926484976514849</v>
      </c>
      <c r="O193" s="96">
        <v>1.3289107944091967</v>
      </c>
      <c r="P193" s="132">
        <v>11.93841535353636</v>
      </c>
      <c r="W193" s="115">
        <f t="shared" si="16"/>
        <v>11.93841535353636</v>
      </c>
    </row>
    <row r="194" spans="11:23">
      <c r="K194" s="130">
        <v>189</v>
      </c>
      <c r="L194" s="108">
        <v>-8.7875764290277871</v>
      </c>
      <c r="M194" s="107">
        <v>0.32475301447486044</v>
      </c>
      <c r="N194" s="96">
        <v>0.21430693058109654</v>
      </c>
      <c r="O194" s="96">
        <v>1.1250209357259036</v>
      </c>
      <c r="P194" s="132">
        <v>0.12972233276610612</v>
      </c>
      <c r="W194" s="115">
        <f t="shared" si="16"/>
        <v>0.12972233276610612</v>
      </c>
    </row>
    <row r="195" spans="11:23">
      <c r="K195" s="130">
        <v>190</v>
      </c>
      <c r="L195" s="108">
        <v>-2.4054676911114292</v>
      </c>
      <c r="M195" s="107">
        <v>0.33188416686201622</v>
      </c>
      <c r="N195" s="96">
        <v>0.24874251349675491</v>
      </c>
      <c r="O195" s="96">
        <v>1.3183483711212569</v>
      </c>
      <c r="P195" s="132">
        <v>0.90372735901642887</v>
      </c>
      <c r="W195" s="115">
        <f t="shared" si="16"/>
        <v>0.90372735901642887</v>
      </c>
    </row>
    <row r="196" spans="11:23">
      <c r="K196" s="130">
        <v>191</v>
      </c>
      <c r="L196" s="108">
        <v>10.411093118661933</v>
      </c>
      <c r="M196" s="107">
        <v>0.34468054455648195</v>
      </c>
      <c r="N196" s="96">
        <v>0.30311944075799757</v>
      </c>
      <c r="O196" s="96">
        <v>1.1164932051868559</v>
      </c>
      <c r="P196" s="132">
        <v>0.85537071350247895</v>
      </c>
      <c r="W196" s="115">
        <f t="shared" si="16"/>
        <v>0.85537071350247895</v>
      </c>
    </row>
    <row r="197" spans="11:23">
      <c r="K197" s="130">
        <v>192</v>
      </c>
      <c r="L197" s="108">
        <v>-20.98323671488825</v>
      </c>
      <c r="M197" s="107">
        <v>0.32337615383761931</v>
      </c>
      <c r="N197" s="96">
        <v>0.22637094574342148</v>
      </c>
      <c r="O197" s="96">
        <v>1.2392376743109443</v>
      </c>
      <c r="P197" s="132">
        <v>0.24611385995955173</v>
      </c>
      <c r="W197" s="115">
        <f t="shared" si="16"/>
        <v>0.24611385995955173</v>
      </c>
    </row>
    <row r="198" spans="11:23">
      <c r="K198" s="130">
        <v>193</v>
      </c>
      <c r="L198" s="108">
        <v>3.4863527401116099</v>
      </c>
      <c r="M198" s="107">
        <v>0.30338598983128595</v>
      </c>
      <c r="N198" s="96">
        <v>0.27728670541345907</v>
      </c>
      <c r="O198" s="96">
        <v>1.1404878218385957</v>
      </c>
      <c r="P198" s="132">
        <v>2.2663531324523389</v>
      </c>
      <c r="W198" s="115">
        <f t="shared" ref="W198:W261" si="17">P198</f>
        <v>2.2663531324523389</v>
      </c>
    </row>
    <row r="199" spans="11:23">
      <c r="K199" s="130">
        <v>194</v>
      </c>
      <c r="L199" s="108">
        <v>0.24182598193418176</v>
      </c>
      <c r="M199" s="107">
        <v>0.33587347564277026</v>
      </c>
      <c r="N199" s="96">
        <v>0.25846557359421657</v>
      </c>
      <c r="O199" s="96">
        <v>1.136689934132151</v>
      </c>
      <c r="P199" s="132">
        <v>0.25316408329641177</v>
      </c>
      <c r="W199" s="115">
        <f t="shared" si="17"/>
        <v>0.25316408329641177</v>
      </c>
    </row>
    <row r="200" spans="11:23">
      <c r="K200" s="130">
        <v>195</v>
      </c>
      <c r="L200" s="108">
        <v>-3.7155536157888136</v>
      </c>
      <c r="M200" s="107">
        <v>0.31107272174910761</v>
      </c>
      <c r="N200" s="96">
        <v>0.25636103054942427</v>
      </c>
      <c r="O200" s="96">
        <v>1.599803207316886</v>
      </c>
      <c r="P200" s="132">
        <v>8.9177659710208683</v>
      </c>
      <c r="W200" s="115">
        <f t="shared" si="17"/>
        <v>8.9177659710208683</v>
      </c>
    </row>
    <row r="201" spans="11:23">
      <c r="K201" s="130">
        <v>196</v>
      </c>
      <c r="L201" s="108">
        <v>-2.3382258987296005</v>
      </c>
      <c r="M201" s="107">
        <v>0.31758399336744592</v>
      </c>
      <c r="N201" s="96">
        <v>0.32219289581688798</v>
      </c>
      <c r="O201" s="96">
        <v>1.0951050412909453</v>
      </c>
      <c r="P201" s="132">
        <v>4.8079094245789094</v>
      </c>
      <c r="W201" s="115">
        <f t="shared" si="17"/>
        <v>4.8079094245789094</v>
      </c>
    </row>
    <row r="202" spans="11:23">
      <c r="K202" s="130">
        <v>197</v>
      </c>
      <c r="L202" s="108">
        <v>-2.6477819869129204</v>
      </c>
      <c r="M202" s="107">
        <v>0.32479238099165403</v>
      </c>
      <c r="N202" s="96">
        <v>0.35162515712855574</v>
      </c>
      <c r="O202" s="96">
        <v>1.2513583273398603</v>
      </c>
      <c r="P202" s="132">
        <v>12.840162079523131</v>
      </c>
      <c r="W202" s="115">
        <f t="shared" si="17"/>
        <v>12.840162079523131</v>
      </c>
    </row>
    <row r="203" spans="11:23">
      <c r="K203" s="130">
        <v>198</v>
      </c>
      <c r="L203" s="108">
        <v>2.5947055287499334</v>
      </c>
      <c r="M203" s="107">
        <v>0.3436040712936404</v>
      </c>
      <c r="N203" s="96">
        <v>0.32574834869260166</v>
      </c>
      <c r="O203" s="96">
        <v>1.1726852478323915</v>
      </c>
      <c r="P203" s="132">
        <v>4.6275722817577876</v>
      </c>
      <c r="W203" s="115">
        <f t="shared" si="17"/>
        <v>4.6275722817577876</v>
      </c>
    </row>
    <row r="204" spans="11:23">
      <c r="K204" s="130">
        <v>199</v>
      </c>
      <c r="L204" s="108">
        <v>-7.5575641217733533</v>
      </c>
      <c r="M204" s="107">
        <v>0.33288247804186022</v>
      </c>
      <c r="N204" s="96">
        <v>0.35028372589886925</v>
      </c>
      <c r="O204" s="96">
        <v>1.4868219660266691</v>
      </c>
      <c r="P204" s="132">
        <v>17.670479026918564</v>
      </c>
      <c r="W204" s="115">
        <f t="shared" si="17"/>
        <v>17.670479026918564</v>
      </c>
    </row>
    <row r="205" spans="11:23">
      <c r="K205" s="130">
        <v>200</v>
      </c>
      <c r="L205" s="108">
        <v>14.141789032485381</v>
      </c>
      <c r="M205" s="107">
        <v>0.32160610536783601</v>
      </c>
      <c r="N205" s="96">
        <v>0.26230180462150354</v>
      </c>
      <c r="O205" s="96">
        <v>1.1271870867171196</v>
      </c>
      <c r="P205" s="132">
        <v>0.38343962840677098</v>
      </c>
      <c r="W205" s="115">
        <f t="shared" si="17"/>
        <v>0.38343962840677098</v>
      </c>
    </row>
    <row r="206" spans="11:23">
      <c r="K206" s="130">
        <v>201</v>
      </c>
      <c r="L206" s="108">
        <v>-6.5656289239988697</v>
      </c>
      <c r="M206" s="107">
        <v>0.33047588687979751</v>
      </c>
      <c r="N206" s="96">
        <v>0.29905216482411373</v>
      </c>
      <c r="O206" s="96">
        <v>1.0780001041407283</v>
      </c>
      <c r="P206" s="132">
        <v>0.79118846391605457</v>
      </c>
      <c r="W206" s="115">
        <f t="shared" si="17"/>
        <v>0.79118846391605457</v>
      </c>
    </row>
    <row r="207" spans="11:23">
      <c r="K207" s="130">
        <v>202</v>
      </c>
      <c r="L207" s="108">
        <v>0.85251998963698783</v>
      </c>
      <c r="M207" s="107">
        <v>0.32313232262501923</v>
      </c>
      <c r="N207" s="96">
        <v>0.29272244042344758</v>
      </c>
      <c r="O207" s="96">
        <v>1.4240426103811059</v>
      </c>
      <c r="P207" s="132">
        <v>9.2464524087866788</v>
      </c>
      <c r="W207" s="115">
        <f t="shared" si="17"/>
        <v>9.2464524087866788</v>
      </c>
    </row>
    <row r="208" spans="11:23">
      <c r="K208" s="130">
        <v>203</v>
      </c>
      <c r="L208" s="108">
        <v>3.9936866148593446</v>
      </c>
      <c r="M208" s="107">
        <v>0.29710408958323425</v>
      </c>
      <c r="N208" s="96">
        <v>0.26867310172490083</v>
      </c>
      <c r="O208" s="96">
        <v>1.1038420900795516</v>
      </c>
      <c r="P208" s="132">
        <v>1.1809718553151731</v>
      </c>
      <c r="W208" s="115">
        <f t="shared" si="17"/>
        <v>1.1809718553151731</v>
      </c>
    </row>
    <row r="209" spans="11:23">
      <c r="K209" s="130">
        <v>204</v>
      </c>
      <c r="L209" s="108">
        <v>-18.072379133208436</v>
      </c>
      <c r="M209" s="107">
        <v>0.32925039800022493</v>
      </c>
      <c r="N209" s="96">
        <v>0.24175735248344887</v>
      </c>
      <c r="O209" s="96">
        <v>1.4252332248598094</v>
      </c>
      <c r="P209" s="132">
        <v>2.0267418549734106</v>
      </c>
      <c r="W209" s="115">
        <f t="shared" si="17"/>
        <v>2.0267418549734106</v>
      </c>
    </row>
    <row r="210" spans="11:23">
      <c r="K210" s="130">
        <v>205</v>
      </c>
      <c r="L210" s="108">
        <v>0.35172229401988037</v>
      </c>
      <c r="M210" s="107">
        <v>0.32706944111628067</v>
      </c>
      <c r="N210" s="96">
        <v>0.26099486022190516</v>
      </c>
      <c r="O210" s="96">
        <v>1.2235725848428756</v>
      </c>
      <c r="P210" s="132">
        <v>0.77681493465325469</v>
      </c>
      <c r="W210" s="115">
        <f t="shared" si="17"/>
        <v>0.77681493465325469</v>
      </c>
    </row>
    <row r="211" spans="11:23">
      <c r="K211" s="130">
        <v>206</v>
      </c>
      <c r="L211" s="108">
        <v>-4.0948369215448226</v>
      </c>
      <c r="M211" s="107">
        <v>0.3740454193474203</v>
      </c>
      <c r="N211" s="96">
        <v>0.28361392643506095</v>
      </c>
      <c r="O211" s="96">
        <v>1.3014064618820733</v>
      </c>
      <c r="P211" s="132">
        <v>0.85651053857628368</v>
      </c>
      <c r="W211" s="115">
        <f t="shared" si="17"/>
        <v>0.85651053857628368</v>
      </c>
    </row>
    <row r="212" spans="11:23">
      <c r="K212" s="130">
        <v>207</v>
      </c>
      <c r="L212" s="108">
        <v>5.1326308536979264</v>
      </c>
      <c r="M212" s="107">
        <v>0.32103590293330131</v>
      </c>
      <c r="N212" s="96">
        <v>0.32396745033134178</v>
      </c>
      <c r="O212" s="96">
        <v>1.376190733909745</v>
      </c>
      <c r="P212" s="132">
        <v>12.748414126948228</v>
      </c>
      <c r="W212" s="115">
        <f t="shared" si="17"/>
        <v>12.748414126948228</v>
      </c>
    </row>
    <row r="213" spans="11:23">
      <c r="K213" s="130">
        <v>208</v>
      </c>
      <c r="L213" s="108">
        <v>-1.571709364256801</v>
      </c>
      <c r="M213" s="107">
        <v>0.32558088611427688</v>
      </c>
      <c r="N213" s="96">
        <v>0.28968286911738894</v>
      </c>
      <c r="O213" s="96">
        <v>1.2242108289851215</v>
      </c>
      <c r="P213" s="132">
        <v>3.6283218445677847</v>
      </c>
      <c r="W213" s="115">
        <f t="shared" si="17"/>
        <v>3.6283218445677847</v>
      </c>
    </row>
    <row r="214" spans="11:23">
      <c r="K214" s="130">
        <v>209</v>
      </c>
      <c r="L214" s="108">
        <v>-6.4497411583281039</v>
      </c>
      <c r="M214" s="107">
        <v>0.30658178435222339</v>
      </c>
      <c r="N214" s="96">
        <v>0.28359117219633034</v>
      </c>
      <c r="O214" s="96">
        <v>1.0983974369231184</v>
      </c>
      <c r="P214" s="132">
        <v>1.5748952227424975</v>
      </c>
      <c r="W214" s="115">
        <f t="shared" si="17"/>
        <v>1.5748952227424975</v>
      </c>
    </row>
    <row r="215" spans="11:23">
      <c r="K215" s="130">
        <v>210</v>
      </c>
      <c r="L215" s="108">
        <v>1.2612163191392254</v>
      </c>
      <c r="M215" s="107">
        <v>0.33266869725356185</v>
      </c>
      <c r="N215" s="96">
        <v>0.29087680748059286</v>
      </c>
      <c r="O215" s="96">
        <v>0.98928223564400586</v>
      </c>
      <c r="P215" s="132">
        <v>0.23872395474076577</v>
      </c>
      <c r="W215" s="115">
        <f t="shared" si="17"/>
        <v>0.23872395474076577</v>
      </c>
    </row>
    <row r="216" spans="11:23">
      <c r="K216" s="130">
        <v>211</v>
      </c>
      <c r="L216" s="108">
        <v>-0.3813306404037895</v>
      </c>
      <c r="M216" s="107">
        <v>0.32910628022098448</v>
      </c>
      <c r="N216" s="96">
        <v>0.25633026682390353</v>
      </c>
      <c r="O216" s="96">
        <v>1.3083513684256185</v>
      </c>
      <c r="P216" s="132">
        <v>1.4757856294096499</v>
      </c>
      <c r="W216" s="115">
        <f t="shared" si="17"/>
        <v>1.4757856294096499</v>
      </c>
    </row>
    <row r="217" spans="11:23">
      <c r="K217" s="130">
        <v>212</v>
      </c>
      <c r="L217" s="108">
        <v>15.632819022597651</v>
      </c>
      <c r="M217" s="107">
        <v>0.31559013831427962</v>
      </c>
      <c r="N217" s="96">
        <v>0.29588693706810548</v>
      </c>
      <c r="O217" s="96">
        <v>1.1628014431465377</v>
      </c>
      <c r="P217" s="132">
        <v>3.8096488297498152</v>
      </c>
      <c r="W217" s="115">
        <f t="shared" si="17"/>
        <v>3.8096488297498152</v>
      </c>
    </row>
    <row r="218" spans="11:23">
      <c r="K218" s="130">
        <v>213</v>
      </c>
      <c r="L218" s="108">
        <v>-7.5002912420297498</v>
      </c>
      <c r="M218" s="107">
        <v>0.34784313683379242</v>
      </c>
      <c r="N218" s="96">
        <v>0.3280085412273836</v>
      </c>
      <c r="O218" s="96">
        <v>1.1452062782978363</v>
      </c>
      <c r="P218" s="132">
        <v>3.5699355173976395</v>
      </c>
      <c r="W218" s="115">
        <f t="shared" si="17"/>
        <v>3.5699355173976395</v>
      </c>
    </row>
    <row r="219" spans="11:23">
      <c r="K219" s="130">
        <v>214</v>
      </c>
      <c r="L219" s="108">
        <v>-1.5267899814384198</v>
      </c>
      <c r="M219" s="107">
        <v>0.36418841584152506</v>
      </c>
      <c r="N219" s="96">
        <v>0.25672165208846121</v>
      </c>
      <c r="O219" s="96">
        <v>1.535387399448255</v>
      </c>
      <c r="P219" s="132">
        <v>2.8492223459275263</v>
      </c>
      <c r="W219" s="115">
        <f t="shared" si="17"/>
        <v>2.8492223459275263</v>
      </c>
    </row>
    <row r="220" spans="11:23">
      <c r="K220" s="130">
        <v>215</v>
      </c>
      <c r="L220" s="108">
        <v>0.42093223131897478</v>
      </c>
      <c r="M220" s="107">
        <v>0.31720327684945238</v>
      </c>
      <c r="N220" s="96">
        <v>0.25128034533006444</v>
      </c>
      <c r="O220" s="96">
        <v>1.4214501314151875</v>
      </c>
      <c r="P220" s="132">
        <v>4.217407518682184</v>
      </c>
      <c r="W220" s="115">
        <f t="shared" si="17"/>
        <v>4.217407518682184</v>
      </c>
    </row>
    <row r="221" spans="11:23">
      <c r="K221" s="130">
        <v>216</v>
      </c>
      <c r="L221" s="108">
        <v>8.0390696995817059</v>
      </c>
      <c r="M221" s="107">
        <v>0.33047740760861549</v>
      </c>
      <c r="N221" s="96">
        <v>0.29462536068654782</v>
      </c>
      <c r="O221" s="96">
        <v>1.2883419684379216</v>
      </c>
      <c r="P221" s="132">
        <v>5.4194244910330847</v>
      </c>
      <c r="W221" s="115">
        <f t="shared" si="17"/>
        <v>5.4194244910330847</v>
      </c>
    </row>
    <row r="222" spans="11:23">
      <c r="K222" s="130">
        <v>217</v>
      </c>
      <c r="L222" s="108">
        <v>-2.9112929835414327</v>
      </c>
      <c r="M222" s="107">
        <v>0.31088573560713878</v>
      </c>
      <c r="N222" s="96">
        <v>0.32569061668160554</v>
      </c>
      <c r="O222" s="96">
        <v>0.96830531901794781</v>
      </c>
      <c r="P222" s="132">
        <v>1.6493593162569209</v>
      </c>
      <c r="W222" s="115">
        <f t="shared" si="17"/>
        <v>1.6493593162569209</v>
      </c>
    </row>
    <row r="223" spans="11:23">
      <c r="K223" s="130">
        <v>218</v>
      </c>
      <c r="L223" s="108">
        <v>-5.1326301342945202</v>
      </c>
      <c r="M223" s="107">
        <v>0.33517515064867981</v>
      </c>
      <c r="N223" s="96">
        <v>0.29142945853025304</v>
      </c>
      <c r="O223" s="96">
        <v>1.0083286457139267</v>
      </c>
      <c r="P223" s="132">
        <v>0.25835880440495423</v>
      </c>
      <c r="W223" s="115">
        <f t="shared" si="17"/>
        <v>0.25835880440495423</v>
      </c>
    </row>
    <row r="224" spans="11:23">
      <c r="K224" s="130">
        <v>219</v>
      </c>
      <c r="L224" s="108">
        <v>-6.1283054620774591</v>
      </c>
      <c r="M224" s="107">
        <v>0.3145156049215046</v>
      </c>
      <c r="N224" s="96">
        <v>0.30422259285042835</v>
      </c>
      <c r="O224" s="96">
        <v>1.4141769069085885</v>
      </c>
      <c r="P224" s="132">
        <v>11.65295258637698</v>
      </c>
      <c r="W224" s="115">
        <f t="shared" si="17"/>
        <v>11.65295258637698</v>
      </c>
    </row>
    <row r="225" spans="11:23">
      <c r="K225" s="130">
        <v>220</v>
      </c>
      <c r="L225" s="108">
        <v>-6.8735920308344465</v>
      </c>
      <c r="M225" s="107">
        <v>0.32892443423945678</v>
      </c>
      <c r="N225" s="96">
        <v>0.28674154572573662</v>
      </c>
      <c r="O225" s="96">
        <v>1.2393909333129109</v>
      </c>
      <c r="P225" s="132">
        <v>3.3091054518170018</v>
      </c>
      <c r="W225" s="115">
        <f t="shared" si="17"/>
        <v>3.3091054518170018</v>
      </c>
    </row>
    <row r="226" spans="11:23">
      <c r="K226" s="130">
        <v>221</v>
      </c>
      <c r="L226" s="108">
        <v>-0.48168555855891992</v>
      </c>
      <c r="M226" s="107">
        <v>0.33157295992350139</v>
      </c>
      <c r="N226" s="96">
        <v>0.32714687445697249</v>
      </c>
      <c r="O226" s="96">
        <v>0.93806505993273093</v>
      </c>
      <c r="P226" s="132">
        <v>0.40752748542986145</v>
      </c>
      <c r="W226" s="115">
        <f t="shared" si="17"/>
        <v>0.40752748542986145</v>
      </c>
    </row>
    <row r="227" spans="11:23">
      <c r="K227" s="130">
        <v>222</v>
      </c>
      <c r="L227" s="108">
        <v>-5.9132091463592795</v>
      </c>
      <c r="M227" s="107">
        <v>0.31778018959462395</v>
      </c>
      <c r="N227" s="96">
        <v>0.30837443405608594</v>
      </c>
      <c r="O227" s="96">
        <v>1.3687762840709383</v>
      </c>
      <c r="P227" s="132">
        <v>10.792617246780175</v>
      </c>
      <c r="W227" s="115">
        <f t="shared" si="17"/>
        <v>10.792617246780175</v>
      </c>
    </row>
    <row r="228" spans="11:23">
      <c r="K228" s="130">
        <v>223</v>
      </c>
      <c r="L228" s="108">
        <v>2.4371364662391821</v>
      </c>
      <c r="M228" s="107">
        <v>0.31431988283417384</v>
      </c>
      <c r="N228" s="96">
        <v>0.34783636468769358</v>
      </c>
      <c r="O228" s="96">
        <v>1.2878676650347345</v>
      </c>
      <c r="P228" s="132">
        <v>14.758291029076231</v>
      </c>
      <c r="W228" s="115">
        <f t="shared" si="17"/>
        <v>14.758291029076231</v>
      </c>
    </row>
    <row r="229" spans="11:23">
      <c r="K229" s="130">
        <v>224</v>
      </c>
      <c r="L229" s="108">
        <v>6.1111592310503147</v>
      </c>
      <c r="M229" s="107">
        <v>0.3352986921828004</v>
      </c>
      <c r="N229" s="96">
        <v>0.24783658965868582</v>
      </c>
      <c r="O229" s="96">
        <v>1.0842975182412273</v>
      </c>
      <c r="P229" s="132">
        <v>0.16372015212798857</v>
      </c>
      <c r="W229" s="115">
        <f t="shared" si="17"/>
        <v>0.16372015212798857</v>
      </c>
    </row>
    <row r="230" spans="11:23">
      <c r="K230" s="130">
        <v>225</v>
      </c>
      <c r="L230" s="108">
        <v>1.2719393533620817</v>
      </c>
      <c r="M230" s="107">
        <v>0.31440292912638962</v>
      </c>
      <c r="N230" s="96">
        <v>0.27468812063681258</v>
      </c>
      <c r="O230" s="96">
        <v>1.1341931519776469</v>
      </c>
      <c r="P230" s="132">
        <v>1.0200339356059236</v>
      </c>
      <c r="W230" s="115">
        <f t="shared" si="17"/>
        <v>1.0200339356059236</v>
      </c>
    </row>
    <row r="231" spans="11:23">
      <c r="K231" s="130">
        <v>226</v>
      </c>
      <c r="L231" s="108">
        <v>-4.7738955097014282</v>
      </c>
      <c r="M231" s="107">
        <v>0.32964537240852432</v>
      </c>
      <c r="N231" s="96">
        <v>0.31164165252045989</v>
      </c>
      <c r="O231" s="96">
        <v>1.0970754617316669</v>
      </c>
      <c r="P231" s="132">
        <v>2.1811063518602447</v>
      </c>
      <c r="W231" s="115">
        <f t="shared" si="17"/>
        <v>2.1811063518602447</v>
      </c>
    </row>
    <row r="232" spans="11:23">
      <c r="K232" s="130">
        <v>227</v>
      </c>
      <c r="L232" s="108">
        <v>-3.8565630954226959</v>
      </c>
      <c r="M232" s="107">
        <v>0.33204267644134722</v>
      </c>
      <c r="N232" s="96">
        <v>0.27584446229869181</v>
      </c>
      <c r="O232" s="96">
        <v>1.2053094382820544</v>
      </c>
      <c r="P232" s="132">
        <v>1.1632160786904302</v>
      </c>
      <c r="W232" s="115">
        <f t="shared" si="17"/>
        <v>1.1632160786904302</v>
      </c>
    </row>
    <row r="233" spans="11:23">
      <c r="K233" s="130">
        <v>228</v>
      </c>
      <c r="L233" s="108">
        <v>2.3623913031247485</v>
      </c>
      <c r="M233" s="107">
        <v>0.3267472340128138</v>
      </c>
      <c r="N233" s="96">
        <v>0.30709619358923651</v>
      </c>
      <c r="O233" s="96">
        <v>1.178812656070114</v>
      </c>
      <c r="P233" s="132">
        <v>4.4115961259161764</v>
      </c>
      <c r="W233" s="115">
        <f t="shared" si="17"/>
        <v>4.4115961259161764</v>
      </c>
    </row>
    <row r="234" spans="11:23">
      <c r="K234" s="130">
        <v>229</v>
      </c>
      <c r="L234" s="108">
        <v>9.3318017936568811</v>
      </c>
      <c r="M234" s="107">
        <v>0.32446116546950055</v>
      </c>
      <c r="N234" s="96">
        <v>0.30741775534340643</v>
      </c>
      <c r="O234" s="96">
        <v>1.1645825363704148</v>
      </c>
      <c r="P234" s="132">
        <v>4.2928565667567193</v>
      </c>
      <c r="W234" s="115">
        <f t="shared" si="17"/>
        <v>4.2928565667567193</v>
      </c>
    </row>
    <row r="235" spans="11:23">
      <c r="K235" s="130">
        <v>230</v>
      </c>
      <c r="L235" s="108">
        <v>0.79029497726611964</v>
      </c>
      <c r="M235" s="107">
        <v>0.32503774135603297</v>
      </c>
      <c r="N235" s="96">
        <v>0.26603130103349903</v>
      </c>
      <c r="O235" s="96">
        <v>0.97036042013835999</v>
      </c>
      <c r="P235" s="132">
        <v>0.16185303533629145</v>
      </c>
      <c r="W235" s="115">
        <f t="shared" si="17"/>
        <v>0.16185303533629145</v>
      </c>
    </row>
    <row r="236" spans="11:23">
      <c r="K236" s="130">
        <v>231</v>
      </c>
      <c r="L236" s="108">
        <v>-6.2830435698036373</v>
      </c>
      <c r="M236" s="107">
        <v>0.33120716599948047</v>
      </c>
      <c r="N236" s="96">
        <v>0.33460307159885966</v>
      </c>
      <c r="O236" s="96">
        <v>1.2453674786063826</v>
      </c>
      <c r="P236" s="132">
        <v>9.4889934834163761</v>
      </c>
      <c r="W236" s="115">
        <f t="shared" si="17"/>
        <v>9.4889934834163761</v>
      </c>
    </row>
    <row r="237" spans="11:23">
      <c r="K237" s="130">
        <v>232</v>
      </c>
      <c r="L237" s="108">
        <v>-9.4578356123329179</v>
      </c>
      <c r="M237" s="107">
        <v>0.357638766017293</v>
      </c>
      <c r="N237" s="96">
        <v>0.2519801778606896</v>
      </c>
      <c r="O237" s="96">
        <v>0.91209846946658191</v>
      </c>
      <c r="P237" s="132">
        <v>8.7300119589355657E-2</v>
      </c>
      <c r="W237" s="115">
        <f t="shared" si="17"/>
        <v>8.7300119589355657E-2</v>
      </c>
    </row>
    <row r="238" spans="11:23">
      <c r="K238" s="130">
        <v>233</v>
      </c>
      <c r="L238" s="108">
        <v>3.8008507499211519</v>
      </c>
      <c r="M238" s="107">
        <v>0.338347327474604</v>
      </c>
      <c r="N238" s="96">
        <v>0.26657400807805981</v>
      </c>
      <c r="O238" s="96">
        <v>1.2652875517678794</v>
      </c>
      <c r="P238" s="132">
        <v>1.0528233800124018</v>
      </c>
      <c r="W238" s="115">
        <f t="shared" si="17"/>
        <v>1.0528233800124018</v>
      </c>
    </row>
    <row r="239" spans="11:23">
      <c r="K239" s="130">
        <v>234</v>
      </c>
      <c r="L239" s="108">
        <v>-4.6773878793840451</v>
      </c>
      <c r="M239" s="107">
        <v>0.3433247526680861</v>
      </c>
      <c r="N239" s="96">
        <v>0.3494458054154122</v>
      </c>
      <c r="O239" s="96">
        <v>1.2296488185713956</v>
      </c>
      <c r="P239" s="132">
        <v>9.4892725450866191</v>
      </c>
      <c r="W239" s="115">
        <f t="shared" si="17"/>
        <v>9.4892725450866191</v>
      </c>
    </row>
    <row r="240" spans="11:23">
      <c r="K240" s="130">
        <v>235</v>
      </c>
      <c r="L240" s="108">
        <v>0.16732579224507294</v>
      </c>
      <c r="M240" s="107">
        <v>0.31516105563377628</v>
      </c>
      <c r="N240" s="96">
        <v>0.26735408410769712</v>
      </c>
      <c r="O240" s="96">
        <v>0.98090693515629912</v>
      </c>
      <c r="P240" s="132">
        <v>0.20166567818763695</v>
      </c>
      <c r="W240" s="115">
        <f t="shared" si="17"/>
        <v>0.20166567818763695</v>
      </c>
    </row>
    <row r="241" spans="11:23">
      <c r="K241" s="130">
        <v>236</v>
      </c>
      <c r="L241" s="108">
        <v>3.5586755586478498</v>
      </c>
      <c r="M241" s="107">
        <v>0.32712424368597076</v>
      </c>
      <c r="N241" s="96">
        <v>0.30589544173869426</v>
      </c>
      <c r="O241" s="96">
        <v>1.3221367566294002</v>
      </c>
      <c r="P241" s="132">
        <v>8.1775314669580048</v>
      </c>
      <c r="W241" s="115">
        <f t="shared" si="17"/>
        <v>8.1775314669580048</v>
      </c>
    </row>
    <row r="242" spans="11:23">
      <c r="K242" s="130">
        <v>237</v>
      </c>
      <c r="L242" s="108">
        <v>-0.41831469051944192</v>
      </c>
      <c r="M242" s="107">
        <v>0.31296413052119193</v>
      </c>
      <c r="N242" s="96">
        <v>0.29378842273314881</v>
      </c>
      <c r="O242" s="96">
        <v>1.3378464308426887</v>
      </c>
      <c r="P242" s="132">
        <v>8.6026598060036736</v>
      </c>
      <c r="W242" s="115">
        <f t="shared" si="17"/>
        <v>8.6026598060036736</v>
      </c>
    </row>
    <row r="243" spans="11:23">
      <c r="K243" s="130">
        <v>238</v>
      </c>
      <c r="L243" s="108">
        <v>-2.2280614573636752</v>
      </c>
      <c r="M243" s="107">
        <v>0.31587109878640962</v>
      </c>
      <c r="N243" s="96">
        <v>0.32030106964776989</v>
      </c>
      <c r="O243" s="96">
        <v>1.1007054902757307</v>
      </c>
      <c r="P243" s="132">
        <v>4.9735670286583025</v>
      </c>
      <c r="W243" s="115">
        <f t="shared" si="17"/>
        <v>4.9735670286583025</v>
      </c>
    </row>
    <row r="244" spans="11:23">
      <c r="K244" s="130">
        <v>239</v>
      </c>
      <c r="L244" s="108">
        <v>10.863494360059534</v>
      </c>
      <c r="M244" s="107">
        <v>0.32862388159528899</v>
      </c>
      <c r="N244" s="96">
        <v>0.27945167451427727</v>
      </c>
      <c r="O244" s="96">
        <v>1.3666614905524443</v>
      </c>
      <c r="P244" s="132">
        <v>5.5458931361843629</v>
      </c>
      <c r="W244" s="115">
        <f t="shared" si="17"/>
        <v>5.5458931361843629</v>
      </c>
    </row>
    <row r="245" spans="11:23">
      <c r="K245" s="130">
        <v>240</v>
      </c>
      <c r="L245" s="108">
        <v>-0.68046783681656908</v>
      </c>
      <c r="M245" s="107">
        <v>0.34180046263202285</v>
      </c>
      <c r="N245" s="96">
        <v>0.33339362086774693</v>
      </c>
      <c r="O245" s="96">
        <v>1.2127833887430923</v>
      </c>
      <c r="P245" s="132">
        <v>7.0509408178333723</v>
      </c>
      <c r="W245" s="115">
        <f t="shared" si="17"/>
        <v>7.0509408178333723</v>
      </c>
    </row>
    <row r="246" spans="11:23">
      <c r="K246" s="130">
        <v>241</v>
      </c>
      <c r="L246" s="108">
        <v>-9.0956609368828083</v>
      </c>
      <c r="M246" s="107">
        <v>0.34206285558724364</v>
      </c>
      <c r="N246" s="96">
        <v>0.28692550614710138</v>
      </c>
      <c r="O246" s="96">
        <v>1.3831596787296223</v>
      </c>
      <c r="P246" s="132">
        <v>5.4855494107618767</v>
      </c>
      <c r="W246" s="115">
        <f t="shared" si="17"/>
        <v>5.4855494107618767</v>
      </c>
    </row>
    <row r="247" spans="11:23">
      <c r="K247" s="130">
        <v>242</v>
      </c>
      <c r="L247" s="108">
        <v>3.1436532125945855</v>
      </c>
      <c r="M247" s="107">
        <v>0.30394095005399985</v>
      </c>
      <c r="N247" s="96">
        <v>0.29214013824649521</v>
      </c>
      <c r="O247" s="96">
        <v>1.1174505483190802</v>
      </c>
      <c r="P247" s="132">
        <v>3.3508334345524529</v>
      </c>
      <c r="W247" s="115">
        <f t="shared" si="17"/>
        <v>3.3508334345524529</v>
      </c>
    </row>
    <row r="248" spans="11:23">
      <c r="K248" s="130">
        <v>243</v>
      </c>
      <c r="L248" s="108">
        <v>-5.0201008612046873</v>
      </c>
      <c r="M248" s="107">
        <v>0.33419486659912151</v>
      </c>
      <c r="N248" s="96">
        <v>0.28475142536959658</v>
      </c>
      <c r="O248" s="96">
        <v>1.3216854782850598</v>
      </c>
      <c r="P248" s="132">
        <v>4.5759133871872306</v>
      </c>
      <c r="W248" s="115">
        <f t="shared" si="17"/>
        <v>4.5759133871872306</v>
      </c>
    </row>
    <row r="249" spans="11:23">
      <c r="K249" s="130">
        <v>244</v>
      </c>
      <c r="L249" s="108">
        <v>6.1744071516425043</v>
      </c>
      <c r="M249" s="107">
        <v>0.33596703031438541</v>
      </c>
      <c r="N249" s="96">
        <v>0.3088066398680544</v>
      </c>
      <c r="O249" s="96">
        <v>1.4896450148021376</v>
      </c>
      <c r="P249" s="132">
        <v>11.408266284916587</v>
      </c>
      <c r="W249" s="115">
        <f t="shared" si="17"/>
        <v>11.408266284916587</v>
      </c>
    </row>
    <row r="250" spans="11:23">
      <c r="K250" s="130">
        <v>245</v>
      </c>
      <c r="L250" s="108">
        <v>-3.9347541286774916</v>
      </c>
      <c r="M250" s="107">
        <v>0.32603655684103183</v>
      </c>
      <c r="N250" s="96">
        <v>0.32281015385756506</v>
      </c>
      <c r="O250" s="96">
        <v>1.1925237698637172</v>
      </c>
      <c r="P250" s="132">
        <v>6.9797702773602293</v>
      </c>
      <c r="W250" s="115">
        <f t="shared" si="17"/>
        <v>6.9797702773602293</v>
      </c>
    </row>
    <row r="251" spans="11:23">
      <c r="K251" s="130">
        <v>246</v>
      </c>
      <c r="L251" s="108">
        <v>8.3754376408587312</v>
      </c>
      <c r="M251" s="107">
        <v>0.32774613931035373</v>
      </c>
      <c r="N251" s="96">
        <v>0.26781513505516213</v>
      </c>
      <c r="O251" s="96">
        <v>1.0655432230461974</v>
      </c>
      <c r="P251" s="132">
        <v>0.25062576377444712</v>
      </c>
      <c r="W251" s="115">
        <f t="shared" si="17"/>
        <v>0.25062576377444712</v>
      </c>
    </row>
    <row r="252" spans="11:23">
      <c r="K252" s="130">
        <v>247</v>
      </c>
      <c r="L252" s="108">
        <v>1.5366967234288174</v>
      </c>
      <c r="M252" s="107">
        <v>0.32392121475122276</v>
      </c>
      <c r="N252" s="96">
        <v>0.25391153629096741</v>
      </c>
      <c r="O252" s="96">
        <v>1.2929589199706915</v>
      </c>
      <c r="P252" s="132">
        <v>1.3680046154283974</v>
      </c>
      <c r="W252" s="115">
        <f t="shared" si="17"/>
        <v>1.3680046154283974</v>
      </c>
    </row>
    <row r="253" spans="11:23">
      <c r="K253" s="130">
        <v>248</v>
      </c>
      <c r="L253" s="108">
        <v>-5.7343523930860769</v>
      </c>
      <c r="M253" s="107">
        <v>0.33399421021936376</v>
      </c>
      <c r="N253" s="96">
        <v>0.30138257907523652</v>
      </c>
      <c r="O253" s="96">
        <v>1.339876488960112</v>
      </c>
      <c r="P253" s="132">
        <v>7.2205599421143392</v>
      </c>
      <c r="W253" s="115">
        <f t="shared" si="17"/>
        <v>7.2205599421143392</v>
      </c>
    </row>
    <row r="254" spans="11:23">
      <c r="K254" s="130">
        <v>249</v>
      </c>
      <c r="L254" s="108">
        <v>-5.5855500776203533</v>
      </c>
      <c r="M254" s="107">
        <v>0.31155880851350848</v>
      </c>
      <c r="N254" s="96">
        <v>0.28945350585663476</v>
      </c>
      <c r="O254" s="96">
        <v>1.324755302376398</v>
      </c>
      <c r="P254" s="132">
        <v>7.8496332339046768</v>
      </c>
      <c r="W254" s="115">
        <f t="shared" si="17"/>
        <v>7.8496332339046768</v>
      </c>
    </row>
    <row r="255" spans="11:23">
      <c r="K255" s="130">
        <v>250</v>
      </c>
      <c r="L255" s="108">
        <v>-4.2429342988982128</v>
      </c>
      <c r="M255" s="107">
        <v>0.35016703946959915</v>
      </c>
      <c r="N255" s="96">
        <v>0.32793285562920199</v>
      </c>
      <c r="O255" s="96">
        <v>1.3932710878126093</v>
      </c>
      <c r="P255" s="132">
        <v>10.229565989648778</v>
      </c>
      <c r="W255" s="115">
        <f t="shared" si="17"/>
        <v>10.229565989648778</v>
      </c>
    </row>
    <row r="256" spans="11:23">
      <c r="K256" s="130">
        <v>251</v>
      </c>
      <c r="L256" s="108">
        <v>-1.6387213926067505</v>
      </c>
      <c r="M256" s="107">
        <v>0.34697534521041695</v>
      </c>
      <c r="N256" s="96">
        <v>0.31144583723723596</v>
      </c>
      <c r="O256" s="96">
        <v>1.3733782353223856</v>
      </c>
      <c r="P256" s="132">
        <v>7.9235053966635585</v>
      </c>
      <c r="W256" s="115">
        <f t="shared" si="17"/>
        <v>7.9235053966635585</v>
      </c>
    </row>
    <row r="257" spans="11:23">
      <c r="K257" s="130">
        <v>252</v>
      </c>
      <c r="L257" s="108">
        <v>7.6089469765216098</v>
      </c>
      <c r="M257" s="107">
        <v>0.33059107307905017</v>
      </c>
      <c r="N257" s="96">
        <v>0.29861875572580565</v>
      </c>
      <c r="O257" s="96">
        <v>1.420006765386632</v>
      </c>
      <c r="P257" s="132">
        <v>9.1164718233176565</v>
      </c>
      <c r="W257" s="115">
        <f t="shared" si="17"/>
        <v>9.1164718233176565</v>
      </c>
    </row>
    <row r="258" spans="11:23">
      <c r="K258" s="130">
        <v>253</v>
      </c>
      <c r="L258" s="108">
        <v>5.9429122887630879</v>
      </c>
      <c r="M258" s="107">
        <v>0.32206344474631482</v>
      </c>
      <c r="N258" s="96">
        <v>0.27155105909105098</v>
      </c>
      <c r="O258" s="96">
        <v>1.1280909215126729</v>
      </c>
      <c r="P258" s="132">
        <v>0.55467967881834812</v>
      </c>
      <c r="W258" s="115">
        <f t="shared" si="17"/>
        <v>0.55467967881834812</v>
      </c>
    </row>
    <row r="259" spans="11:23">
      <c r="K259" s="130">
        <v>254</v>
      </c>
      <c r="L259" s="108">
        <v>0.82503721986313483</v>
      </c>
      <c r="M259" s="107">
        <v>0.3264674688423938</v>
      </c>
      <c r="N259" s="96">
        <v>0.30590641369436411</v>
      </c>
      <c r="O259" s="96">
        <v>1.1296948220236847</v>
      </c>
      <c r="P259" s="132">
        <v>2.8240256412181015</v>
      </c>
      <c r="W259" s="115">
        <f t="shared" si="17"/>
        <v>2.8240256412181015</v>
      </c>
    </row>
    <row r="260" spans="11:23">
      <c r="K260" s="130">
        <v>255</v>
      </c>
      <c r="L260" s="108">
        <v>-8.7174233555963312</v>
      </c>
      <c r="M260" s="107">
        <v>0.33472236265087624</v>
      </c>
      <c r="N260" s="96">
        <v>0.23402057713392038</v>
      </c>
      <c r="O260" s="96">
        <v>1.0620445286075701</v>
      </c>
      <c r="P260" s="132">
        <v>0.12698712735371359</v>
      </c>
      <c r="W260" s="115">
        <f t="shared" si="17"/>
        <v>0.12698712735371359</v>
      </c>
    </row>
    <row r="261" spans="11:23">
      <c r="K261" s="130">
        <v>256</v>
      </c>
      <c r="L261" s="108">
        <v>-7.5792410013509937</v>
      </c>
      <c r="M261" s="107">
        <v>0.32547674441485025</v>
      </c>
      <c r="N261" s="96">
        <v>0.32457725685847244</v>
      </c>
      <c r="O261" s="96">
        <v>1.0701011002529184</v>
      </c>
      <c r="P261" s="132">
        <v>3.2656055020254295</v>
      </c>
      <c r="W261" s="115">
        <f t="shared" si="17"/>
        <v>3.2656055020254295</v>
      </c>
    </row>
    <row r="262" spans="11:23">
      <c r="K262" s="130">
        <v>257</v>
      </c>
      <c r="L262" s="108">
        <v>-2.9388797544445624</v>
      </c>
      <c r="M262" s="107">
        <v>0.30305058272173385</v>
      </c>
      <c r="N262" s="96">
        <v>0.29195394348322901</v>
      </c>
      <c r="O262" s="96">
        <v>1.3267329896978703</v>
      </c>
      <c r="P262" s="132">
        <v>9.3048305946300509</v>
      </c>
      <c r="W262" s="115">
        <f t="shared" ref="W262:W325" si="18">P262</f>
        <v>9.3048305946300509</v>
      </c>
    </row>
    <row r="263" spans="11:23">
      <c r="K263" s="130">
        <v>258</v>
      </c>
      <c r="L263" s="108">
        <v>-8.9303947390929981</v>
      </c>
      <c r="M263" s="107">
        <v>0.32742187684247981</v>
      </c>
      <c r="N263" s="96">
        <v>0.26968307284591331</v>
      </c>
      <c r="O263" s="96">
        <v>0.96956601411417087</v>
      </c>
      <c r="P263" s="132">
        <v>0.16442622564141821</v>
      </c>
      <c r="W263" s="115">
        <f t="shared" si="18"/>
        <v>0.16442622564141821</v>
      </c>
    </row>
    <row r="264" spans="11:23">
      <c r="K264" s="130">
        <v>259</v>
      </c>
      <c r="L264" s="108">
        <v>-1.6270779638744286</v>
      </c>
      <c r="M264" s="107">
        <v>0.33644179325697432</v>
      </c>
      <c r="N264" s="96">
        <v>0.30866512692244502</v>
      </c>
      <c r="O264" s="96">
        <v>0.96161728499853139</v>
      </c>
      <c r="P264" s="132">
        <v>0.26921881520668184</v>
      </c>
      <c r="W264" s="115">
        <f t="shared" si="18"/>
        <v>0.26921881520668184</v>
      </c>
    </row>
    <row r="265" spans="11:23">
      <c r="K265" s="130">
        <v>260</v>
      </c>
      <c r="L265" s="108">
        <v>-1.9774440026853979</v>
      </c>
      <c r="M265" s="107">
        <v>0.31564962789209072</v>
      </c>
      <c r="N265" s="96">
        <v>0.29445897766102208</v>
      </c>
      <c r="O265" s="96">
        <v>0.90527109822798657</v>
      </c>
      <c r="P265" s="132">
        <v>0.21711723805104291</v>
      </c>
      <c r="W265" s="115">
        <f t="shared" si="18"/>
        <v>0.21711723805104291</v>
      </c>
    </row>
    <row r="266" spans="11:23">
      <c r="K266" s="130">
        <v>261</v>
      </c>
      <c r="L266" s="108">
        <v>-1.5966646359593284</v>
      </c>
      <c r="M266" s="107">
        <v>0.33223840707473462</v>
      </c>
      <c r="N266" s="96">
        <v>0.30834276947314637</v>
      </c>
      <c r="O266" s="96">
        <v>1.3086207184302299</v>
      </c>
      <c r="P266" s="132">
        <v>7.5598866030636698</v>
      </c>
      <c r="W266" s="115">
        <f t="shared" si="18"/>
        <v>7.5598866030636698</v>
      </c>
    </row>
    <row r="267" spans="11:23">
      <c r="K267" s="130">
        <v>262</v>
      </c>
      <c r="L267" s="108">
        <v>8.175090063513391</v>
      </c>
      <c r="M267" s="107">
        <v>0.3478893468183798</v>
      </c>
      <c r="N267" s="96">
        <v>0.23991936803474484</v>
      </c>
      <c r="O267" s="96">
        <v>1.238838916588471</v>
      </c>
      <c r="P267" s="132">
        <v>0.21420499370349005</v>
      </c>
      <c r="W267" s="115">
        <f t="shared" si="18"/>
        <v>0.21420499370349005</v>
      </c>
    </row>
    <row r="268" spans="11:23">
      <c r="K268" s="130">
        <v>263</v>
      </c>
      <c r="L268" s="108">
        <v>-18.07274387391373</v>
      </c>
      <c r="M268" s="107">
        <v>0.32930069580125687</v>
      </c>
      <c r="N268" s="96">
        <v>0.27740041726150261</v>
      </c>
      <c r="O268" s="96">
        <v>1.6068059008886246</v>
      </c>
      <c r="P268" s="132">
        <v>10.058528804311061</v>
      </c>
      <c r="W268" s="115">
        <f t="shared" si="18"/>
        <v>10.058528804311061</v>
      </c>
    </row>
    <row r="269" spans="11:23">
      <c r="K269" s="130">
        <v>264</v>
      </c>
      <c r="L269" s="108">
        <v>6.7062476029665676</v>
      </c>
      <c r="M269" s="107">
        <v>0.32260317772470415</v>
      </c>
      <c r="N269" s="96">
        <v>0.23665633685033974</v>
      </c>
      <c r="O269" s="96">
        <v>1.2739923020459534</v>
      </c>
      <c r="P269" s="132">
        <v>0.44501402508108268</v>
      </c>
      <c r="W269" s="115">
        <f t="shared" si="18"/>
        <v>0.44501402508108268</v>
      </c>
    </row>
    <row r="270" spans="11:23">
      <c r="K270" s="130">
        <v>265</v>
      </c>
      <c r="L270" s="108">
        <v>1.3489442042396091</v>
      </c>
      <c r="M270" s="107">
        <v>0.34719798241896926</v>
      </c>
      <c r="N270" s="96">
        <v>0.26440743079287804</v>
      </c>
      <c r="O270" s="96">
        <v>1.0228883097176555</v>
      </c>
      <c r="P270" s="132">
        <v>0.14382202008106457</v>
      </c>
      <c r="W270" s="115">
        <f t="shared" si="18"/>
        <v>0.14382202008106457</v>
      </c>
    </row>
    <row r="271" spans="11:23">
      <c r="K271" s="130">
        <v>266</v>
      </c>
      <c r="L271" s="108">
        <v>6.9220601413851837</v>
      </c>
      <c r="M271" s="107">
        <v>0.31945660869139986</v>
      </c>
      <c r="N271" s="96">
        <v>0.26501286117395717</v>
      </c>
      <c r="O271" s="96">
        <v>1.5763171207362809</v>
      </c>
      <c r="P271" s="132">
        <v>8.8329714719293335</v>
      </c>
      <c r="W271" s="115">
        <f t="shared" si="18"/>
        <v>8.8329714719293335</v>
      </c>
    </row>
    <row r="272" spans="11:23">
      <c r="K272" s="130">
        <v>267</v>
      </c>
      <c r="L272" s="108">
        <v>0.22086176669619584</v>
      </c>
      <c r="M272" s="107">
        <v>0.31648429275682916</v>
      </c>
      <c r="N272" s="96">
        <v>0.26593325703793702</v>
      </c>
      <c r="O272" s="96">
        <v>0.79712933633090488</v>
      </c>
      <c r="P272" s="132">
        <v>0.10337845478815651</v>
      </c>
      <c r="W272" s="115">
        <f t="shared" si="18"/>
        <v>0.10337845478815651</v>
      </c>
    </row>
    <row r="273" spans="11:23">
      <c r="K273" s="130">
        <v>268</v>
      </c>
      <c r="L273" s="108">
        <v>-6.2114466181372174</v>
      </c>
      <c r="M273" s="107">
        <v>0.33450961035114773</v>
      </c>
      <c r="N273" s="96">
        <v>0.22548855141646507</v>
      </c>
      <c r="O273" s="96">
        <v>1.039647063076051</v>
      </c>
      <c r="P273" s="132">
        <v>0.10945008543916572</v>
      </c>
      <c r="W273" s="115">
        <f t="shared" si="18"/>
        <v>0.10945008543916572</v>
      </c>
    </row>
    <row r="274" spans="11:23">
      <c r="K274" s="130">
        <v>269</v>
      </c>
      <c r="L274" s="108">
        <v>1.0327281767376675</v>
      </c>
      <c r="M274" s="107">
        <v>0.3325567352606314</v>
      </c>
      <c r="N274" s="96">
        <v>0.28065480745166643</v>
      </c>
      <c r="O274" s="96">
        <v>1.1395421779545944</v>
      </c>
      <c r="P274" s="132">
        <v>0.62976527999475551</v>
      </c>
      <c r="W274" s="115">
        <f t="shared" si="18"/>
        <v>0.62976527999475551</v>
      </c>
    </row>
    <row r="275" spans="11:23">
      <c r="K275" s="130">
        <v>270</v>
      </c>
      <c r="L275" s="108">
        <v>3.2726314720644138</v>
      </c>
      <c r="M275" s="107">
        <v>0.33677362758216434</v>
      </c>
      <c r="N275" s="96">
        <v>0.27034249869481636</v>
      </c>
      <c r="O275" s="96">
        <v>1.3519652821171819</v>
      </c>
      <c r="P275" s="132">
        <v>3.2243279484534417</v>
      </c>
      <c r="W275" s="115">
        <f t="shared" si="18"/>
        <v>3.2243279484534417</v>
      </c>
    </row>
    <row r="276" spans="11:23">
      <c r="K276" s="130">
        <v>271</v>
      </c>
      <c r="L276" s="108">
        <v>-10.039150051257678</v>
      </c>
      <c r="M276" s="107">
        <v>0.29946903252501261</v>
      </c>
      <c r="N276" s="96">
        <v>0.3057436720356082</v>
      </c>
      <c r="O276" s="96">
        <v>0.95869825179678125</v>
      </c>
      <c r="P276" s="132">
        <v>0.900025889517303</v>
      </c>
      <c r="W276" s="115">
        <f t="shared" si="18"/>
        <v>0.900025889517303</v>
      </c>
    </row>
    <row r="277" spans="11:23">
      <c r="K277" s="130">
        <v>272</v>
      </c>
      <c r="L277" s="108">
        <v>6.2996248018586716</v>
      </c>
      <c r="M277" s="107">
        <v>0.32661990970640492</v>
      </c>
      <c r="N277" s="96">
        <v>0.37184778398448992</v>
      </c>
      <c r="O277" s="96">
        <v>1.0755594122178389</v>
      </c>
      <c r="P277" s="132">
        <v>9.5099905304335337</v>
      </c>
      <c r="W277" s="115">
        <f t="shared" si="18"/>
        <v>9.5099905304335337</v>
      </c>
    </row>
    <row r="278" spans="11:23">
      <c r="K278" s="130">
        <v>273</v>
      </c>
      <c r="L278" s="108">
        <v>11.028144735987922</v>
      </c>
      <c r="M278" s="107">
        <v>0.32230944822356761</v>
      </c>
      <c r="N278" s="96">
        <v>0.29343619324572051</v>
      </c>
      <c r="O278" s="96">
        <v>1.1576322330814037</v>
      </c>
      <c r="P278" s="132">
        <v>2.6124964951000722</v>
      </c>
      <c r="W278" s="115">
        <f t="shared" si="18"/>
        <v>2.6124964951000722</v>
      </c>
    </row>
    <row r="279" spans="11:23">
      <c r="K279" s="130">
        <v>274</v>
      </c>
      <c r="L279" s="108">
        <v>-7.1613460402483495</v>
      </c>
      <c r="M279" s="107">
        <v>0.3379661482610995</v>
      </c>
      <c r="N279" s="96">
        <v>0.2583028887570254</v>
      </c>
      <c r="O279" s="96">
        <v>1.1237995397436078</v>
      </c>
      <c r="P279" s="132">
        <v>0.22574361057609252</v>
      </c>
      <c r="W279" s="115">
        <f t="shared" si="18"/>
        <v>0.22574361057609252</v>
      </c>
    </row>
    <row r="280" spans="11:23">
      <c r="K280" s="130">
        <v>275</v>
      </c>
      <c r="L280" s="108">
        <v>12.206766004899709</v>
      </c>
      <c r="M280" s="107">
        <v>0.30616607300998144</v>
      </c>
      <c r="N280" s="96">
        <v>0.31801909785191251</v>
      </c>
      <c r="O280" s="96">
        <v>1.1489340575604321</v>
      </c>
      <c r="P280" s="132">
        <v>7.5729119322764893</v>
      </c>
      <c r="W280" s="115">
        <f t="shared" si="18"/>
        <v>7.5729119322764893</v>
      </c>
    </row>
    <row r="281" spans="11:23">
      <c r="K281" s="130">
        <v>276</v>
      </c>
      <c r="L281" s="108">
        <v>3.8821401573632768</v>
      </c>
      <c r="M281" s="107">
        <v>0.33790000642504242</v>
      </c>
      <c r="N281" s="96">
        <v>0.36071208077416883</v>
      </c>
      <c r="O281" s="96">
        <v>1.4727101516479992</v>
      </c>
      <c r="P281" s="132">
        <v>18.491038017511137</v>
      </c>
      <c r="W281" s="115">
        <f t="shared" si="18"/>
        <v>18.491038017511137</v>
      </c>
    </row>
    <row r="282" spans="11:23">
      <c r="K282" s="130">
        <v>277</v>
      </c>
      <c r="L282" s="108">
        <v>-6.4228294047431298</v>
      </c>
      <c r="M282" s="107">
        <v>0.32407708927483758</v>
      </c>
      <c r="N282" s="96">
        <v>0.32045613220140318</v>
      </c>
      <c r="O282" s="96">
        <v>1.2978983779059345</v>
      </c>
      <c r="P282" s="132">
        <v>9.9096933646014485</v>
      </c>
      <c r="W282" s="115">
        <f t="shared" si="18"/>
        <v>9.9096933646014485</v>
      </c>
    </row>
    <row r="283" spans="11:23">
      <c r="K283" s="130">
        <v>278</v>
      </c>
      <c r="L283" s="108">
        <v>-7.0726081803517999</v>
      </c>
      <c r="M283" s="107">
        <v>0.34262641943087768</v>
      </c>
      <c r="N283" s="96">
        <v>0.25525937168023477</v>
      </c>
      <c r="O283" s="96">
        <v>1.3503083160814884</v>
      </c>
      <c r="P283" s="132">
        <v>1.1783603448405295</v>
      </c>
      <c r="W283" s="115">
        <f t="shared" si="18"/>
        <v>1.1783603448405295</v>
      </c>
    </row>
    <row r="284" spans="11:23">
      <c r="K284" s="130">
        <v>279</v>
      </c>
      <c r="L284" s="108">
        <v>-9.8161663963274766</v>
      </c>
      <c r="M284" s="107">
        <v>0.330071641380353</v>
      </c>
      <c r="N284" s="96">
        <v>0.25263693906837403</v>
      </c>
      <c r="O284" s="96">
        <v>1.2560868559719729</v>
      </c>
      <c r="P284" s="132">
        <v>0.61677849239114435</v>
      </c>
      <c r="W284" s="115">
        <f t="shared" si="18"/>
        <v>0.61677849239114435</v>
      </c>
    </row>
    <row r="285" spans="11:23">
      <c r="K285" s="130">
        <v>280</v>
      </c>
      <c r="L285" s="108">
        <v>-5.4377224008015643</v>
      </c>
      <c r="M285" s="107">
        <v>0.34218898312473334</v>
      </c>
      <c r="N285" s="96">
        <v>0.32826661820651049</v>
      </c>
      <c r="O285" s="96">
        <v>1.2488369506790375</v>
      </c>
      <c r="P285" s="132">
        <v>7.3966559032188561</v>
      </c>
      <c r="W285" s="115">
        <f t="shared" si="18"/>
        <v>7.3966559032188561</v>
      </c>
    </row>
    <row r="286" spans="11:23">
      <c r="K286" s="130">
        <v>281</v>
      </c>
      <c r="L286" s="108">
        <v>0.40019507700872398</v>
      </c>
      <c r="M286" s="107">
        <v>0.31536955704313341</v>
      </c>
      <c r="N286" s="96">
        <v>0.23992001748430944</v>
      </c>
      <c r="O286" s="96">
        <v>1.2371034166643975</v>
      </c>
      <c r="P286" s="132">
        <v>0.4883742154698677</v>
      </c>
      <c r="W286" s="115">
        <f t="shared" si="18"/>
        <v>0.4883742154698677</v>
      </c>
    </row>
    <row r="287" spans="11:23">
      <c r="K287" s="130">
        <v>282</v>
      </c>
      <c r="L287" s="108">
        <v>8.5663361711689525</v>
      </c>
      <c r="M287" s="107">
        <v>0.33134836316380212</v>
      </c>
      <c r="N287" s="96">
        <v>0.27148074861900356</v>
      </c>
      <c r="O287" s="96">
        <v>0.97977378464656395</v>
      </c>
      <c r="P287" s="132">
        <v>0.16635529820713812</v>
      </c>
      <c r="W287" s="115">
        <f t="shared" si="18"/>
        <v>0.16635529820713812</v>
      </c>
    </row>
    <row r="288" spans="11:23">
      <c r="K288" s="130">
        <v>283</v>
      </c>
      <c r="L288" s="108">
        <v>-0.83746172336174518</v>
      </c>
      <c r="M288" s="107">
        <v>0.3325660743646629</v>
      </c>
      <c r="N288" s="96">
        <v>0.30551325162876647</v>
      </c>
      <c r="O288" s="96">
        <v>1.3244508075202126</v>
      </c>
      <c r="P288" s="132">
        <v>7.5488369727740148</v>
      </c>
      <c r="W288" s="115">
        <f t="shared" si="18"/>
        <v>7.5488369727740148</v>
      </c>
    </row>
    <row r="289" spans="11:23">
      <c r="K289" s="130">
        <v>284</v>
      </c>
      <c r="L289" s="108">
        <v>-8.2186768890991484</v>
      </c>
      <c r="M289" s="107">
        <v>0.32192761725789992</v>
      </c>
      <c r="N289" s="96">
        <v>0.36284570579741793</v>
      </c>
      <c r="O289" s="96">
        <v>0.88667297090520836</v>
      </c>
      <c r="P289" s="132">
        <v>1.3067738665848476</v>
      </c>
      <c r="W289" s="115">
        <f t="shared" si="18"/>
        <v>1.3067738665848476</v>
      </c>
    </row>
    <row r="290" spans="11:23">
      <c r="K290" s="130">
        <v>285</v>
      </c>
      <c r="L290" s="108">
        <v>-7.1911646135004581</v>
      </c>
      <c r="M290" s="107">
        <v>0.32192857539300546</v>
      </c>
      <c r="N290" s="96">
        <v>0.32138858532957287</v>
      </c>
      <c r="O290" s="96">
        <v>1.061677571574281</v>
      </c>
      <c r="P290" s="132">
        <v>3.0171484205111652</v>
      </c>
      <c r="W290" s="115">
        <f t="shared" si="18"/>
        <v>3.0171484205111652</v>
      </c>
    </row>
    <row r="291" spans="11:23">
      <c r="K291" s="130">
        <v>286</v>
      </c>
      <c r="L291" s="108">
        <v>6.0803616357265708</v>
      </c>
      <c r="M291" s="107">
        <v>0.29606579123016397</v>
      </c>
      <c r="N291" s="96">
        <v>0.28338440019248384</v>
      </c>
      <c r="O291" s="96">
        <v>1.2234345243786051</v>
      </c>
      <c r="P291" s="132">
        <v>6.2911246611620939</v>
      </c>
      <c r="W291" s="115">
        <f t="shared" si="18"/>
        <v>6.2911246611620939</v>
      </c>
    </row>
    <row r="292" spans="11:23">
      <c r="K292" s="130">
        <v>287</v>
      </c>
      <c r="L292" s="108">
        <v>0.16795098314477264</v>
      </c>
      <c r="M292" s="107">
        <v>0.30684425026715634</v>
      </c>
      <c r="N292" s="96">
        <v>0.30899534018886976</v>
      </c>
      <c r="O292" s="96">
        <v>0.94502596689198359</v>
      </c>
      <c r="P292" s="132">
        <v>0.59030806133225688</v>
      </c>
      <c r="W292" s="115">
        <f t="shared" si="18"/>
        <v>0.59030806133225688</v>
      </c>
    </row>
    <row r="293" spans="11:23">
      <c r="K293" s="130">
        <v>288</v>
      </c>
      <c r="L293" s="108">
        <v>5.4305684232489932</v>
      </c>
      <c r="M293" s="107">
        <v>0.34143885418463726</v>
      </c>
      <c r="N293" s="96">
        <v>0.25440809908240458</v>
      </c>
      <c r="O293" s="96">
        <v>1.1215618870563935</v>
      </c>
      <c r="P293" s="132">
        <v>0.19395610225244964</v>
      </c>
      <c r="W293" s="115">
        <f t="shared" si="18"/>
        <v>0.19395610225244964</v>
      </c>
    </row>
    <row r="294" spans="11:23">
      <c r="K294" s="130">
        <v>289</v>
      </c>
      <c r="L294" s="108">
        <v>-10.731770029273401</v>
      </c>
      <c r="M294" s="107">
        <v>0.33417798846318508</v>
      </c>
      <c r="N294" s="96">
        <v>0.27256140666291151</v>
      </c>
      <c r="O294" s="96">
        <v>1.2661626955135914</v>
      </c>
      <c r="P294" s="132">
        <v>1.8441221783129849</v>
      </c>
      <c r="W294" s="115">
        <f t="shared" si="18"/>
        <v>1.8441221783129849</v>
      </c>
    </row>
    <row r="295" spans="11:23">
      <c r="K295" s="130">
        <v>290</v>
      </c>
      <c r="L295" s="108">
        <v>6.6567828972316283</v>
      </c>
      <c r="M295" s="107">
        <v>0.33467023768725956</v>
      </c>
      <c r="N295" s="96">
        <v>0.29320209646413664</v>
      </c>
      <c r="O295" s="96">
        <v>1.2810600790576794</v>
      </c>
      <c r="P295" s="132">
        <v>4.5859283660463142</v>
      </c>
      <c r="W295" s="115">
        <f t="shared" si="18"/>
        <v>4.5859283660463142</v>
      </c>
    </row>
    <row r="296" spans="11:23">
      <c r="K296" s="130">
        <v>291</v>
      </c>
      <c r="L296" s="108">
        <v>7.3707289817988775</v>
      </c>
      <c r="M296" s="107">
        <v>0.29358180587536153</v>
      </c>
      <c r="N296" s="96">
        <v>0.34377332030393931</v>
      </c>
      <c r="O296" s="96">
        <v>1.2962231581538786</v>
      </c>
      <c r="P296" s="132">
        <v>17.37541035647763</v>
      </c>
      <c r="W296" s="115">
        <f t="shared" si="18"/>
        <v>17.37541035647763</v>
      </c>
    </row>
    <row r="297" spans="11:23">
      <c r="K297" s="130">
        <v>292</v>
      </c>
      <c r="L297" s="108">
        <v>-14.816005178213898</v>
      </c>
      <c r="M297" s="107">
        <v>0.33771014512724751</v>
      </c>
      <c r="N297" s="96">
        <v>0.29129569151544121</v>
      </c>
      <c r="O297" s="96">
        <v>1.3355085824820849</v>
      </c>
      <c r="P297" s="132">
        <v>5.3803334039299973</v>
      </c>
      <c r="W297" s="115">
        <f t="shared" si="18"/>
        <v>5.3803334039299973</v>
      </c>
    </row>
    <row r="298" spans="11:23">
      <c r="K298" s="130">
        <v>293</v>
      </c>
      <c r="L298" s="108">
        <v>10.370875390903352</v>
      </c>
      <c r="M298" s="107">
        <v>0.3331920823272379</v>
      </c>
      <c r="N298" s="96">
        <v>0.31055024190441627</v>
      </c>
      <c r="O298" s="96">
        <v>1.1675414396290886</v>
      </c>
      <c r="P298" s="132">
        <v>3.7684540295078053</v>
      </c>
      <c r="W298" s="115">
        <f t="shared" si="18"/>
        <v>3.7684540295078053</v>
      </c>
    </row>
    <row r="299" spans="11:23">
      <c r="K299" s="130">
        <v>294</v>
      </c>
      <c r="L299" s="108">
        <v>-7.9048589479536577</v>
      </c>
      <c r="M299" s="107">
        <v>0.30208801134024793</v>
      </c>
      <c r="N299" s="96">
        <v>0.23978817718334194</v>
      </c>
      <c r="O299" s="96">
        <v>1.4728393663601933</v>
      </c>
      <c r="P299" s="132">
        <v>5.243983106280953</v>
      </c>
      <c r="W299" s="115">
        <f t="shared" si="18"/>
        <v>5.243983106280953</v>
      </c>
    </row>
    <row r="300" spans="11:23">
      <c r="K300" s="130">
        <v>295</v>
      </c>
      <c r="L300" s="108">
        <v>10.111954837674469</v>
      </c>
      <c r="M300" s="107">
        <v>0.36006759316586251</v>
      </c>
      <c r="N300" s="96">
        <v>0.28211732605393985</v>
      </c>
      <c r="O300" s="96">
        <v>1.2802953481816384</v>
      </c>
      <c r="P300" s="132">
        <v>1.1461018004673855</v>
      </c>
      <c r="W300" s="115">
        <f t="shared" si="18"/>
        <v>1.1461018004673855</v>
      </c>
    </row>
    <row r="301" spans="11:23">
      <c r="K301" s="130">
        <v>296</v>
      </c>
      <c r="L301" s="108">
        <v>6.1221085760142699</v>
      </c>
      <c r="M301" s="107">
        <v>0.33224253943911408</v>
      </c>
      <c r="N301" s="96">
        <v>0.306257732736605</v>
      </c>
      <c r="O301" s="96">
        <v>1.239106266058815</v>
      </c>
      <c r="P301" s="132">
        <v>5.4095109775260939</v>
      </c>
      <c r="W301" s="115">
        <f t="shared" si="18"/>
        <v>5.4095109775260939</v>
      </c>
    </row>
    <row r="302" spans="11:23">
      <c r="K302" s="130">
        <v>297</v>
      </c>
      <c r="L302" s="108">
        <v>-6.0576966756017949</v>
      </c>
      <c r="M302" s="107">
        <v>0.31350664622668961</v>
      </c>
      <c r="N302" s="96">
        <v>0.3170247339713399</v>
      </c>
      <c r="O302" s="96">
        <v>1.427524445081263</v>
      </c>
      <c r="P302" s="132">
        <v>13.889756147722311</v>
      </c>
      <c r="W302" s="115">
        <f t="shared" si="18"/>
        <v>13.889756147722311</v>
      </c>
    </row>
    <row r="303" spans="11:23">
      <c r="K303" s="130">
        <v>298</v>
      </c>
      <c r="L303" s="108">
        <v>-4.7007964216985103</v>
      </c>
      <c r="M303" s="107">
        <v>0.33574176214156565</v>
      </c>
      <c r="N303" s="96">
        <v>0.28644904760905116</v>
      </c>
      <c r="O303" s="96">
        <v>1.0908730961955639</v>
      </c>
      <c r="P303" s="132">
        <v>0.42280962617831813</v>
      </c>
      <c r="W303" s="115">
        <f t="shared" si="18"/>
        <v>0.42280962617831813</v>
      </c>
    </row>
    <row r="304" spans="11:23">
      <c r="K304" s="130">
        <v>299</v>
      </c>
      <c r="L304" s="108">
        <v>-1.4284521834110828</v>
      </c>
      <c r="M304" s="107">
        <v>0.3076111901939711</v>
      </c>
      <c r="N304" s="96">
        <v>0.26998366498472137</v>
      </c>
      <c r="O304" s="96">
        <v>1.2184724927709902</v>
      </c>
      <c r="P304" s="132">
        <v>2.9685161594381646</v>
      </c>
      <c r="W304" s="115">
        <f t="shared" si="18"/>
        <v>2.9685161594381646</v>
      </c>
    </row>
    <row r="305" spans="11:23">
      <c r="K305" s="130">
        <v>300</v>
      </c>
      <c r="L305" s="108">
        <v>-2.9866477821057735</v>
      </c>
      <c r="M305" s="107">
        <v>0.33367478066453526</v>
      </c>
      <c r="N305" s="96">
        <v>0.28961494715127178</v>
      </c>
      <c r="O305" s="96">
        <v>1.5175601856894176</v>
      </c>
      <c r="P305" s="132">
        <v>9.6022627149881696</v>
      </c>
      <c r="W305" s="115">
        <f t="shared" si="18"/>
        <v>9.6022627149881696</v>
      </c>
    </row>
    <row r="306" spans="11:23">
      <c r="K306" s="130">
        <v>301</v>
      </c>
      <c r="L306" s="108">
        <v>1.7162378454713985</v>
      </c>
      <c r="M306" s="107">
        <v>0.31812419842637729</v>
      </c>
      <c r="N306" s="96">
        <v>0.24277453466180368</v>
      </c>
      <c r="O306" s="96">
        <v>0.91492625394660831</v>
      </c>
      <c r="P306" s="132">
        <v>0.1126380666793376</v>
      </c>
      <c r="W306" s="115">
        <f t="shared" si="18"/>
        <v>0.1126380666793376</v>
      </c>
    </row>
    <row r="307" spans="11:23">
      <c r="K307" s="130">
        <v>302</v>
      </c>
      <c r="L307" s="108">
        <v>-7.3230662260130899</v>
      </c>
      <c r="M307" s="107">
        <v>0.32455324761716553</v>
      </c>
      <c r="N307" s="96">
        <v>0.30793981769700551</v>
      </c>
      <c r="O307" s="96">
        <v>1.3295093905685347</v>
      </c>
      <c r="P307" s="132">
        <v>8.9489133153369274</v>
      </c>
      <c r="W307" s="115">
        <f t="shared" si="18"/>
        <v>8.9489133153369274</v>
      </c>
    </row>
    <row r="308" spans="11:23">
      <c r="K308" s="130">
        <v>303</v>
      </c>
      <c r="L308" s="108">
        <v>-1.8334905176301746</v>
      </c>
      <c r="M308" s="107">
        <v>0.3608261947366464</v>
      </c>
      <c r="N308" s="96">
        <v>0.2798068437056711</v>
      </c>
      <c r="O308" s="96">
        <v>1.1809032477246768</v>
      </c>
      <c r="P308" s="132">
        <v>0.3422443139486841</v>
      </c>
      <c r="W308" s="115">
        <f t="shared" si="18"/>
        <v>0.3422443139486841</v>
      </c>
    </row>
    <row r="309" spans="11:23">
      <c r="K309" s="130">
        <v>304</v>
      </c>
      <c r="L309" s="108">
        <v>11.033061974529829</v>
      </c>
      <c r="M309" s="107">
        <v>0.32051447023098384</v>
      </c>
      <c r="N309" s="96">
        <v>0.2490215608343585</v>
      </c>
      <c r="O309" s="96">
        <v>0.92053651093733102</v>
      </c>
      <c r="P309" s="132">
        <v>0.11866839659233808</v>
      </c>
      <c r="W309" s="115">
        <f t="shared" si="18"/>
        <v>0.11866839659233808</v>
      </c>
    </row>
    <row r="310" spans="11:23">
      <c r="K310" s="130">
        <v>305</v>
      </c>
      <c r="L310" s="108">
        <v>6.8015805302837933</v>
      </c>
      <c r="M310" s="107">
        <v>0.33151941506262222</v>
      </c>
      <c r="N310" s="96">
        <v>0.32261693501110966</v>
      </c>
      <c r="O310" s="96">
        <v>0.99185017500215722</v>
      </c>
      <c r="P310" s="132">
        <v>0.68463983303214537</v>
      </c>
      <c r="W310" s="115">
        <f t="shared" si="18"/>
        <v>0.68463983303214537</v>
      </c>
    </row>
    <row r="311" spans="11:23">
      <c r="K311" s="130">
        <v>306</v>
      </c>
      <c r="L311" s="108">
        <v>2.200308596463513</v>
      </c>
      <c r="M311" s="107">
        <v>0.34580714585336653</v>
      </c>
      <c r="N311" s="96">
        <v>0.25098764108922023</v>
      </c>
      <c r="O311" s="96">
        <v>1.4986378527155837</v>
      </c>
      <c r="P311" s="132">
        <v>3.0267130061516889</v>
      </c>
      <c r="W311" s="115">
        <f t="shared" si="18"/>
        <v>3.0267130061516889</v>
      </c>
    </row>
    <row r="312" spans="11:23">
      <c r="K312" s="130">
        <v>307</v>
      </c>
      <c r="L312" s="108">
        <v>1.6399324165239242</v>
      </c>
      <c r="M312" s="107">
        <v>0.31079201763022296</v>
      </c>
      <c r="N312" s="96">
        <v>0.31945608372433487</v>
      </c>
      <c r="O312" s="96">
        <v>1.2487273707895676</v>
      </c>
      <c r="P312" s="132">
        <v>10.146753944022212</v>
      </c>
      <c r="W312" s="115">
        <f t="shared" si="18"/>
        <v>10.146753944022212</v>
      </c>
    </row>
    <row r="313" spans="11:23">
      <c r="K313" s="130">
        <v>308</v>
      </c>
      <c r="L313" s="108">
        <v>-2.2980354737261788</v>
      </c>
      <c r="M313" s="107">
        <v>0.33386020329759059</v>
      </c>
      <c r="N313" s="96">
        <v>0.3578703217285274</v>
      </c>
      <c r="O313" s="96">
        <v>1.489202430383437</v>
      </c>
      <c r="P313" s="132">
        <v>19.157075143875158</v>
      </c>
      <c r="W313" s="115">
        <f t="shared" si="18"/>
        <v>19.157075143875158</v>
      </c>
    </row>
    <row r="314" spans="11:23">
      <c r="K314" s="130">
        <v>309</v>
      </c>
      <c r="L314" s="108">
        <v>2.5747707831735891</v>
      </c>
      <c r="M314" s="107">
        <v>0.33730620361803071</v>
      </c>
      <c r="N314" s="96">
        <v>0.28902886182614468</v>
      </c>
      <c r="O314" s="96">
        <v>1.1864782704538837</v>
      </c>
      <c r="P314" s="132">
        <v>1.5072042208196255</v>
      </c>
      <c r="W314" s="115">
        <f t="shared" si="18"/>
        <v>1.5072042208196255</v>
      </c>
    </row>
    <row r="315" spans="11:23">
      <c r="K315" s="130">
        <v>310</v>
      </c>
      <c r="L315" s="108">
        <v>-4.8332678916495055</v>
      </c>
      <c r="M315" s="107">
        <v>0.3267694334035337</v>
      </c>
      <c r="N315" s="96">
        <v>0.30979078642392249</v>
      </c>
      <c r="O315" s="96">
        <v>1.274030349709075</v>
      </c>
      <c r="P315" s="132">
        <v>7.4864380630934209</v>
      </c>
      <c r="W315" s="115">
        <f t="shared" si="18"/>
        <v>7.4864380630934209</v>
      </c>
    </row>
    <row r="316" spans="11:23">
      <c r="K316" s="130">
        <v>311</v>
      </c>
      <c r="L316" s="108">
        <v>-5.8713392954009418</v>
      </c>
      <c r="M316" s="107">
        <v>0.35809268509055714</v>
      </c>
      <c r="N316" s="96">
        <v>0.3245777804384623</v>
      </c>
      <c r="O316" s="96">
        <v>1.2456587807714172</v>
      </c>
      <c r="P316" s="132">
        <v>5.0329377688056072</v>
      </c>
      <c r="W316" s="115">
        <f t="shared" si="18"/>
        <v>5.0329377688056072</v>
      </c>
    </row>
    <row r="317" spans="11:23">
      <c r="K317" s="130">
        <v>312</v>
      </c>
      <c r="L317" s="108">
        <v>-4.514572267218397</v>
      </c>
      <c r="M317" s="107">
        <v>0.31363204992017552</v>
      </c>
      <c r="N317" s="96">
        <v>0.30132060181250425</v>
      </c>
      <c r="O317" s="96">
        <v>1.1521422269299515</v>
      </c>
      <c r="P317" s="132">
        <v>4.4273041679812275</v>
      </c>
      <c r="W317" s="115">
        <f t="shared" si="18"/>
        <v>4.4273041679812275</v>
      </c>
    </row>
    <row r="318" spans="11:23">
      <c r="K318" s="130">
        <v>313</v>
      </c>
      <c r="L318" s="108">
        <v>8.6149537794376307</v>
      </c>
      <c r="M318" s="107">
        <v>0.3311093547769528</v>
      </c>
      <c r="N318" s="96">
        <v>0.27198344392372209</v>
      </c>
      <c r="O318" s="96">
        <v>1.1319767453803333</v>
      </c>
      <c r="P318" s="132">
        <v>0.4207797996554547</v>
      </c>
      <c r="W318" s="115">
        <f t="shared" si="18"/>
        <v>0.4207797996554547</v>
      </c>
    </row>
    <row r="319" spans="11:23">
      <c r="K319" s="130">
        <v>314</v>
      </c>
      <c r="L319" s="108">
        <v>-0.73651920524875947</v>
      </c>
      <c r="M319" s="107">
        <v>0.34120313362313931</v>
      </c>
      <c r="N319" s="96">
        <v>0.29250489413599617</v>
      </c>
      <c r="O319" s="96">
        <v>1.3127915616534835</v>
      </c>
      <c r="P319" s="132">
        <v>4.6065368723522555</v>
      </c>
      <c r="W319" s="115">
        <f t="shared" si="18"/>
        <v>4.6065368723522555</v>
      </c>
    </row>
    <row r="320" spans="11:23">
      <c r="K320" s="130">
        <v>315</v>
      </c>
      <c r="L320" s="108">
        <v>0.63771518827630536</v>
      </c>
      <c r="M320" s="107">
        <v>0.35000134404315031</v>
      </c>
      <c r="N320" s="96">
        <v>0.27659021308263321</v>
      </c>
      <c r="O320" s="96">
        <v>1.4009032021012633</v>
      </c>
      <c r="P320" s="132">
        <v>3.8017568686598273</v>
      </c>
      <c r="W320" s="115">
        <f t="shared" si="18"/>
        <v>3.8017568686598273</v>
      </c>
    </row>
    <row r="321" spans="11:23">
      <c r="K321" s="130">
        <v>316</v>
      </c>
      <c r="L321" s="108">
        <v>6.5119023981988091</v>
      </c>
      <c r="M321" s="107">
        <v>0.32051903980306468</v>
      </c>
      <c r="N321" s="96">
        <v>0.24263953718410139</v>
      </c>
      <c r="O321" s="96">
        <v>1.0416457598947444</v>
      </c>
      <c r="P321" s="132">
        <v>0.15912389558635529</v>
      </c>
      <c r="W321" s="115">
        <f t="shared" si="18"/>
        <v>0.15912389558635529</v>
      </c>
    </row>
    <row r="322" spans="11:23">
      <c r="K322" s="130">
        <v>317</v>
      </c>
      <c r="L322" s="108">
        <v>-2.8000692801472655</v>
      </c>
      <c r="M322" s="107">
        <v>0.31315045252770374</v>
      </c>
      <c r="N322" s="96">
        <v>0.34390646120882445</v>
      </c>
      <c r="O322" s="96">
        <v>1.0410654967501021</v>
      </c>
      <c r="P322" s="132">
        <v>6.3264130768897884</v>
      </c>
      <c r="W322" s="115">
        <f t="shared" si="18"/>
        <v>6.3264130768897884</v>
      </c>
    </row>
    <row r="323" spans="11:23">
      <c r="K323" s="130">
        <v>318</v>
      </c>
      <c r="L323" s="108">
        <v>-1.9664001519580219</v>
      </c>
      <c r="M323" s="107">
        <v>0.32412735226132161</v>
      </c>
      <c r="N323" s="96">
        <v>0.27709817384791557</v>
      </c>
      <c r="O323" s="96">
        <v>1.2501855322486359</v>
      </c>
      <c r="P323" s="132">
        <v>2.9077284662867315</v>
      </c>
      <c r="W323" s="115">
        <f t="shared" si="18"/>
        <v>2.9077284662867315</v>
      </c>
    </row>
    <row r="324" spans="11:23">
      <c r="K324" s="130">
        <v>319</v>
      </c>
      <c r="L324" s="108">
        <v>3.3461016008076734</v>
      </c>
      <c r="M324" s="107">
        <v>0.32919530615803433</v>
      </c>
      <c r="N324" s="96">
        <v>0.27130514265602257</v>
      </c>
      <c r="O324" s="96">
        <v>1.2586246176546454</v>
      </c>
      <c r="P324" s="132">
        <v>1.973976553660888</v>
      </c>
      <c r="W324" s="115">
        <f t="shared" si="18"/>
        <v>1.973976553660888</v>
      </c>
    </row>
    <row r="325" spans="11:23">
      <c r="K325" s="130">
        <v>320</v>
      </c>
      <c r="L325" s="108">
        <v>5.7869481311329967</v>
      </c>
      <c r="M325" s="107">
        <v>0.33996238426751774</v>
      </c>
      <c r="N325" s="96">
        <v>0.28974481831277704</v>
      </c>
      <c r="O325" s="96">
        <v>1.1918014850129022</v>
      </c>
      <c r="P325" s="132">
        <v>1.4802868652050667</v>
      </c>
      <c r="W325" s="115">
        <f t="shared" si="18"/>
        <v>1.4802868652050667</v>
      </c>
    </row>
    <row r="326" spans="11:23">
      <c r="K326" s="130">
        <v>321</v>
      </c>
      <c r="L326" s="108">
        <v>-5.2190314730920413</v>
      </c>
      <c r="M326" s="107">
        <v>0.32502322384927029</v>
      </c>
      <c r="N326" s="96">
        <v>0.25165047385071559</v>
      </c>
      <c r="O326" s="96">
        <v>1.4814110069363902</v>
      </c>
      <c r="P326" s="132">
        <v>4.6817160480105651</v>
      </c>
      <c r="W326" s="115">
        <f t="shared" ref="W326:W389" si="19">P326</f>
        <v>4.6817160480105651</v>
      </c>
    </row>
    <row r="327" spans="11:23">
      <c r="K327" s="130">
        <v>322</v>
      </c>
      <c r="L327" s="108">
        <v>0.44127496844310754</v>
      </c>
      <c r="M327" s="107">
        <v>0.32489729301754994</v>
      </c>
      <c r="N327" s="96">
        <v>0.26842781025911361</v>
      </c>
      <c r="O327" s="96">
        <v>1.4068626691400981</v>
      </c>
      <c r="P327" s="132">
        <v>5.3826181527359429</v>
      </c>
      <c r="W327" s="115">
        <f t="shared" si="19"/>
        <v>5.3826181527359429</v>
      </c>
    </row>
    <row r="328" spans="11:23">
      <c r="K328" s="130">
        <v>323</v>
      </c>
      <c r="L328" s="108">
        <v>-11.952080042322432</v>
      </c>
      <c r="M328" s="107">
        <v>0.29150260330916899</v>
      </c>
      <c r="N328" s="96">
        <v>0.32803671880493251</v>
      </c>
      <c r="O328" s="96">
        <v>1.114477080336763</v>
      </c>
      <c r="P328" s="132">
        <v>9.9865015795373715</v>
      </c>
      <c r="W328" s="115">
        <f t="shared" si="19"/>
        <v>9.9865015795373715</v>
      </c>
    </row>
    <row r="329" spans="11:23">
      <c r="K329" s="130">
        <v>324</v>
      </c>
      <c r="L329" s="108">
        <v>-10.061053204898846</v>
      </c>
      <c r="M329" s="107">
        <v>0.31794192559175788</v>
      </c>
      <c r="N329" s="96">
        <v>0.3325748300831039</v>
      </c>
      <c r="O329" s="96">
        <v>1.0718869242345426</v>
      </c>
      <c r="P329" s="132">
        <v>5.3051729234721288</v>
      </c>
      <c r="W329" s="115">
        <f t="shared" si="19"/>
        <v>5.3051729234721288</v>
      </c>
    </row>
    <row r="330" spans="11:23">
      <c r="K330" s="130">
        <v>325</v>
      </c>
      <c r="L330" s="108">
        <v>7.0256761879803227</v>
      </c>
      <c r="M330" s="107">
        <v>0.32639462955048365</v>
      </c>
      <c r="N330" s="96">
        <v>0.32822526334572288</v>
      </c>
      <c r="O330" s="96">
        <v>1.2260805056930832</v>
      </c>
      <c r="P330" s="132">
        <v>8.672878719271484</v>
      </c>
      <c r="W330" s="115">
        <f t="shared" si="19"/>
        <v>8.672878719271484</v>
      </c>
    </row>
    <row r="331" spans="11:23">
      <c r="K331" s="130">
        <v>326</v>
      </c>
      <c r="L331" s="108">
        <v>-2.2855169535268067</v>
      </c>
      <c r="M331" s="107">
        <v>0.3546520669959235</v>
      </c>
      <c r="N331" s="96">
        <v>0.29156722298493798</v>
      </c>
      <c r="O331" s="96">
        <v>1.5656633066197818</v>
      </c>
      <c r="P331" s="132">
        <v>8.6417809725166119</v>
      </c>
      <c r="W331" s="115">
        <f t="shared" si="19"/>
        <v>8.6417809725166119</v>
      </c>
    </row>
    <row r="332" spans="11:23">
      <c r="K332" s="130">
        <v>327</v>
      </c>
      <c r="L332" s="108">
        <v>1.2565319957338699</v>
      </c>
      <c r="M332" s="107">
        <v>0.33666516364735677</v>
      </c>
      <c r="N332" s="96">
        <v>0.30602831214638737</v>
      </c>
      <c r="O332" s="96">
        <v>1.3112001303417591</v>
      </c>
      <c r="P332" s="132">
        <v>6.8101625695295871</v>
      </c>
      <c r="W332" s="115">
        <f t="shared" si="19"/>
        <v>6.8101625695295871</v>
      </c>
    </row>
    <row r="333" spans="11:23">
      <c r="K333" s="130">
        <v>328</v>
      </c>
      <c r="L333" s="108">
        <v>-9.7780465846511682</v>
      </c>
      <c r="M333" s="107">
        <v>0.332336110401176</v>
      </c>
      <c r="N333" s="96">
        <v>0.27044711255616688</v>
      </c>
      <c r="O333" s="96">
        <v>1.3551196678660675</v>
      </c>
      <c r="P333" s="132">
        <v>3.7382261409955899</v>
      </c>
      <c r="W333" s="115">
        <f t="shared" si="19"/>
        <v>3.7382261409955899</v>
      </c>
    </row>
    <row r="334" spans="11:23">
      <c r="K334" s="130">
        <v>329</v>
      </c>
      <c r="L334" s="108">
        <v>2.2187583507035593</v>
      </c>
      <c r="M334" s="107">
        <v>0.33438698298317104</v>
      </c>
      <c r="N334" s="96">
        <v>0.29251534109148974</v>
      </c>
      <c r="O334" s="96">
        <v>1.0056993183594591</v>
      </c>
      <c r="P334" s="132">
        <v>0.26485337855628405</v>
      </c>
      <c r="W334" s="115">
        <f t="shared" si="19"/>
        <v>0.26485337855628405</v>
      </c>
    </row>
    <row r="335" spans="11:23">
      <c r="K335" s="130">
        <v>330</v>
      </c>
      <c r="L335" s="108">
        <v>-9.1005084834580536</v>
      </c>
      <c r="M335" s="107">
        <v>0.32684696379078354</v>
      </c>
      <c r="N335" s="96">
        <v>0.29508642280844805</v>
      </c>
      <c r="O335" s="96">
        <v>1.2657101715561248</v>
      </c>
      <c r="P335" s="132">
        <v>5.2956486521350072</v>
      </c>
      <c r="W335" s="115">
        <f t="shared" si="19"/>
        <v>5.2956486521350072</v>
      </c>
    </row>
    <row r="336" spans="11:23">
      <c r="K336" s="130">
        <v>331</v>
      </c>
      <c r="L336" s="108">
        <v>-1.8756780415226495</v>
      </c>
      <c r="M336" s="107">
        <v>0.33927559167465304</v>
      </c>
      <c r="N336" s="96">
        <v>0.27307177287727263</v>
      </c>
      <c r="O336" s="96">
        <v>1.4863651855967157</v>
      </c>
      <c r="P336" s="132">
        <v>6.1829537808711947</v>
      </c>
      <c r="W336" s="115">
        <f t="shared" si="19"/>
        <v>6.1829537808711947</v>
      </c>
    </row>
    <row r="337" spans="11:23">
      <c r="K337" s="130">
        <v>332</v>
      </c>
      <c r="L337" s="108">
        <v>3.1128604940890954</v>
      </c>
      <c r="M337" s="107">
        <v>0.34469832513468468</v>
      </c>
      <c r="N337" s="96">
        <v>0.30931764089169561</v>
      </c>
      <c r="O337" s="96">
        <v>1.4132074482658259</v>
      </c>
      <c r="P337" s="132">
        <v>8.8312161716106505</v>
      </c>
      <c r="W337" s="115">
        <f t="shared" si="19"/>
        <v>8.8312161716106505</v>
      </c>
    </row>
    <row r="338" spans="11:23">
      <c r="K338" s="130">
        <v>333</v>
      </c>
      <c r="L338" s="108">
        <v>-3.759165721072744</v>
      </c>
      <c r="M338" s="107">
        <v>0.31603402429088007</v>
      </c>
      <c r="N338" s="96">
        <v>0.27822410286661525</v>
      </c>
      <c r="O338" s="96">
        <v>1.0173824145062518</v>
      </c>
      <c r="P338" s="132">
        <v>0.3131104066178797</v>
      </c>
      <c r="W338" s="115">
        <f t="shared" si="19"/>
        <v>0.3131104066178797</v>
      </c>
    </row>
    <row r="339" spans="11:23">
      <c r="K339" s="130">
        <v>334</v>
      </c>
      <c r="L339" s="108">
        <v>-13.312762651646912</v>
      </c>
      <c r="M339" s="107">
        <v>0.32710461206296687</v>
      </c>
      <c r="N339" s="96">
        <v>0.30795614310169273</v>
      </c>
      <c r="O339" s="96">
        <v>1.376685066415245</v>
      </c>
      <c r="P339" s="132">
        <v>9.7982439793556022</v>
      </c>
      <c r="W339" s="115">
        <f t="shared" si="19"/>
        <v>9.7982439793556022</v>
      </c>
    </row>
    <row r="340" spans="11:23">
      <c r="K340" s="130">
        <v>335</v>
      </c>
      <c r="L340" s="108">
        <v>4.255087749571782</v>
      </c>
      <c r="M340" s="107">
        <v>0.35237800507881589</v>
      </c>
      <c r="N340" s="96">
        <v>0.27121654475774903</v>
      </c>
      <c r="O340" s="96">
        <v>1.3712131345052045</v>
      </c>
      <c r="P340" s="132">
        <v>2.3432101635525919</v>
      </c>
      <c r="W340" s="115">
        <f t="shared" si="19"/>
        <v>2.3432101635525919</v>
      </c>
    </row>
    <row r="341" spans="11:23">
      <c r="K341" s="130">
        <v>336</v>
      </c>
      <c r="L341" s="108">
        <v>9.9449038002052692</v>
      </c>
      <c r="M341" s="107">
        <v>0.32862722496030566</v>
      </c>
      <c r="N341" s="96">
        <v>0.32465447377049306</v>
      </c>
      <c r="O341" s="96">
        <v>1.4282183055728019</v>
      </c>
      <c r="P341" s="132">
        <v>13.119120499640049</v>
      </c>
      <c r="W341" s="115">
        <f t="shared" si="19"/>
        <v>13.119120499640049</v>
      </c>
    </row>
    <row r="342" spans="11:23">
      <c r="K342" s="130">
        <v>337</v>
      </c>
      <c r="L342" s="108">
        <v>8.8970387833942031</v>
      </c>
      <c r="M342" s="107">
        <v>0.33055257078605904</v>
      </c>
      <c r="N342" s="96">
        <v>0.2930875276225724</v>
      </c>
      <c r="O342" s="96">
        <v>0.88552896697862993</v>
      </c>
      <c r="P342" s="132">
        <v>0.15339483566773757</v>
      </c>
      <c r="W342" s="115">
        <f t="shared" si="19"/>
        <v>0.15339483566773757</v>
      </c>
    </row>
    <row r="343" spans="11:23">
      <c r="K343" s="130">
        <v>338</v>
      </c>
      <c r="L343" s="108">
        <v>13.003137801832393</v>
      </c>
      <c r="M343" s="107">
        <v>0.33389239178549257</v>
      </c>
      <c r="N343" s="96">
        <v>0.30626583732725438</v>
      </c>
      <c r="O343" s="96">
        <v>1.5253937428525606</v>
      </c>
      <c r="P343" s="132">
        <v>12.020862667181131</v>
      </c>
      <c r="W343" s="115">
        <f t="shared" si="19"/>
        <v>12.020862667181131</v>
      </c>
    </row>
    <row r="344" spans="11:23">
      <c r="K344" s="130">
        <v>339</v>
      </c>
      <c r="L344" s="108">
        <v>-3.1232913580329154</v>
      </c>
      <c r="M344" s="107">
        <v>0.34150428274516198</v>
      </c>
      <c r="N344" s="96">
        <v>0.24206407300424429</v>
      </c>
      <c r="O344" s="96">
        <v>1.2211705880639832</v>
      </c>
      <c r="P344" s="132">
        <v>0.23395764187157372</v>
      </c>
      <c r="W344" s="115">
        <f t="shared" si="19"/>
        <v>0.23395764187157372</v>
      </c>
    </row>
    <row r="345" spans="11:23">
      <c r="K345" s="130">
        <v>340</v>
      </c>
      <c r="L345" s="108">
        <v>6.6144564507229653</v>
      </c>
      <c r="M345" s="107">
        <v>0.32511843125561363</v>
      </c>
      <c r="N345" s="96">
        <v>0.2620090826861135</v>
      </c>
      <c r="O345" s="96">
        <v>1.1782797472444884</v>
      </c>
      <c r="P345" s="132">
        <v>0.53652932100555484</v>
      </c>
      <c r="W345" s="115">
        <f t="shared" si="19"/>
        <v>0.53652932100555484</v>
      </c>
    </row>
    <row r="346" spans="11:23">
      <c r="K346" s="130">
        <v>341</v>
      </c>
      <c r="L346" s="108">
        <v>-2.3429404588294385</v>
      </c>
      <c r="M346" s="107">
        <v>0.32343741076806026</v>
      </c>
      <c r="N346" s="96">
        <v>0.32129724513114666</v>
      </c>
      <c r="O346" s="96">
        <v>1.4092073566743364</v>
      </c>
      <c r="P346" s="132">
        <v>12.848707943376958</v>
      </c>
      <c r="W346" s="115">
        <f t="shared" si="19"/>
        <v>12.848707943376958</v>
      </c>
    </row>
    <row r="347" spans="11:23">
      <c r="K347" s="130">
        <v>342</v>
      </c>
      <c r="L347" s="108">
        <v>3.3293182289410734</v>
      </c>
      <c r="M347" s="107">
        <v>0.30723307403532912</v>
      </c>
      <c r="N347" s="96">
        <v>0.25893850193144813</v>
      </c>
      <c r="O347" s="96">
        <v>1.0807373306125507</v>
      </c>
      <c r="P347" s="132">
        <v>0.36474422373216642</v>
      </c>
      <c r="W347" s="115">
        <f t="shared" si="19"/>
        <v>0.36474422373216642</v>
      </c>
    </row>
    <row r="348" spans="11:23">
      <c r="K348" s="130">
        <v>343</v>
      </c>
      <c r="L348" s="108">
        <v>-2.9904858821265012</v>
      </c>
      <c r="M348" s="107">
        <v>0.32909817028506205</v>
      </c>
      <c r="N348" s="96">
        <v>0.27512760987560314</v>
      </c>
      <c r="O348" s="96">
        <v>1.4712633083119517</v>
      </c>
      <c r="P348" s="132">
        <v>7.1932195998708917</v>
      </c>
      <c r="W348" s="115">
        <f t="shared" si="19"/>
        <v>7.1932195998708917</v>
      </c>
    </row>
    <row r="349" spans="11:23">
      <c r="K349" s="130">
        <v>344</v>
      </c>
      <c r="L349" s="108">
        <v>-5.0152375127733162</v>
      </c>
      <c r="M349" s="107">
        <v>0.31345497821486162</v>
      </c>
      <c r="N349" s="96">
        <v>0.23392381407353796</v>
      </c>
      <c r="O349" s="96">
        <v>1.2338820427250226</v>
      </c>
      <c r="P349" s="132">
        <v>0.39266882387886859</v>
      </c>
      <c r="W349" s="115">
        <f t="shared" si="19"/>
        <v>0.39266882387886859</v>
      </c>
    </row>
    <row r="350" spans="11:23">
      <c r="K350" s="130">
        <v>345</v>
      </c>
      <c r="L350" s="108">
        <v>10.562035747555472</v>
      </c>
      <c r="M350" s="107">
        <v>0.32829124934145698</v>
      </c>
      <c r="N350" s="96">
        <v>0.3031295513674378</v>
      </c>
      <c r="O350" s="96">
        <v>1.0374238717591489</v>
      </c>
      <c r="P350" s="132">
        <v>0.61131074940216679</v>
      </c>
      <c r="W350" s="115">
        <f t="shared" si="19"/>
        <v>0.61131074940216679</v>
      </c>
    </row>
    <row r="351" spans="11:23">
      <c r="K351" s="130">
        <v>346</v>
      </c>
      <c r="L351" s="108">
        <v>-1.221081595956401</v>
      </c>
      <c r="M351" s="107">
        <v>0.3322799131636005</v>
      </c>
      <c r="N351" s="96">
        <v>0.32821436092484435</v>
      </c>
      <c r="O351" s="96">
        <v>1.1929827465169311</v>
      </c>
      <c r="P351" s="132">
        <v>6.9317420174351199</v>
      </c>
      <c r="W351" s="115">
        <f t="shared" si="19"/>
        <v>6.9317420174351199</v>
      </c>
    </row>
    <row r="352" spans="11:23">
      <c r="K352" s="130">
        <v>347</v>
      </c>
      <c r="L352" s="108">
        <v>-1.71240739456062</v>
      </c>
      <c r="M352" s="107">
        <v>0.32651793034265642</v>
      </c>
      <c r="N352" s="96">
        <v>0.27876464843573912</v>
      </c>
      <c r="O352" s="96">
        <v>1.4129744932519996</v>
      </c>
      <c r="P352" s="132">
        <v>6.7240604028849704</v>
      </c>
      <c r="W352" s="115">
        <f t="shared" si="19"/>
        <v>6.7240604028849704</v>
      </c>
    </row>
    <row r="353" spans="11:23">
      <c r="K353" s="130">
        <v>348</v>
      </c>
      <c r="L353" s="108">
        <v>-1.5967756797093036</v>
      </c>
      <c r="M353" s="107">
        <v>0.31339227986459284</v>
      </c>
      <c r="N353" s="96">
        <v>0.24575212555669995</v>
      </c>
      <c r="O353" s="96">
        <v>1.2603785897951028</v>
      </c>
      <c r="P353" s="132">
        <v>0.94026840956239066</v>
      </c>
      <c r="W353" s="115">
        <f t="shared" si="19"/>
        <v>0.94026840956239066</v>
      </c>
    </row>
    <row r="354" spans="11:23">
      <c r="K354" s="130">
        <v>349</v>
      </c>
      <c r="L354" s="108">
        <v>13.708562647237128</v>
      </c>
      <c r="M354" s="107">
        <v>0.35202243876068384</v>
      </c>
      <c r="N354" s="96">
        <v>0.2872372783773483</v>
      </c>
      <c r="O354" s="96">
        <v>0.74956542925403635</v>
      </c>
      <c r="P354" s="132">
        <v>8.1222960271825392E-2</v>
      </c>
      <c r="W354" s="115">
        <f t="shared" si="19"/>
        <v>8.1222960271825392E-2</v>
      </c>
    </row>
    <row r="355" spans="11:23">
      <c r="K355" s="130">
        <v>350</v>
      </c>
      <c r="L355" s="108">
        <v>6.4043699973176604E-2</v>
      </c>
      <c r="M355" s="107">
        <v>0.32851663514054441</v>
      </c>
      <c r="N355" s="96">
        <v>0.30937394505479615</v>
      </c>
      <c r="O355" s="96">
        <v>1.2440014407614111</v>
      </c>
      <c r="P355" s="132">
        <v>6.3932324756937096</v>
      </c>
      <c r="W355" s="115">
        <f t="shared" si="19"/>
        <v>6.3932324756937096</v>
      </c>
    </row>
    <row r="356" spans="11:23">
      <c r="K356" s="130">
        <v>351</v>
      </c>
      <c r="L356" s="108">
        <v>-7.8018270765328204</v>
      </c>
      <c r="M356" s="107">
        <v>0.33460659523523339</v>
      </c>
      <c r="N356" s="96">
        <v>0.32294448179347474</v>
      </c>
      <c r="O356" s="96">
        <v>1.0976469231240693</v>
      </c>
      <c r="P356" s="132">
        <v>2.932979236243662</v>
      </c>
      <c r="W356" s="115">
        <f t="shared" si="19"/>
        <v>2.932979236243662</v>
      </c>
    </row>
    <row r="357" spans="11:23">
      <c r="K357" s="130">
        <v>352</v>
      </c>
      <c r="L357" s="108">
        <v>0.2731159885780764</v>
      </c>
      <c r="M357" s="107">
        <v>0.33133709562957825</v>
      </c>
      <c r="N357" s="96">
        <v>0.25868501850154946</v>
      </c>
      <c r="O357" s="96">
        <v>1.405612447380197</v>
      </c>
      <c r="P357" s="132">
        <v>3.4564727601091203</v>
      </c>
      <c r="W357" s="115">
        <f t="shared" si="19"/>
        <v>3.4564727601091203</v>
      </c>
    </row>
    <row r="358" spans="11:23">
      <c r="K358" s="130">
        <v>353</v>
      </c>
      <c r="L358" s="108">
        <v>0.64951393545245162</v>
      </c>
      <c r="M358" s="107">
        <v>0.32514876427796757</v>
      </c>
      <c r="N358" s="96">
        <v>0.3091076099137921</v>
      </c>
      <c r="O358" s="96">
        <v>1.0926172997797017</v>
      </c>
      <c r="P358" s="132">
        <v>2.2353426957354459</v>
      </c>
      <c r="W358" s="115">
        <f t="shared" si="19"/>
        <v>2.2353426957354459</v>
      </c>
    </row>
    <row r="359" spans="11:23">
      <c r="K359" s="130">
        <v>354</v>
      </c>
      <c r="L359" s="108">
        <v>-6.1789160570881014</v>
      </c>
      <c r="M359" s="107">
        <v>0.33050410692123089</v>
      </c>
      <c r="N359" s="96">
        <v>0.33615094511681565</v>
      </c>
      <c r="O359" s="96">
        <v>1.5697325378967524</v>
      </c>
      <c r="P359" s="132">
        <v>18.065479870064191</v>
      </c>
      <c r="W359" s="115">
        <f t="shared" si="19"/>
        <v>18.065479870064191</v>
      </c>
    </row>
    <row r="360" spans="11:23">
      <c r="K360" s="130">
        <v>355</v>
      </c>
      <c r="L360" s="108">
        <v>-2.0063729399929091</v>
      </c>
      <c r="M360" s="107">
        <v>0.32709281805347529</v>
      </c>
      <c r="N360" s="96">
        <v>0.3061422664689965</v>
      </c>
      <c r="O360" s="96">
        <v>1.2289913198063107</v>
      </c>
      <c r="P360" s="132">
        <v>5.7109309576967044</v>
      </c>
      <c r="W360" s="115">
        <f t="shared" si="19"/>
        <v>5.7109309576967044</v>
      </c>
    </row>
    <row r="361" spans="11:23">
      <c r="K361" s="130">
        <v>356</v>
      </c>
      <c r="L361" s="108">
        <v>-9.657966539755245</v>
      </c>
      <c r="M361" s="107">
        <v>0.30899958336765282</v>
      </c>
      <c r="N361" s="96">
        <v>0.32737223016654959</v>
      </c>
      <c r="O361" s="96">
        <v>1.6440101689061501</v>
      </c>
      <c r="P361" s="132">
        <v>20.517599598998522</v>
      </c>
      <c r="W361" s="115">
        <f t="shared" si="19"/>
        <v>20.517599598998522</v>
      </c>
    </row>
    <row r="362" spans="11:23">
      <c r="K362" s="130">
        <v>357</v>
      </c>
      <c r="L362" s="108">
        <v>-3.5707119890994319</v>
      </c>
      <c r="M362" s="107">
        <v>0.33779414810479219</v>
      </c>
      <c r="N362" s="96">
        <v>0.26506210774362393</v>
      </c>
      <c r="O362" s="96">
        <v>1.0732074640583564</v>
      </c>
      <c r="P362" s="132">
        <v>0.20322710793917903</v>
      </c>
      <c r="W362" s="115">
        <f t="shared" si="19"/>
        <v>0.20322710793917903</v>
      </c>
    </row>
    <row r="363" spans="11:23">
      <c r="K363" s="130">
        <v>358</v>
      </c>
      <c r="L363" s="108">
        <v>6.2222803968442566</v>
      </c>
      <c r="M363" s="107">
        <v>0.32206994837768332</v>
      </c>
      <c r="N363" s="96">
        <v>0.31025086129289065</v>
      </c>
      <c r="O363" s="96">
        <v>1.6253025904835576</v>
      </c>
      <c r="P363" s="132">
        <v>15.802553829341804</v>
      </c>
      <c r="W363" s="115">
        <f t="shared" si="19"/>
        <v>15.802553829341804</v>
      </c>
    </row>
    <row r="364" spans="11:23">
      <c r="K364" s="130">
        <v>359</v>
      </c>
      <c r="L364" s="108">
        <v>0.74708805856859661</v>
      </c>
      <c r="M364" s="107">
        <v>0.33676889939175486</v>
      </c>
      <c r="N364" s="96">
        <v>0.34697579501892511</v>
      </c>
      <c r="O364" s="96">
        <v>1.4536725773109849</v>
      </c>
      <c r="P364" s="132">
        <v>16.005269324092307</v>
      </c>
      <c r="W364" s="115">
        <f t="shared" si="19"/>
        <v>16.005269324092307</v>
      </c>
    </row>
    <row r="365" spans="11:23">
      <c r="K365" s="130">
        <v>360</v>
      </c>
      <c r="L365" s="108">
        <v>-4.1142881658555783</v>
      </c>
      <c r="M365" s="107">
        <v>0.32621353406346887</v>
      </c>
      <c r="N365" s="96">
        <v>0.29558155032208355</v>
      </c>
      <c r="O365" s="96">
        <v>1.0570234979387598</v>
      </c>
      <c r="P365" s="132">
        <v>0.6100304190188659</v>
      </c>
      <c r="W365" s="115">
        <f t="shared" si="19"/>
        <v>0.6100304190188659</v>
      </c>
    </row>
    <row r="366" spans="11:23">
      <c r="K366" s="130">
        <v>361</v>
      </c>
      <c r="L366" s="108">
        <v>4.8676522642280542</v>
      </c>
      <c r="M366" s="107">
        <v>0.33568089005165846</v>
      </c>
      <c r="N366" s="96">
        <v>0.30907827887483635</v>
      </c>
      <c r="O366" s="96">
        <v>1.2007971705413434</v>
      </c>
      <c r="P366" s="132">
        <v>4.2850835569396528</v>
      </c>
      <c r="W366" s="115">
        <f t="shared" si="19"/>
        <v>4.2850835569396528</v>
      </c>
    </row>
    <row r="367" spans="11:23">
      <c r="K367" s="130">
        <v>362</v>
      </c>
      <c r="L367" s="108">
        <v>-6.1574656296713908</v>
      </c>
      <c r="M367" s="107">
        <v>0.33467644628707366</v>
      </c>
      <c r="N367" s="96">
        <v>0.33044206099776641</v>
      </c>
      <c r="O367" s="96">
        <v>1.3408458006429533</v>
      </c>
      <c r="P367" s="132">
        <v>11.085339339853798</v>
      </c>
      <c r="W367" s="115">
        <f t="shared" si="19"/>
        <v>11.085339339853798</v>
      </c>
    </row>
    <row r="368" spans="11:23">
      <c r="K368" s="130">
        <v>363</v>
      </c>
      <c r="L368" s="108">
        <v>-3.177707677577418</v>
      </c>
      <c r="M368" s="107">
        <v>0.3389698990586314</v>
      </c>
      <c r="N368" s="96">
        <v>0.25161526393990685</v>
      </c>
      <c r="O368" s="96">
        <v>1.0069784997066704</v>
      </c>
      <c r="P368" s="132">
        <v>0.12830423324406448</v>
      </c>
      <c r="W368" s="115">
        <f t="shared" si="19"/>
        <v>0.12830423324406448</v>
      </c>
    </row>
    <row r="369" spans="11:23">
      <c r="K369" s="130">
        <v>364</v>
      </c>
      <c r="L369" s="108">
        <v>0.596717620413586</v>
      </c>
      <c r="M369" s="107">
        <v>0.33741351494755234</v>
      </c>
      <c r="N369" s="96">
        <v>0.29929086977134223</v>
      </c>
      <c r="O369" s="96">
        <v>0.81787829248340183</v>
      </c>
      <c r="P369" s="132">
        <v>0.11857595873148226</v>
      </c>
      <c r="W369" s="115">
        <f t="shared" si="19"/>
        <v>0.11857595873148226</v>
      </c>
    </row>
    <row r="370" spans="11:23">
      <c r="K370" s="130">
        <v>365</v>
      </c>
      <c r="L370" s="108">
        <v>9.8606834170454256</v>
      </c>
      <c r="M370" s="107">
        <v>0.34550367119711095</v>
      </c>
      <c r="N370" s="96">
        <v>0.26730963501126492</v>
      </c>
      <c r="O370" s="96">
        <v>1.2847635571000815</v>
      </c>
      <c r="P370" s="132">
        <v>0.99237113440969993</v>
      </c>
      <c r="W370" s="115">
        <f t="shared" si="19"/>
        <v>0.99237113440969993</v>
      </c>
    </row>
    <row r="371" spans="11:23">
      <c r="K371" s="130">
        <v>366</v>
      </c>
      <c r="L371" s="108">
        <v>-3.1187423671975671</v>
      </c>
      <c r="M371" s="107">
        <v>0.34231885997988698</v>
      </c>
      <c r="N371" s="96">
        <v>0.29444339935071318</v>
      </c>
      <c r="O371" s="96">
        <v>1.2284343349053664</v>
      </c>
      <c r="P371" s="132">
        <v>2.5918734833036767</v>
      </c>
      <c r="W371" s="115">
        <f t="shared" si="19"/>
        <v>2.5918734833036767</v>
      </c>
    </row>
    <row r="372" spans="11:23">
      <c r="K372" s="130">
        <v>367</v>
      </c>
      <c r="L372" s="108">
        <v>-8.4624703191785464</v>
      </c>
      <c r="M372" s="107">
        <v>0.36905199254454196</v>
      </c>
      <c r="N372" s="96">
        <v>0.28202396515581402</v>
      </c>
      <c r="O372" s="96">
        <v>1.1138868816239844</v>
      </c>
      <c r="P372" s="132">
        <v>0.20202559556145688</v>
      </c>
      <c r="W372" s="115">
        <f t="shared" si="19"/>
        <v>0.20202559556145688</v>
      </c>
    </row>
    <row r="373" spans="11:23">
      <c r="K373" s="130">
        <v>368</v>
      </c>
      <c r="L373" s="108">
        <v>4.9027463192070329</v>
      </c>
      <c r="M373" s="107">
        <v>0.32738356660482471</v>
      </c>
      <c r="N373" s="96">
        <v>0.30198837647789506</v>
      </c>
      <c r="O373" s="96">
        <v>1.0907136021086545</v>
      </c>
      <c r="P373" s="132">
        <v>1.3295559688716023</v>
      </c>
      <c r="W373" s="115">
        <f t="shared" si="19"/>
        <v>1.3295559688716023</v>
      </c>
    </row>
    <row r="374" spans="11:23">
      <c r="K374" s="130">
        <v>369</v>
      </c>
      <c r="L374" s="108">
        <v>12.239678764112135</v>
      </c>
      <c r="M374" s="107">
        <v>0.32619910219606318</v>
      </c>
      <c r="N374" s="96">
        <v>0.31687442460122295</v>
      </c>
      <c r="O374" s="96">
        <v>1.4606354503867212</v>
      </c>
      <c r="P374" s="132">
        <v>13.039250196469396</v>
      </c>
      <c r="W374" s="115">
        <f t="shared" si="19"/>
        <v>13.039250196469396</v>
      </c>
    </row>
    <row r="375" spans="11:23">
      <c r="K375" s="130">
        <v>370</v>
      </c>
      <c r="L375" s="108">
        <v>-1.7993251207206331</v>
      </c>
      <c r="M375" s="107">
        <v>0.32535914166279156</v>
      </c>
      <c r="N375" s="96">
        <v>0.31924809558947764</v>
      </c>
      <c r="O375" s="96">
        <v>1.5709028219929335</v>
      </c>
      <c r="P375" s="132">
        <v>15.812301235665517</v>
      </c>
      <c r="W375" s="115">
        <f t="shared" si="19"/>
        <v>15.812301235665517</v>
      </c>
    </row>
    <row r="376" spans="11:23">
      <c r="K376" s="130">
        <v>371</v>
      </c>
      <c r="L376" s="108">
        <v>7.0993207623967809</v>
      </c>
      <c r="M376" s="107">
        <v>0.34502787511706035</v>
      </c>
      <c r="N376" s="96">
        <v>0.33478020317539792</v>
      </c>
      <c r="O376" s="96">
        <v>1.4425712519975569</v>
      </c>
      <c r="P376" s="132">
        <v>12.902676561765984</v>
      </c>
      <c r="W376" s="115">
        <f t="shared" si="19"/>
        <v>12.902676561765984</v>
      </c>
    </row>
    <row r="377" spans="11:23">
      <c r="K377" s="130">
        <v>372</v>
      </c>
      <c r="L377" s="108">
        <v>3.0381764967612472</v>
      </c>
      <c r="M377" s="107">
        <v>0.30799970728905207</v>
      </c>
      <c r="N377" s="96">
        <v>0.27287998372650857</v>
      </c>
      <c r="O377" s="96">
        <v>0.92318051697378367</v>
      </c>
      <c r="P377" s="132">
        <v>0.18977857353176933</v>
      </c>
      <c r="W377" s="115">
        <f t="shared" si="19"/>
        <v>0.18977857353176933</v>
      </c>
    </row>
    <row r="378" spans="11:23">
      <c r="K378" s="130">
        <v>373</v>
      </c>
      <c r="L378" s="108">
        <v>-2.2579169508316421</v>
      </c>
      <c r="M378" s="107">
        <v>0.33107640651033837</v>
      </c>
      <c r="N378" s="96">
        <v>0.24272032923666026</v>
      </c>
      <c r="O378" s="96">
        <v>1.3957030407027788</v>
      </c>
      <c r="P378" s="132">
        <v>1.5067615392322717</v>
      </c>
      <c r="W378" s="115">
        <f t="shared" si="19"/>
        <v>1.5067615392322717</v>
      </c>
    </row>
    <row r="379" spans="11:23">
      <c r="K379" s="130">
        <v>374</v>
      </c>
      <c r="L379" s="108">
        <v>10.711699056052339</v>
      </c>
      <c r="M379" s="107">
        <v>0.35954438385743237</v>
      </c>
      <c r="N379" s="96">
        <v>0.29164440819721665</v>
      </c>
      <c r="O379" s="96">
        <v>1.4024859188011178</v>
      </c>
      <c r="P379" s="132">
        <v>4.7772565878278908</v>
      </c>
      <c r="W379" s="115">
        <f t="shared" si="19"/>
        <v>4.7772565878278908</v>
      </c>
    </row>
    <row r="380" spans="11:23">
      <c r="K380" s="130">
        <v>375</v>
      </c>
      <c r="L380" s="108">
        <v>7.1041227485993312</v>
      </c>
      <c r="M380" s="107">
        <v>0.309283286821461</v>
      </c>
      <c r="N380" s="96">
        <v>0.2467726932906929</v>
      </c>
      <c r="O380" s="96">
        <v>0.97931250143107362</v>
      </c>
      <c r="P380" s="132">
        <v>0.15818557497982816</v>
      </c>
      <c r="W380" s="115">
        <f t="shared" si="19"/>
        <v>0.15818557497982816</v>
      </c>
    </row>
    <row r="381" spans="11:23">
      <c r="K381" s="130">
        <v>376</v>
      </c>
      <c r="L381" s="108">
        <v>10.144787281876608</v>
      </c>
      <c r="M381" s="107">
        <v>0.32221524871717366</v>
      </c>
      <c r="N381" s="96">
        <v>0.27151003498798415</v>
      </c>
      <c r="O381" s="96">
        <v>0.98144861301600872</v>
      </c>
      <c r="P381" s="132">
        <v>0.19281103167054536</v>
      </c>
      <c r="W381" s="115">
        <f t="shared" si="19"/>
        <v>0.19281103167054536</v>
      </c>
    </row>
    <row r="382" spans="11:23">
      <c r="K382" s="130">
        <v>377</v>
      </c>
      <c r="L382" s="108">
        <v>-7.9345471048402221</v>
      </c>
      <c r="M382" s="107">
        <v>0.32457824037261546</v>
      </c>
      <c r="N382" s="96">
        <v>0.29642323475374666</v>
      </c>
      <c r="O382" s="96">
        <v>1.2583096591872516</v>
      </c>
      <c r="P382" s="132">
        <v>5.5342997260227493</v>
      </c>
      <c r="W382" s="115">
        <f t="shared" si="19"/>
        <v>5.5342997260227493</v>
      </c>
    </row>
    <row r="383" spans="11:23">
      <c r="K383" s="130">
        <v>378</v>
      </c>
      <c r="L383" s="108">
        <v>4.1706650817038025</v>
      </c>
      <c r="M383" s="107">
        <v>0.31317455514180326</v>
      </c>
      <c r="N383" s="96">
        <v>0.25873018700855416</v>
      </c>
      <c r="O383" s="96">
        <v>1.2708820704931862</v>
      </c>
      <c r="P383" s="132">
        <v>2.3017647820907916</v>
      </c>
      <c r="W383" s="115">
        <f t="shared" si="19"/>
        <v>2.3017647820907916</v>
      </c>
    </row>
    <row r="384" spans="11:23">
      <c r="K384" s="130">
        <v>379</v>
      </c>
      <c r="L384" s="108">
        <v>-0.76012706144156761</v>
      </c>
      <c r="M384" s="107">
        <v>0.32303972403498976</v>
      </c>
      <c r="N384" s="96">
        <v>0.29481841488994326</v>
      </c>
      <c r="O384" s="96">
        <v>1.0804014323342621</v>
      </c>
      <c r="P384" s="132">
        <v>0.94910498634329654</v>
      </c>
      <c r="W384" s="115">
        <f t="shared" si="19"/>
        <v>0.94910498634329654</v>
      </c>
    </row>
    <row r="385" spans="11:23">
      <c r="K385" s="130">
        <v>380</v>
      </c>
      <c r="L385" s="108">
        <v>-1.3335284048273643</v>
      </c>
      <c r="M385" s="107">
        <v>0.33344989245108042</v>
      </c>
      <c r="N385" s="96">
        <v>0.21252280044759531</v>
      </c>
      <c r="O385" s="96">
        <v>1.115319965157467</v>
      </c>
      <c r="P385" s="132">
        <v>0.11346740864448383</v>
      </c>
      <c r="W385" s="115">
        <f t="shared" si="19"/>
        <v>0.11346740864448383</v>
      </c>
    </row>
    <row r="386" spans="11:23">
      <c r="K386" s="130">
        <v>381</v>
      </c>
      <c r="L386" s="108">
        <v>-6.1212972396903016</v>
      </c>
      <c r="M386" s="107">
        <v>0.33520333410756409</v>
      </c>
      <c r="N386" s="96">
        <v>0.30000494666312905</v>
      </c>
      <c r="O386" s="96">
        <v>1.2181916302547122</v>
      </c>
      <c r="P386" s="132">
        <v>3.7019841421145014</v>
      </c>
      <c r="W386" s="115">
        <f t="shared" si="19"/>
        <v>3.7019841421145014</v>
      </c>
    </row>
    <row r="387" spans="11:23">
      <c r="K387" s="130">
        <v>382</v>
      </c>
      <c r="L387" s="108">
        <v>7.1799725503732459</v>
      </c>
      <c r="M387" s="107">
        <v>0.31571606228832699</v>
      </c>
      <c r="N387" s="96">
        <v>0.29208501233771239</v>
      </c>
      <c r="O387" s="96">
        <v>1.5013467561520024</v>
      </c>
      <c r="P387" s="132">
        <v>11.627307581147628</v>
      </c>
      <c r="W387" s="115">
        <f t="shared" si="19"/>
        <v>11.627307581147628</v>
      </c>
    </row>
    <row r="388" spans="11:23">
      <c r="K388" s="130">
        <v>383</v>
      </c>
      <c r="L388" s="108">
        <v>-3.2799311291646744</v>
      </c>
      <c r="M388" s="107">
        <v>0.33746639187724786</v>
      </c>
      <c r="N388" s="96">
        <v>0.26612659916656356</v>
      </c>
      <c r="O388" s="96">
        <v>1.1139481363701083</v>
      </c>
      <c r="P388" s="132">
        <v>0.25965856418310801</v>
      </c>
      <c r="W388" s="115">
        <f t="shared" si="19"/>
        <v>0.25965856418310801</v>
      </c>
    </row>
    <row r="389" spans="11:23">
      <c r="K389" s="130">
        <v>384</v>
      </c>
      <c r="L389" s="108">
        <v>9.6748953298233253</v>
      </c>
      <c r="M389" s="107">
        <v>0.31334956539511355</v>
      </c>
      <c r="N389" s="96">
        <v>0.2570371771629153</v>
      </c>
      <c r="O389" s="96">
        <v>1.0746569031052</v>
      </c>
      <c r="P389" s="132">
        <v>0.2802141103821128</v>
      </c>
      <c r="W389" s="115">
        <f t="shared" si="19"/>
        <v>0.2802141103821128</v>
      </c>
    </row>
    <row r="390" spans="11:23">
      <c r="K390" s="130">
        <v>385</v>
      </c>
      <c r="L390" s="108">
        <v>0.24639568122192068</v>
      </c>
      <c r="M390" s="107">
        <v>0.31240996231776708</v>
      </c>
      <c r="N390" s="96">
        <v>0.26511540258702848</v>
      </c>
      <c r="O390" s="96">
        <v>1.5165080235532884</v>
      </c>
      <c r="P390" s="132">
        <v>8.5017899307829534</v>
      </c>
      <c r="W390" s="115">
        <f t="shared" ref="W390:W453" si="20">P390</f>
        <v>8.5017899307829534</v>
      </c>
    </row>
    <row r="391" spans="11:23">
      <c r="K391" s="130">
        <v>386</v>
      </c>
      <c r="L391" s="108">
        <v>7.3633452400479573</v>
      </c>
      <c r="M391" s="107">
        <v>0.34007505429379953</v>
      </c>
      <c r="N391" s="96">
        <v>0.31050660811686204</v>
      </c>
      <c r="O391" s="96">
        <v>1.2919181979642689</v>
      </c>
      <c r="P391" s="132">
        <v>6.5074774333557883</v>
      </c>
      <c r="W391" s="115">
        <f t="shared" si="20"/>
        <v>6.5074774333557883</v>
      </c>
    </row>
    <row r="392" spans="11:23">
      <c r="K392" s="130">
        <v>387</v>
      </c>
      <c r="L392" s="108">
        <v>-3.5671243262791057</v>
      </c>
      <c r="M392" s="107">
        <v>0.32848728406584693</v>
      </c>
      <c r="N392" s="96">
        <v>0.3191368159425218</v>
      </c>
      <c r="O392" s="96">
        <v>1.302839561510146</v>
      </c>
      <c r="P392" s="132">
        <v>9.3142498727965783</v>
      </c>
      <c r="W392" s="115">
        <f t="shared" si="20"/>
        <v>9.3142498727965783</v>
      </c>
    </row>
    <row r="393" spans="11:23">
      <c r="K393" s="130">
        <v>388</v>
      </c>
      <c r="L393" s="108">
        <v>1.4729552143536895</v>
      </c>
      <c r="M393" s="107">
        <v>0.34054073984492644</v>
      </c>
      <c r="N393" s="96">
        <v>0.25741954870399286</v>
      </c>
      <c r="O393" s="96">
        <v>1.1987145324746618</v>
      </c>
      <c r="P393" s="132">
        <v>0.32373173541755751</v>
      </c>
      <c r="W393" s="115">
        <f t="shared" si="20"/>
        <v>0.32373173541755751</v>
      </c>
    </row>
    <row r="394" spans="11:23">
      <c r="K394" s="130">
        <v>389</v>
      </c>
      <c r="L394" s="108">
        <v>7.383316650920146</v>
      </c>
      <c r="M394" s="107">
        <v>0.33432221511303578</v>
      </c>
      <c r="N394" s="96">
        <v>0.29312897359209328</v>
      </c>
      <c r="O394" s="96">
        <v>1.1613689904851625</v>
      </c>
      <c r="P394" s="132">
        <v>1.5682765874479925</v>
      </c>
      <c r="W394" s="115">
        <f t="shared" si="20"/>
        <v>1.5682765874479925</v>
      </c>
    </row>
    <row r="395" spans="11:23">
      <c r="K395" s="130">
        <v>390</v>
      </c>
      <c r="L395" s="108">
        <v>10.092232841401257</v>
      </c>
      <c r="M395" s="107">
        <v>0.31048024386603329</v>
      </c>
      <c r="N395" s="96">
        <v>0.25966766669260372</v>
      </c>
      <c r="O395" s="96">
        <v>1.2533918578089278</v>
      </c>
      <c r="P395" s="132">
        <v>2.2775167768026168</v>
      </c>
      <c r="W395" s="115">
        <f t="shared" si="20"/>
        <v>2.2775167768026168</v>
      </c>
    </row>
    <row r="396" spans="11:23">
      <c r="K396" s="130">
        <v>391</v>
      </c>
      <c r="L396" s="108">
        <v>11.092651332647204</v>
      </c>
      <c r="M396" s="107">
        <v>0.31825795153166636</v>
      </c>
      <c r="N396" s="96">
        <v>0.33428997899718416</v>
      </c>
      <c r="O396" s="96">
        <v>1.2849215071138862</v>
      </c>
      <c r="P396" s="132">
        <v>12.233382985463576</v>
      </c>
      <c r="W396" s="115">
        <f t="shared" si="20"/>
        <v>12.233382985463576</v>
      </c>
    </row>
    <row r="397" spans="11:23">
      <c r="K397" s="130">
        <v>392</v>
      </c>
      <c r="L397" s="108">
        <v>-3.4081124507347118</v>
      </c>
      <c r="M397" s="107">
        <v>0.31723013474312284</v>
      </c>
      <c r="N397" s="96">
        <v>0.25269326374197809</v>
      </c>
      <c r="O397" s="96">
        <v>1.1149928450620168</v>
      </c>
      <c r="P397" s="132">
        <v>0.29222673163140989</v>
      </c>
      <c r="W397" s="115">
        <f t="shared" si="20"/>
        <v>0.29222673163140989</v>
      </c>
    </row>
    <row r="398" spans="11:23">
      <c r="K398" s="130">
        <v>393</v>
      </c>
      <c r="L398" s="108">
        <v>-5.6598361183012926</v>
      </c>
      <c r="M398" s="107">
        <v>0.34354891691771478</v>
      </c>
      <c r="N398" s="96">
        <v>0.28722306708576933</v>
      </c>
      <c r="O398" s="96">
        <v>1.2411692664911809</v>
      </c>
      <c r="P398" s="132">
        <v>2.0096821853985674</v>
      </c>
      <c r="W398" s="115">
        <f t="shared" si="20"/>
        <v>2.0096821853985674</v>
      </c>
    </row>
    <row r="399" spans="11:23">
      <c r="K399" s="130">
        <v>394</v>
      </c>
      <c r="L399" s="108">
        <v>5.7563788969686174</v>
      </c>
      <c r="M399" s="107">
        <v>0.3212402340890424</v>
      </c>
      <c r="N399" s="96">
        <v>0.24421235047701453</v>
      </c>
      <c r="O399" s="96">
        <v>1.6414130577493744</v>
      </c>
      <c r="P399" s="132">
        <v>6.8952934401044006</v>
      </c>
      <c r="W399" s="115">
        <f t="shared" si="20"/>
        <v>6.8952934401044006</v>
      </c>
    </row>
    <row r="400" spans="11:23">
      <c r="K400" s="130">
        <v>395</v>
      </c>
      <c r="L400" s="108">
        <v>3.1435674529800615</v>
      </c>
      <c r="M400" s="107">
        <v>0.33361700525273402</v>
      </c>
      <c r="N400" s="96">
        <v>0.33095030971680084</v>
      </c>
      <c r="O400" s="96">
        <v>1.4315946983051355</v>
      </c>
      <c r="P400" s="132">
        <v>13.471141536325181</v>
      </c>
      <c r="W400" s="115">
        <f t="shared" si="20"/>
        <v>13.471141536325181</v>
      </c>
    </row>
    <row r="401" spans="11:23">
      <c r="K401" s="130">
        <v>396</v>
      </c>
      <c r="L401" s="108">
        <v>2.4141381567294276</v>
      </c>
      <c r="M401" s="107">
        <v>0.32324990415070265</v>
      </c>
      <c r="N401" s="96">
        <v>0.3115121313524854</v>
      </c>
      <c r="O401" s="96">
        <v>1.2710807839243929</v>
      </c>
      <c r="P401" s="132">
        <v>8.0679813837205927</v>
      </c>
      <c r="W401" s="115">
        <f t="shared" si="20"/>
        <v>8.0679813837205927</v>
      </c>
    </row>
    <row r="402" spans="11:23">
      <c r="K402" s="130">
        <v>397</v>
      </c>
      <c r="L402" s="108">
        <v>10.205973042716822</v>
      </c>
      <c r="M402" s="107">
        <v>0.32123916632231653</v>
      </c>
      <c r="N402" s="96">
        <v>0.27944314237316142</v>
      </c>
      <c r="O402" s="96">
        <v>1.194527086221508</v>
      </c>
      <c r="P402" s="132">
        <v>2.101107729290784</v>
      </c>
      <c r="W402" s="115">
        <f t="shared" si="20"/>
        <v>2.101107729290784</v>
      </c>
    </row>
    <row r="403" spans="11:23">
      <c r="K403" s="130">
        <v>398</v>
      </c>
      <c r="L403" s="108">
        <v>-5.2889204752124641</v>
      </c>
      <c r="M403" s="107">
        <v>0.311760095839694</v>
      </c>
      <c r="N403" s="96">
        <v>0.28815001296463771</v>
      </c>
      <c r="O403" s="96">
        <v>1.1867856489830551</v>
      </c>
      <c r="P403" s="132">
        <v>3.9589708444094236</v>
      </c>
      <c r="W403" s="115">
        <f t="shared" si="20"/>
        <v>3.9589708444094236</v>
      </c>
    </row>
    <row r="404" spans="11:23">
      <c r="K404" s="130">
        <v>399</v>
      </c>
      <c r="L404" s="108">
        <v>-8.3658208994341408</v>
      </c>
      <c r="M404" s="107">
        <v>0.31839094778853033</v>
      </c>
      <c r="N404" s="96">
        <v>0.29319515069373675</v>
      </c>
      <c r="O404" s="96">
        <v>1.1282529681657361</v>
      </c>
      <c r="P404" s="132">
        <v>2.1872054487205483</v>
      </c>
      <c r="W404" s="115">
        <f t="shared" si="20"/>
        <v>2.1872054487205483</v>
      </c>
    </row>
    <row r="405" spans="11:23">
      <c r="K405" s="130">
        <v>400</v>
      </c>
      <c r="L405" s="108">
        <v>4.9583449106293722</v>
      </c>
      <c r="M405" s="107">
        <v>0.33361428818593819</v>
      </c>
      <c r="N405" s="96">
        <v>0.26550299699441465</v>
      </c>
      <c r="O405" s="96">
        <v>1.2494678395308227</v>
      </c>
      <c r="P405" s="132">
        <v>1.0197872801430083</v>
      </c>
      <c r="W405" s="115">
        <f t="shared" si="20"/>
        <v>1.0197872801430083</v>
      </c>
    </row>
    <row r="406" spans="11:23">
      <c r="K406" s="130">
        <v>401</v>
      </c>
      <c r="L406" s="108">
        <v>-2.758600355053221</v>
      </c>
      <c r="M406" s="107">
        <v>0.31895694340028702</v>
      </c>
      <c r="N406" s="96">
        <v>0.27019322709042287</v>
      </c>
      <c r="O406" s="96">
        <v>1.044250603708742</v>
      </c>
      <c r="P406" s="132">
        <v>0.28378631705307977</v>
      </c>
      <c r="W406" s="115">
        <f t="shared" si="20"/>
        <v>0.28378631705307977</v>
      </c>
    </row>
    <row r="407" spans="11:23">
      <c r="K407" s="130">
        <v>402</v>
      </c>
      <c r="L407" s="108">
        <v>-2.3612120672376378</v>
      </c>
      <c r="M407" s="107">
        <v>0.33330886675677873</v>
      </c>
      <c r="N407" s="96">
        <v>0.33819531260505209</v>
      </c>
      <c r="O407" s="96">
        <v>1.2909305938036315</v>
      </c>
      <c r="P407" s="132">
        <v>10.994186808532755</v>
      </c>
      <c r="W407" s="115">
        <f t="shared" si="20"/>
        <v>10.994186808532755</v>
      </c>
    </row>
    <row r="408" spans="11:23">
      <c r="K408" s="130">
        <v>403</v>
      </c>
      <c r="L408" s="108">
        <v>5.7484026264300629</v>
      </c>
      <c r="M408" s="107">
        <v>0.31619820578523516</v>
      </c>
      <c r="N408" s="96">
        <v>0.27817636290318387</v>
      </c>
      <c r="O408" s="96">
        <v>1.2938749010713864</v>
      </c>
      <c r="P408" s="132">
        <v>4.9965027070067416</v>
      </c>
      <c r="W408" s="115">
        <f t="shared" si="20"/>
        <v>4.9965027070067416</v>
      </c>
    </row>
    <row r="409" spans="11:23">
      <c r="K409" s="130">
        <v>404</v>
      </c>
      <c r="L409" s="108">
        <v>7.1262667058088489</v>
      </c>
      <c r="M409" s="107">
        <v>0.32177988298555837</v>
      </c>
      <c r="N409" s="96">
        <v>0.31304766446327909</v>
      </c>
      <c r="O409" s="96">
        <v>1.6514478444833998</v>
      </c>
      <c r="P409" s="132">
        <v>17.185427133345122</v>
      </c>
      <c r="W409" s="115">
        <f t="shared" si="20"/>
        <v>17.185427133345122</v>
      </c>
    </row>
    <row r="410" spans="11:23">
      <c r="K410" s="130">
        <v>405</v>
      </c>
      <c r="L410" s="108">
        <v>4.0676797231767114</v>
      </c>
      <c r="M410" s="107">
        <v>0.32284300708312197</v>
      </c>
      <c r="N410" s="96">
        <v>0.33367110819257628</v>
      </c>
      <c r="O410" s="96">
        <v>1.3876069217095246</v>
      </c>
      <c r="P410" s="132">
        <v>14.157119497417222</v>
      </c>
      <c r="W410" s="115">
        <f t="shared" si="20"/>
        <v>14.157119497417222</v>
      </c>
    </row>
    <row r="411" spans="11:23">
      <c r="K411" s="130">
        <v>406</v>
      </c>
      <c r="L411" s="108">
        <v>3.6676072793369126</v>
      </c>
      <c r="M411" s="107">
        <v>0.32303857650803924</v>
      </c>
      <c r="N411" s="96">
        <v>0.31048330259776374</v>
      </c>
      <c r="O411" s="96">
        <v>1.3672683805309569</v>
      </c>
      <c r="P411" s="132">
        <v>10.408395998762067</v>
      </c>
      <c r="W411" s="115">
        <f t="shared" si="20"/>
        <v>10.408395998762067</v>
      </c>
    </row>
    <row r="412" spans="11:23">
      <c r="K412" s="130">
        <v>407</v>
      </c>
      <c r="L412" s="108">
        <v>3.9516950634576062</v>
      </c>
      <c r="M412" s="107">
        <v>0.34507161212036841</v>
      </c>
      <c r="N412" s="96">
        <v>0.30789606136802938</v>
      </c>
      <c r="O412" s="96">
        <v>1.4400943763585499</v>
      </c>
      <c r="P412" s="132">
        <v>9.2093045290142594</v>
      </c>
      <c r="W412" s="115">
        <f t="shared" si="20"/>
        <v>9.2093045290142594</v>
      </c>
    </row>
    <row r="413" spans="11:23">
      <c r="K413" s="130">
        <v>408</v>
      </c>
      <c r="L413" s="108">
        <v>-2.1457560226018448</v>
      </c>
      <c r="M413" s="107">
        <v>0.32101565399155552</v>
      </c>
      <c r="N413" s="96">
        <v>0.28244816926504929</v>
      </c>
      <c r="O413" s="96">
        <v>1.2361908810904094</v>
      </c>
      <c r="P413" s="132">
        <v>3.5356549653664984</v>
      </c>
      <c r="W413" s="115">
        <f t="shared" si="20"/>
        <v>3.5356549653664984</v>
      </c>
    </row>
    <row r="414" spans="11:23">
      <c r="K414" s="130">
        <v>409</v>
      </c>
      <c r="L414" s="108">
        <v>10.173023529021613</v>
      </c>
      <c r="M414" s="107">
        <v>0.3152248444928496</v>
      </c>
      <c r="N414" s="96">
        <v>0.27558718596789422</v>
      </c>
      <c r="O414" s="96">
        <v>1.2882536784949699</v>
      </c>
      <c r="P414" s="132">
        <v>4.6217602315410229</v>
      </c>
      <c r="W414" s="115">
        <f t="shared" si="20"/>
        <v>4.6217602315410229</v>
      </c>
    </row>
    <row r="415" spans="11:23">
      <c r="K415" s="130">
        <v>410</v>
      </c>
      <c r="L415" s="108">
        <v>0.20647760439159069</v>
      </c>
      <c r="M415" s="107">
        <v>0.3204765601127787</v>
      </c>
      <c r="N415" s="96">
        <v>0.27372414113155741</v>
      </c>
      <c r="O415" s="96">
        <v>1.016917671666892</v>
      </c>
      <c r="P415" s="132">
        <v>0.25111321364185657</v>
      </c>
      <c r="W415" s="115">
        <f t="shared" si="20"/>
        <v>0.25111321364185657</v>
      </c>
    </row>
    <row r="416" spans="11:23">
      <c r="K416" s="130">
        <v>411</v>
      </c>
      <c r="L416" s="108">
        <v>2.6792852284693192</v>
      </c>
      <c r="M416" s="107">
        <v>0.337595662437917</v>
      </c>
      <c r="N416" s="96">
        <v>0.27773306823441157</v>
      </c>
      <c r="O416" s="96">
        <v>1.127982809475913</v>
      </c>
      <c r="P416" s="132">
        <v>0.40731818310304685</v>
      </c>
      <c r="W416" s="115">
        <f t="shared" si="20"/>
        <v>0.40731818310304685</v>
      </c>
    </row>
    <row r="417" spans="11:23">
      <c r="K417" s="130">
        <v>412</v>
      </c>
      <c r="L417" s="108">
        <v>-3.7530774197689345</v>
      </c>
      <c r="M417" s="107">
        <v>0.33055186749350263</v>
      </c>
      <c r="N417" s="96">
        <v>0.27772367244101503</v>
      </c>
      <c r="O417" s="96">
        <v>1.1935749214009979</v>
      </c>
      <c r="P417" s="132">
        <v>1.1994804227257199</v>
      </c>
      <c r="W417" s="115">
        <f t="shared" si="20"/>
        <v>1.1994804227257199</v>
      </c>
    </row>
    <row r="418" spans="11:23">
      <c r="K418" s="130">
        <v>413</v>
      </c>
      <c r="L418" s="108">
        <v>17.445941755411752</v>
      </c>
      <c r="M418" s="107">
        <v>0.33634757508292773</v>
      </c>
      <c r="N418" s="96">
        <v>0.31428044355527263</v>
      </c>
      <c r="O418" s="96">
        <v>1.5209067469730537</v>
      </c>
      <c r="P418" s="132">
        <v>12.774891681328276</v>
      </c>
      <c r="W418" s="115">
        <f t="shared" si="20"/>
        <v>12.774891681328276</v>
      </c>
    </row>
    <row r="419" spans="11:23">
      <c r="K419" s="130">
        <v>414</v>
      </c>
      <c r="L419" s="108">
        <v>2.3213210290012469</v>
      </c>
      <c r="M419" s="107">
        <v>0.33018626564684556</v>
      </c>
      <c r="N419" s="96">
        <v>0.34247298059855752</v>
      </c>
      <c r="O419" s="96">
        <v>1.2426542567644761</v>
      </c>
      <c r="P419" s="132">
        <v>10.611509838642712</v>
      </c>
      <c r="W419" s="115">
        <f t="shared" si="20"/>
        <v>10.611509838642712</v>
      </c>
    </row>
    <row r="420" spans="11:23">
      <c r="K420" s="130">
        <v>415</v>
      </c>
      <c r="L420" s="108">
        <v>1.5044945323628047</v>
      </c>
      <c r="M420" s="107">
        <v>0.33364245027431949</v>
      </c>
      <c r="N420" s="96">
        <v>0.29580887395754041</v>
      </c>
      <c r="O420" s="96">
        <v>1.2467598567407583</v>
      </c>
      <c r="P420" s="132">
        <v>4.1250705876491987</v>
      </c>
      <c r="W420" s="115">
        <f t="shared" si="20"/>
        <v>4.1250705876491987</v>
      </c>
    </row>
    <row r="421" spans="11:23">
      <c r="K421" s="130">
        <v>416</v>
      </c>
      <c r="L421" s="108">
        <v>6.6154434019784905</v>
      </c>
      <c r="M421" s="107">
        <v>0.32996685650898827</v>
      </c>
      <c r="N421" s="96">
        <v>0.24548444501433916</v>
      </c>
      <c r="O421" s="96">
        <v>1.2695559492549835</v>
      </c>
      <c r="P421" s="132">
        <v>0.49356917103056042</v>
      </c>
      <c r="W421" s="115">
        <f t="shared" si="20"/>
        <v>0.49356917103056042</v>
      </c>
    </row>
    <row r="422" spans="11:23">
      <c r="K422" s="130">
        <v>417</v>
      </c>
      <c r="L422" s="108">
        <v>4.6317606987300168</v>
      </c>
      <c r="M422" s="107">
        <v>0.32125815061489266</v>
      </c>
      <c r="N422" s="96">
        <v>0.31238447341554726</v>
      </c>
      <c r="O422" s="96">
        <v>1.32842512919162</v>
      </c>
      <c r="P422" s="132">
        <v>9.934833323977422</v>
      </c>
      <c r="W422" s="115">
        <f t="shared" si="20"/>
        <v>9.934833323977422</v>
      </c>
    </row>
    <row r="423" spans="11:23">
      <c r="K423" s="130">
        <v>418</v>
      </c>
      <c r="L423" s="108">
        <v>6.257064485469229</v>
      </c>
      <c r="M423" s="107">
        <v>0.30870509905513704</v>
      </c>
      <c r="N423" s="96">
        <v>0.2588732473765411</v>
      </c>
      <c r="O423" s="96">
        <v>1.2035010393481891</v>
      </c>
      <c r="P423" s="132">
        <v>1.3405178332384116</v>
      </c>
      <c r="W423" s="115">
        <f t="shared" si="20"/>
        <v>1.3405178332384116</v>
      </c>
    </row>
    <row r="424" spans="11:23">
      <c r="K424" s="130">
        <v>419</v>
      </c>
      <c r="L424" s="108">
        <v>9.3053752327219179</v>
      </c>
      <c r="M424" s="107">
        <v>0.33293081800977298</v>
      </c>
      <c r="N424" s="96">
        <v>0.26011524158334343</v>
      </c>
      <c r="O424" s="96">
        <v>1.2200024804679501</v>
      </c>
      <c r="P424" s="132">
        <v>0.55201511209840237</v>
      </c>
      <c r="W424" s="115">
        <f t="shared" si="20"/>
        <v>0.55201511209840237</v>
      </c>
    </row>
    <row r="425" spans="11:23">
      <c r="K425" s="130">
        <v>420</v>
      </c>
      <c r="L425" s="108">
        <v>8.4524755494782067</v>
      </c>
      <c r="M425" s="107">
        <v>0.35176617373692637</v>
      </c>
      <c r="N425" s="96">
        <v>0.29387459449805381</v>
      </c>
      <c r="O425" s="96">
        <v>0.97216924358281576</v>
      </c>
      <c r="P425" s="132">
        <v>0.16720007115700011</v>
      </c>
      <c r="W425" s="115">
        <f t="shared" si="20"/>
        <v>0.16720007115700011</v>
      </c>
    </row>
    <row r="426" spans="11:23">
      <c r="K426" s="130">
        <v>421</v>
      </c>
      <c r="L426" s="108">
        <v>-5.22033725146634</v>
      </c>
      <c r="M426" s="107">
        <v>0.33052951036928041</v>
      </c>
      <c r="N426" s="96">
        <v>0.24594469030623817</v>
      </c>
      <c r="O426" s="96">
        <v>1.3398310192712715</v>
      </c>
      <c r="P426" s="132">
        <v>1.0330944462585394</v>
      </c>
      <c r="W426" s="115">
        <f t="shared" si="20"/>
        <v>1.0330944462585394</v>
      </c>
    </row>
    <row r="427" spans="11:23">
      <c r="K427" s="130">
        <v>422</v>
      </c>
      <c r="L427" s="108">
        <v>-11.632729125981919</v>
      </c>
      <c r="M427" s="107">
        <v>0.31615123001680001</v>
      </c>
      <c r="N427" s="96">
        <v>0.30607719692013186</v>
      </c>
      <c r="O427" s="96">
        <v>1.2004467097288347</v>
      </c>
      <c r="P427" s="132">
        <v>6.2090507767162189</v>
      </c>
      <c r="W427" s="115">
        <f t="shared" si="20"/>
        <v>6.2090507767162189</v>
      </c>
    </row>
    <row r="428" spans="11:23">
      <c r="K428" s="130">
        <v>423</v>
      </c>
      <c r="L428" s="108">
        <v>4.1668316675734651</v>
      </c>
      <c r="M428" s="107">
        <v>0.32285537581880003</v>
      </c>
      <c r="N428" s="96">
        <v>0.25367895002639318</v>
      </c>
      <c r="O428" s="96">
        <v>1.2002668770795033</v>
      </c>
      <c r="P428" s="132">
        <v>0.49524824668861439</v>
      </c>
      <c r="W428" s="115">
        <f t="shared" si="20"/>
        <v>0.49524824668861439</v>
      </c>
    </row>
    <row r="429" spans="11:23">
      <c r="K429" s="130">
        <v>424</v>
      </c>
      <c r="L429" s="108">
        <v>1.0237519789279279</v>
      </c>
      <c r="M429" s="107">
        <v>0.33551630116218178</v>
      </c>
      <c r="N429" s="96">
        <v>0.34171159882396912</v>
      </c>
      <c r="O429" s="96">
        <v>1.2921720094826725</v>
      </c>
      <c r="P429" s="132">
        <v>11.229899617930402</v>
      </c>
      <c r="W429" s="115">
        <f t="shared" si="20"/>
        <v>11.229899617930402</v>
      </c>
    </row>
    <row r="430" spans="11:23">
      <c r="K430" s="130">
        <v>425</v>
      </c>
      <c r="L430" s="108">
        <v>0.32165028031579124</v>
      </c>
      <c r="M430" s="107">
        <v>0.3234992464805112</v>
      </c>
      <c r="N430" s="96">
        <v>0.34126345400520919</v>
      </c>
      <c r="O430" s="96">
        <v>1.2899372224745449</v>
      </c>
      <c r="P430" s="132">
        <v>12.652353966589285</v>
      </c>
      <c r="W430" s="115">
        <f t="shared" si="20"/>
        <v>12.652353966589285</v>
      </c>
    </row>
    <row r="431" spans="11:23">
      <c r="K431" s="130">
        <v>426</v>
      </c>
      <c r="L431" s="108">
        <v>0.50718287735362355</v>
      </c>
      <c r="M431" s="107">
        <v>0.30977039359027986</v>
      </c>
      <c r="N431" s="96">
        <v>0.2769856314384983</v>
      </c>
      <c r="O431" s="96">
        <v>1.0006281349785813</v>
      </c>
      <c r="P431" s="132">
        <v>0.31519356254721415</v>
      </c>
      <c r="W431" s="115">
        <f t="shared" si="20"/>
        <v>0.31519356254721415</v>
      </c>
    </row>
    <row r="432" spans="11:23">
      <c r="K432" s="130">
        <v>427</v>
      </c>
      <c r="L432" s="108">
        <v>9.3308694177367215</v>
      </c>
      <c r="M432" s="107">
        <v>0.34930064179878151</v>
      </c>
      <c r="N432" s="96">
        <v>0.27356520382699856</v>
      </c>
      <c r="O432" s="96">
        <v>1.4582933234870525</v>
      </c>
      <c r="P432" s="132">
        <v>4.7014814246636139</v>
      </c>
      <c r="W432" s="115">
        <f t="shared" si="20"/>
        <v>4.7014814246636139</v>
      </c>
    </row>
    <row r="433" spans="11:23">
      <c r="K433" s="130">
        <v>428</v>
      </c>
      <c r="L433" s="108">
        <v>6.448264415929815</v>
      </c>
      <c r="M433" s="107">
        <v>0.30663274027226406</v>
      </c>
      <c r="N433" s="96">
        <v>0.28616325213074723</v>
      </c>
      <c r="O433" s="96">
        <v>1.1873493561413631</v>
      </c>
      <c r="P433" s="132">
        <v>4.3251234444088151</v>
      </c>
      <c r="W433" s="115">
        <f t="shared" si="20"/>
        <v>4.3251234444088151</v>
      </c>
    </row>
    <row r="434" spans="11:23">
      <c r="K434" s="130">
        <v>429</v>
      </c>
      <c r="L434" s="108">
        <v>13.229561761479976</v>
      </c>
      <c r="M434" s="107">
        <v>0.33770017933900554</v>
      </c>
      <c r="N434" s="96">
        <v>0.29676671591545334</v>
      </c>
      <c r="O434" s="96">
        <v>1.0120233658202094</v>
      </c>
      <c r="P434" s="132">
        <v>0.28381770685561208</v>
      </c>
      <c r="W434" s="115">
        <f t="shared" si="20"/>
        <v>0.28381770685561208</v>
      </c>
    </row>
    <row r="435" spans="11:23">
      <c r="K435" s="130">
        <v>430</v>
      </c>
      <c r="L435" s="108">
        <v>-6.6585997402629378</v>
      </c>
      <c r="M435" s="107">
        <v>0.34124509797555447</v>
      </c>
      <c r="N435" s="96">
        <v>0.30384141259090336</v>
      </c>
      <c r="O435" s="96">
        <v>1.3103110108171743</v>
      </c>
      <c r="P435" s="132">
        <v>5.9901667569320667</v>
      </c>
      <c r="W435" s="115">
        <f t="shared" si="20"/>
        <v>5.9901667569320667</v>
      </c>
    </row>
    <row r="436" spans="11:23">
      <c r="K436" s="130">
        <v>431</v>
      </c>
      <c r="L436" s="108">
        <v>-9.497991578408671</v>
      </c>
      <c r="M436" s="107">
        <v>0.32346408385971481</v>
      </c>
      <c r="N436" s="96">
        <v>0.30366087195298463</v>
      </c>
      <c r="O436" s="96">
        <v>1.6051565132310852</v>
      </c>
      <c r="P436" s="132">
        <v>14.46410106038017</v>
      </c>
      <c r="W436" s="115">
        <f t="shared" si="20"/>
        <v>14.46410106038017</v>
      </c>
    </row>
    <row r="437" spans="11:23">
      <c r="K437" s="130">
        <v>432</v>
      </c>
      <c r="L437" s="108">
        <v>0.74882646865906821</v>
      </c>
      <c r="M437" s="107">
        <v>0.34148487259732069</v>
      </c>
      <c r="N437" s="96">
        <v>0.30553342997810856</v>
      </c>
      <c r="O437" s="96">
        <v>1.6099584821637003</v>
      </c>
      <c r="P437" s="132">
        <v>12.717624144766683</v>
      </c>
      <c r="W437" s="115">
        <f t="shared" si="20"/>
        <v>12.717624144766683</v>
      </c>
    </row>
    <row r="438" spans="11:23">
      <c r="K438" s="130">
        <v>433</v>
      </c>
      <c r="L438" s="108">
        <v>-2.7793095930916687</v>
      </c>
      <c r="M438" s="107">
        <v>0.33477342406307431</v>
      </c>
      <c r="N438" s="96">
        <v>0.34319739200460397</v>
      </c>
      <c r="O438" s="96">
        <v>1.3682011778899186</v>
      </c>
      <c r="P438" s="132">
        <v>13.515679241726929</v>
      </c>
      <c r="W438" s="115">
        <f t="shared" si="20"/>
        <v>13.515679241726929</v>
      </c>
    </row>
    <row r="439" spans="11:23">
      <c r="K439" s="130">
        <v>434</v>
      </c>
      <c r="L439" s="108">
        <v>3.5383476497622128</v>
      </c>
      <c r="M439" s="107">
        <v>0.33049218264512442</v>
      </c>
      <c r="N439" s="96">
        <v>0.28171796100897811</v>
      </c>
      <c r="O439" s="96">
        <v>1.1309162202307637</v>
      </c>
      <c r="P439" s="132">
        <v>0.65456746445092051</v>
      </c>
      <c r="W439" s="115">
        <f t="shared" si="20"/>
        <v>0.65456746445092051</v>
      </c>
    </row>
    <row r="440" spans="11:23">
      <c r="K440" s="130">
        <v>435</v>
      </c>
      <c r="L440" s="108">
        <v>14.824672787712231</v>
      </c>
      <c r="M440" s="107">
        <v>0.33782247120305686</v>
      </c>
      <c r="N440" s="96">
        <v>0.301138069413521</v>
      </c>
      <c r="O440" s="96">
        <v>1.1256010495197599</v>
      </c>
      <c r="P440" s="132">
        <v>1.2415394952181642</v>
      </c>
      <c r="W440" s="115">
        <f t="shared" si="20"/>
        <v>1.2415394952181642</v>
      </c>
    </row>
    <row r="441" spans="11:23">
      <c r="K441" s="130">
        <v>436</v>
      </c>
      <c r="L441" s="108">
        <v>5.0516142512983615</v>
      </c>
      <c r="M441" s="107">
        <v>0.3295490242000928</v>
      </c>
      <c r="N441" s="96">
        <v>0.32435706487966709</v>
      </c>
      <c r="O441" s="96">
        <v>1.1505190587642493</v>
      </c>
      <c r="P441" s="132">
        <v>5.4244601395952037</v>
      </c>
      <c r="W441" s="115">
        <f t="shared" si="20"/>
        <v>5.4244601395952037</v>
      </c>
    </row>
    <row r="442" spans="11:23">
      <c r="K442" s="130">
        <v>437</v>
      </c>
      <c r="L442" s="108">
        <v>-3.4852435717879073</v>
      </c>
      <c r="M442" s="107">
        <v>0.34728727733470366</v>
      </c>
      <c r="N442" s="96">
        <v>0.2614928520758395</v>
      </c>
      <c r="O442" s="96">
        <v>1.475507272054235</v>
      </c>
      <c r="P442" s="132">
        <v>3.7318136862593376</v>
      </c>
      <c r="W442" s="115">
        <f t="shared" si="20"/>
        <v>3.7318136862593376</v>
      </c>
    </row>
    <row r="443" spans="11:23">
      <c r="K443" s="130">
        <v>438</v>
      </c>
      <c r="L443" s="108">
        <v>11.104859350770099</v>
      </c>
      <c r="M443" s="107">
        <v>0.32384028992872876</v>
      </c>
      <c r="N443" s="96">
        <v>0.36891030176900569</v>
      </c>
      <c r="O443" s="96">
        <v>1.2020605946557463</v>
      </c>
      <c r="P443" s="132">
        <v>13.893275915269802</v>
      </c>
      <c r="W443" s="115">
        <f t="shared" si="20"/>
        <v>13.893275915269802</v>
      </c>
    </row>
    <row r="444" spans="11:23">
      <c r="K444" s="130">
        <v>439</v>
      </c>
      <c r="L444" s="108">
        <v>2.3065589124939114</v>
      </c>
      <c r="M444" s="107">
        <v>0.3265215344620207</v>
      </c>
      <c r="N444" s="96">
        <v>0.28672454419407961</v>
      </c>
      <c r="O444" s="96">
        <v>1.0025737978017699</v>
      </c>
      <c r="P444" s="132">
        <v>0.27056931863580963</v>
      </c>
      <c r="W444" s="115">
        <f t="shared" si="20"/>
        <v>0.27056931863580963</v>
      </c>
    </row>
    <row r="445" spans="11:23">
      <c r="K445" s="130">
        <v>440</v>
      </c>
      <c r="L445" s="108">
        <v>5.3250116605609987</v>
      </c>
      <c r="M445" s="107">
        <v>0.32220778890868268</v>
      </c>
      <c r="N445" s="96">
        <v>0.26673074732505958</v>
      </c>
      <c r="O445" s="96">
        <v>1.1510487049700664</v>
      </c>
      <c r="P445" s="132">
        <v>0.56531071823449763</v>
      </c>
      <c r="W445" s="115">
        <f t="shared" si="20"/>
        <v>0.56531071823449763</v>
      </c>
    </row>
    <row r="446" spans="11:23">
      <c r="K446" s="130">
        <v>441</v>
      </c>
      <c r="L446" s="108">
        <v>-8.6326801116547625</v>
      </c>
      <c r="M446" s="107">
        <v>0.31994985954180533</v>
      </c>
      <c r="N446" s="96">
        <v>0.31853749728084668</v>
      </c>
      <c r="O446" s="96">
        <v>1.473913815278199</v>
      </c>
      <c r="P446" s="132">
        <v>14.327954945021206</v>
      </c>
      <c r="W446" s="115">
        <f t="shared" si="20"/>
        <v>14.327954945021206</v>
      </c>
    </row>
    <row r="447" spans="11:23">
      <c r="K447" s="130">
        <v>442</v>
      </c>
      <c r="L447" s="108">
        <v>4.0582821228390538</v>
      </c>
      <c r="M447" s="107">
        <v>0.31246502240549817</v>
      </c>
      <c r="N447" s="96">
        <v>0.2958290138081901</v>
      </c>
      <c r="O447" s="96">
        <v>1.0735434478206183</v>
      </c>
      <c r="P447" s="132">
        <v>1.6032435235168148</v>
      </c>
      <c r="W447" s="115">
        <f t="shared" si="20"/>
        <v>1.6032435235168148</v>
      </c>
    </row>
    <row r="448" spans="11:23">
      <c r="K448" s="130">
        <v>443</v>
      </c>
      <c r="L448" s="108">
        <v>11.165908083671374</v>
      </c>
      <c r="M448" s="107">
        <v>0.34628434201661057</v>
      </c>
      <c r="N448" s="96">
        <v>0.2877098343829621</v>
      </c>
      <c r="O448" s="96">
        <v>0.94328842815326608</v>
      </c>
      <c r="P448" s="132">
        <v>0.14729551298709859</v>
      </c>
      <c r="W448" s="115">
        <f t="shared" si="20"/>
        <v>0.14729551298709859</v>
      </c>
    </row>
    <row r="449" spans="11:23">
      <c r="K449" s="130">
        <v>444</v>
      </c>
      <c r="L449" s="108">
        <v>4.1973537692448604E-2</v>
      </c>
      <c r="M449" s="107">
        <v>0.31594360105933972</v>
      </c>
      <c r="N449" s="96">
        <v>0.26779300364054065</v>
      </c>
      <c r="O449" s="96">
        <v>1.4257789990824348</v>
      </c>
      <c r="P449" s="132">
        <v>6.6632211117800715</v>
      </c>
      <c r="W449" s="115">
        <f t="shared" si="20"/>
        <v>6.6632211117800715</v>
      </c>
    </row>
    <row r="450" spans="11:23">
      <c r="K450" s="130">
        <v>445</v>
      </c>
      <c r="L450" s="108">
        <v>7.0013623316279538</v>
      </c>
      <c r="M450" s="107">
        <v>0.31620139945110054</v>
      </c>
      <c r="N450" s="96">
        <v>0.26067187346836079</v>
      </c>
      <c r="O450" s="96">
        <v>1.3255838672996125</v>
      </c>
      <c r="P450" s="132">
        <v>3.4677837335492718</v>
      </c>
      <c r="W450" s="115">
        <f t="shared" si="20"/>
        <v>3.4677837335492718</v>
      </c>
    </row>
    <row r="451" spans="11:23">
      <c r="K451" s="130">
        <v>446</v>
      </c>
      <c r="L451" s="108">
        <v>7.4052108510988015</v>
      </c>
      <c r="M451" s="107">
        <v>0.33996649621033403</v>
      </c>
      <c r="N451" s="96">
        <v>0.30207280825381266</v>
      </c>
      <c r="O451" s="96">
        <v>1.4304926351703857</v>
      </c>
      <c r="P451" s="132">
        <v>8.7744421069665073</v>
      </c>
      <c r="W451" s="115">
        <f t="shared" si="20"/>
        <v>8.7744421069665073</v>
      </c>
    </row>
    <row r="452" spans="11:23">
      <c r="K452" s="130">
        <v>447</v>
      </c>
      <c r="L452" s="108">
        <v>10.466426792659439</v>
      </c>
      <c r="M452" s="107">
        <v>0.32549965657639734</v>
      </c>
      <c r="N452" s="96">
        <v>0.27499408585128454</v>
      </c>
      <c r="O452" s="96">
        <v>1.5249714614388001</v>
      </c>
      <c r="P452" s="132">
        <v>8.6206312655571988</v>
      </c>
      <c r="W452" s="115">
        <f t="shared" si="20"/>
        <v>8.6206312655571988</v>
      </c>
    </row>
    <row r="453" spans="11:23">
      <c r="K453" s="130">
        <v>448</v>
      </c>
      <c r="L453" s="108">
        <v>-2.9592088278989483</v>
      </c>
      <c r="M453" s="107">
        <v>0.31936823723543006</v>
      </c>
      <c r="N453" s="96">
        <v>0.30255490074841679</v>
      </c>
      <c r="O453" s="96">
        <v>0.97834934754781588</v>
      </c>
      <c r="P453" s="132">
        <v>0.42210497571425487</v>
      </c>
      <c r="W453" s="115">
        <f t="shared" si="20"/>
        <v>0.42210497571425487</v>
      </c>
    </row>
    <row r="454" spans="11:23">
      <c r="K454" s="130">
        <v>449</v>
      </c>
      <c r="L454" s="108">
        <v>3.2534615741423654</v>
      </c>
      <c r="M454" s="107">
        <v>0.34301324203846129</v>
      </c>
      <c r="N454" s="96">
        <v>0.32503271228046265</v>
      </c>
      <c r="O454" s="96">
        <v>1.0759917905593586</v>
      </c>
      <c r="P454" s="132">
        <v>1.6791857276221758</v>
      </c>
      <c r="W454" s="115">
        <f t="shared" ref="W454:W517" si="21">P454</f>
        <v>1.6791857276221758</v>
      </c>
    </row>
    <row r="455" spans="11:23">
      <c r="K455" s="130">
        <v>450</v>
      </c>
      <c r="L455" s="108">
        <v>3.4985924000151019</v>
      </c>
      <c r="M455" s="107">
        <v>0.34041632768866398</v>
      </c>
      <c r="N455" s="96">
        <v>0.35964268655397497</v>
      </c>
      <c r="O455" s="96">
        <v>1.1331831290876748</v>
      </c>
      <c r="P455" s="132">
        <v>8.0808326567555309</v>
      </c>
      <c r="W455" s="115">
        <f t="shared" si="21"/>
        <v>8.0808326567555309</v>
      </c>
    </row>
    <row r="456" spans="11:23">
      <c r="K456" s="130">
        <v>451</v>
      </c>
      <c r="L456" s="108">
        <v>6.9017529872285488</v>
      </c>
      <c r="M456" s="107">
        <v>0.34186474825129348</v>
      </c>
      <c r="N456" s="96">
        <v>0.29354784824714963</v>
      </c>
      <c r="O456" s="96">
        <v>1.3561104302877467</v>
      </c>
      <c r="P456" s="132">
        <v>5.7266422409050524</v>
      </c>
      <c r="W456" s="115">
        <f t="shared" si="21"/>
        <v>5.7266422409050524</v>
      </c>
    </row>
    <row r="457" spans="11:23">
      <c r="K457" s="130">
        <v>452</v>
      </c>
      <c r="L457" s="108">
        <v>-2.6202233136004516</v>
      </c>
      <c r="M457" s="107">
        <v>0.32686215514573402</v>
      </c>
      <c r="N457" s="96">
        <v>0.30612013408172628</v>
      </c>
      <c r="O457" s="96">
        <v>1.221318856099556</v>
      </c>
      <c r="P457" s="132">
        <v>5.5164481571772281</v>
      </c>
      <c r="W457" s="115">
        <f t="shared" si="21"/>
        <v>5.5164481571772281</v>
      </c>
    </row>
    <row r="458" spans="11:23">
      <c r="K458" s="130">
        <v>453</v>
      </c>
      <c r="L458" s="108">
        <v>-7.8489217581254174</v>
      </c>
      <c r="M458" s="107">
        <v>0.31690253526605294</v>
      </c>
      <c r="N458" s="96">
        <v>0.29456189724122711</v>
      </c>
      <c r="O458" s="96">
        <v>1.6431687744946513</v>
      </c>
      <c r="P458" s="132">
        <v>14.572250216860365</v>
      </c>
      <c r="W458" s="115">
        <f t="shared" si="21"/>
        <v>14.572250216860365</v>
      </c>
    </row>
    <row r="459" spans="11:23">
      <c r="K459" s="130">
        <v>454</v>
      </c>
      <c r="L459" s="108">
        <v>10.55517910526388</v>
      </c>
      <c r="M459" s="107">
        <v>0.32103402117670204</v>
      </c>
      <c r="N459" s="96">
        <v>0.29446119483465155</v>
      </c>
      <c r="O459" s="96">
        <v>1.3906101262963673</v>
      </c>
      <c r="P459" s="132">
        <v>8.979133714471347</v>
      </c>
      <c r="W459" s="115">
        <f t="shared" si="21"/>
        <v>8.979133714471347</v>
      </c>
    </row>
    <row r="460" spans="11:23">
      <c r="K460" s="130">
        <v>455</v>
      </c>
      <c r="L460" s="108">
        <v>-9.1791248893529858</v>
      </c>
      <c r="M460" s="107">
        <v>0.33457656340924796</v>
      </c>
      <c r="N460" s="96">
        <v>0.30323316298499098</v>
      </c>
      <c r="O460" s="96">
        <v>1.0671535891881316</v>
      </c>
      <c r="P460" s="132">
        <v>0.69145035092394413</v>
      </c>
      <c r="W460" s="115">
        <f t="shared" si="21"/>
        <v>0.69145035092394413</v>
      </c>
    </row>
    <row r="461" spans="11:23">
      <c r="K461" s="130">
        <v>456</v>
      </c>
      <c r="L461" s="108">
        <v>-20.092106119817878</v>
      </c>
      <c r="M461" s="107">
        <v>0.32365945780960148</v>
      </c>
      <c r="N461" s="96">
        <v>0.32490507559735843</v>
      </c>
      <c r="O461" s="96">
        <v>0.95842740409753446</v>
      </c>
      <c r="P461" s="132">
        <v>0.66537975654673231</v>
      </c>
      <c r="W461" s="115">
        <f t="shared" si="21"/>
        <v>0.66537975654673231</v>
      </c>
    </row>
    <row r="462" spans="11:23">
      <c r="K462" s="130">
        <v>457</v>
      </c>
      <c r="L462" s="108">
        <v>-2.1238166285699571</v>
      </c>
      <c r="M462" s="107">
        <v>0.3291463750093232</v>
      </c>
      <c r="N462" s="96">
        <v>0.27052821926567011</v>
      </c>
      <c r="O462" s="96">
        <v>1.1534036363291509</v>
      </c>
      <c r="P462" s="132">
        <v>0.5238654422496134</v>
      </c>
      <c r="W462" s="115">
        <f t="shared" si="21"/>
        <v>0.5238654422496134</v>
      </c>
    </row>
    <row r="463" spans="11:23">
      <c r="K463" s="130">
        <v>458</v>
      </c>
      <c r="L463" s="108">
        <v>-0.97987203203713991</v>
      </c>
      <c r="M463" s="107">
        <v>0.30550562558208694</v>
      </c>
      <c r="N463" s="96">
        <v>0.24385777945165366</v>
      </c>
      <c r="O463" s="96">
        <v>1.3010709265633362</v>
      </c>
      <c r="P463" s="132">
        <v>1.9535725599870168</v>
      </c>
      <c r="W463" s="115">
        <f t="shared" si="21"/>
        <v>1.9535725599870168</v>
      </c>
    </row>
    <row r="464" spans="11:23">
      <c r="K464" s="130">
        <v>459</v>
      </c>
      <c r="L464" s="108">
        <v>-9.0786498121870096</v>
      </c>
      <c r="M464" s="107">
        <v>0.32119743627562891</v>
      </c>
      <c r="N464" s="96">
        <v>0.2914378630579943</v>
      </c>
      <c r="O464" s="96">
        <v>1.2164653473426763</v>
      </c>
      <c r="P464" s="132">
        <v>4.1270029740457517</v>
      </c>
      <c r="W464" s="115">
        <f t="shared" si="21"/>
        <v>4.1270029740457517</v>
      </c>
    </row>
    <row r="465" spans="11:23">
      <c r="K465" s="130">
        <v>460</v>
      </c>
      <c r="L465" s="108">
        <v>-2.4784364592604105</v>
      </c>
      <c r="M465" s="107">
        <v>0.32786475658298447</v>
      </c>
      <c r="N465" s="96">
        <v>0.35364163128662762</v>
      </c>
      <c r="O465" s="96">
        <v>1.0533293665513292</v>
      </c>
      <c r="P465" s="132">
        <v>6.042025347872829</v>
      </c>
      <c r="W465" s="115">
        <f t="shared" si="21"/>
        <v>6.042025347872829</v>
      </c>
    </row>
    <row r="466" spans="11:23">
      <c r="K466" s="130">
        <v>461</v>
      </c>
      <c r="L466" s="108">
        <v>2.6641879969590212</v>
      </c>
      <c r="M466" s="107">
        <v>0.31248395855068156</v>
      </c>
      <c r="N466" s="96">
        <v>0.25815905185635091</v>
      </c>
      <c r="O466" s="96">
        <v>1.102194039213356</v>
      </c>
      <c r="P466" s="132">
        <v>0.35920336677106002</v>
      </c>
      <c r="W466" s="115">
        <f t="shared" si="21"/>
        <v>0.35920336677106002</v>
      </c>
    </row>
    <row r="467" spans="11:23">
      <c r="K467" s="130">
        <v>462</v>
      </c>
      <c r="L467" s="108">
        <v>2.184122949681611</v>
      </c>
      <c r="M467" s="107">
        <v>0.33795966881271255</v>
      </c>
      <c r="N467" s="96">
        <v>0.30498891635038133</v>
      </c>
      <c r="O467" s="96">
        <v>1.1780234457558436</v>
      </c>
      <c r="P467" s="132">
        <v>2.8907482783386764</v>
      </c>
      <c r="W467" s="115">
        <f t="shared" si="21"/>
        <v>2.8907482783386764</v>
      </c>
    </row>
    <row r="468" spans="11:23">
      <c r="K468" s="130">
        <v>463</v>
      </c>
      <c r="L468" s="108">
        <v>6.2226040061335217</v>
      </c>
      <c r="M468" s="107">
        <v>0.31001415102097779</v>
      </c>
      <c r="N468" s="96">
        <v>0.24399865929521766</v>
      </c>
      <c r="O468" s="96">
        <v>1.3165114302167729</v>
      </c>
      <c r="P468" s="132">
        <v>1.8781875122367506</v>
      </c>
      <c r="W468" s="115">
        <f t="shared" si="21"/>
        <v>1.8781875122367506</v>
      </c>
    </row>
    <row r="469" spans="11:23">
      <c r="K469" s="130">
        <v>464</v>
      </c>
      <c r="L469" s="108">
        <v>-3.2519940009239692</v>
      </c>
      <c r="M469" s="107">
        <v>0.31169913315601455</v>
      </c>
      <c r="N469" s="96">
        <v>0.3234246580072267</v>
      </c>
      <c r="O469" s="96">
        <v>1.2856684856722274</v>
      </c>
      <c r="P469" s="132">
        <v>11.594601886281161</v>
      </c>
      <c r="W469" s="115">
        <f t="shared" si="21"/>
        <v>11.594601886281161</v>
      </c>
    </row>
    <row r="470" spans="11:23">
      <c r="K470" s="130">
        <v>465</v>
      </c>
      <c r="L470" s="108">
        <v>4.1476163521453007</v>
      </c>
      <c r="M470" s="107">
        <v>0.31962872453881053</v>
      </c>
      <c r="N470" s="96">
        <v>0.25413832882624487</v>
      </c>
      <c r="O470" s="96">
        <v>1.087490439131038</v>
      </c>
      <c r="P470" s="132">
        <v>0.24434016134304856</v>
      </c>
      <c r="W470" s="115">
        <f t="shared" si="21"/>
        <v>0.24434016134304856</v>
      </c>
    </row>
    <row r="471" spans="11:23">
      <c r="K471" s="130">
        <v>466</v>
      </c>
      <c r="L471" s="108">
        <v>-4.9299859729633972</v>
      </c>
      <c r="M471" s="107">
        <v>0.32595297532240997</v>
      </c>
      <c r="N471" s="96">
        <v>0.27941105386959142</v>
      </c>
      <c r="O471" s="96">
        <v>1.4917420200681637</v>
      </c>
      <c r="P471" s="132">
        <v>8.5252279822149788</v>
      </c>
      <c r="W471" s="115">
        <f t="shared" si="21"/>
        <v>8.5252279822149788</v>
      </c>
    </row>
    <row r="472" spans="11:23">
      <c r="K472" s="130">
        <v>467</v>
      </c>
      <c r="L472" s="108">
        <v>-5.6607894530795466</v>
      </c>
      <c r="M472" s="107">
        <v>0.3147831521049505</v>
      </c>
      <c r="N472" s="96">
        <v>0.30736321793342003</v>
      </c>
      <c r="O472" s="96">
        <v>1.2704856030437397</v>
      </c>
      <c r="P472" s="132">
        <v>8.5380317349059744</v>
      </c>
      <c r="W472" s="115">
        <f t="shared" si="21"/>
        <v>8.5380317349059744</v>
      </c>
    </row>
    <row r="473" spans="11:23">
      <c r="K473" s="130">
        <v>468</v>
      </c>
      <c r="L473" s="108">
        <v>-1.6829420170861575</v>
      </c>
      <c r="M473" s="107">
        <v>0.33006392584926192</v>
      </c>
      <c r="N473" s="96">
        <v>0.31415425456709239</v>
      </c>
      <c r="O473" s="96">
        <v>1.0567238381575692</v>
      </c>
      <c r="P473" s="132">
        <v>1.3423999745294597</v>
      </c>
      <c r="W473" s="115">
        <f t="shared" si="21"/>
        <v>1.3423999745294597</v>
      </c>
    </row>
    <row r="474" spans="11:23">
      <c r="K474" s="130">
        <v>469</v>
      </c>
      <c r="L474" s="108">
        <v>-2.551899233165428</v>
      </c>
      <c r="M474" s="107">
        <v>0.32354899187578628</v>
      </c>
      <c r="N474" s="96">
        <v>0.30224039493671578</v>
      </c>
      <c r="O474" s="96">
        <v>1.4795620639621683</v>
      </c>
      <c r="P474" s="132">
        <v>11.703882569671746</v>
      </c>
      <c r="W474" s="115">
        <f t="shared" si="21"/>
        <v>11.703882569671746</v>
      </c>
    </row>
    <row r="475" spans="11:23">
      <c r="K475" s="130">
        <v>470</v>
      </c>
      <c r="L475" s="108">
        <v>-2.582461744370633</v>
      </c>
      <c r="M475" s="107">
        <v>0.33094267035392305</v>
      </c>
      <c r="N475" s="96">
        <v>0.3603741851203503</v>
      </c>
      <c r="O475" s="96">
        <v>1.0429199179699715</v>
      </c>
      <c r="P475" s="132">
        <v>6.0955469832873268</v>
      </c>
      <c r="W475" s="115">
        <f t="shared" si="21"/>
        <v>6.0955469832873268</v>
      </c>
    </row>
    <row r="476" spans="11:23">
      <c r="K476" s="130">
        <v>471</v>
      </c>
      <c r="L476" s="108">
        <v>2.5679616355850099</v>
      </c>
      <c r="M476" s="107">
        <v>0.31265996732980211</v>
      </c>
      <c r="N476" s="96">
        <v>0.24129983047268694</v>
      </c>
      <c r="O476" s="96">
        <v>1.5397142606704071</v>
      </c>
      <c r="P476" s="132">
        <v>5.6052781590684875</v>
      </c>
      <c r="W476" s="115">
        <f t="shared" si="21"/>
        <v>5.6052781590684875</v>
      </c>
    </row>
    <row r="477" spans="11:23">
      <c r="K477" s="130">
        <v>472</v>
      </c>
      <c r="L477" s="108">
        <v>13.940834169418268</v>
      </c>
      <c r="M477" s="107">
        <v>0.32448388723531468</v>
      </c>
      <c r="N477" s="96">
        <v>0.27907059888137514</v>
      </c>
      <c r="O477" s="96">
        <v>1.2269993208000389</v>
      </c>
      <c r="P477" s="132">
        <v>2.5347792235117392</v>
      </c>
      <c r="W477" s="115">
        <f t="shared" si="21"/>
        <v>2.5347792235117392</v>
      </c>
    </row>
    <row r="478" spans="11:23">
      <c r="K478" s="130">
        <v>473</v>
      </c>
      <c r="L478" s="108">
        <v>-2.1942198558419057</v>
      </c>
      <c r="M478" s="107">
        <v>0.33562162679050084</v>
      </c>
      <c r="N478" s="96">
        <v>0.31578812621931907</v>
      </c>
      <c r="O478" s="96">
        <v>1.1855874053632947</v>
      </c>
      <c r="P478" s="132">
        <v>4.6889763320622917</v>
      </c>
      <c r="W478" s="115">
        <f t="shared" si="21"/>
        <v>4.6889763320622917</v>
      </c>
    </row>
    <row r="479" spans="11:23">
      <c r="K479" s="130">
        <v>474</v>
      </c>
      <c r="L479" s="108">
        <v>-9.6031362845668014</v>
      </c>
      <c r="M479" s="107">
        <v>0.32377758760117903</v>
      </c>
      <c r="N479" s="96">
        <v>0.26330960854373187</v>
      </c>
      <c r="O479" s="96">
        <v>1.1465176241481814</v>
      </c>
      <c r="P479" s="132">
        <v>0.43850400123113686</v>
      </c>
      <c r="W479" s="115">
        <f t="shared" si="21"/>
        <v>0.43850400123113686</v>
      </c>
    </row>
    <row r="480" spans="11:23">
      <c r="K480" s="130">
        <v>475</v>
      </c>
      <c r="L480" s="108">
        <v>-10.887519627741172</v>
      </c>
      <c r="M480" s="107">
        <v>0.32511547719012118</v>
      </c>
      <c r="N480" s="96">
        <v>0.28760961424266834</v>
      </c>
      <c r="O480" s="96">
        <v>0.97491459592238638</v>
      </c>
      <c r="P480" s="132">
        <v>0.23846821336621779</v>
      </c>
      <c r="W480" s="115">
        <f t="shared" si="21"/>
        <v>0.23846821336621779</v>
      </c>
    </row>
    <row r="481" spans="11:23">
      <c r="K481" s="130">
        <v>476</v>
      </c>
      <c r="L481" s="108">
        <v>11.788656881729288</v>
      </c>
      <c r="M481" s="107">
        <v>0.33443552516518971</v>
      </c>
      <c r="N481" s="96">
        <v>0.2754614676943779</v>
      </c>
      <c r="O481" s="96">
        <v>0.90022678452065741</v>
      </c>
      <c r="P481" s="132">
        <v>0.12665198868944677</v>
      </c>
      <c r="W481" s="115">
        <f t="shared" si="21"/>
        <v>0.12665198868944677</v>
      </c>
    </row>
    <row r="482" spans="11:23">
      <c r="K482" s="130">
        <v>477</v>
      </c>
      <c r="L482" s="108">
        <v>-10.662942951150567</v>
      </c>
      <c r="M482" s="107">
        <v>0.32495318446274901</v>
      </c>
      <c r="N482" s="96">
        <v>0.26519739982010854</v>
      </c>
      <c r="O482" s="96">
        <v>1.0565440418145644</v>
      </c>
      <c r="P482" s="132">
        <v>0.23774136612442287</v>
      </c>
      <c r="W482" s="115">
        <f t="shared" si="21"/>
        <v>0.23774136612442287</v>
      </c>
    </row>
    <row r="483" spans="11:23">
      <c r="K483" s="130">
        <v>478</v>
      </c>
      <c r="L483" s="108">
        <v>1.4184878833167254</v>
      </c>
      <c r="M483" s="107">
        <v>0.3249168964099246</v>
      </c>
      <c r="N483" s="96">
        <v>0.28625290380936413</v>
      </c>
      <c r="O483" s="96">
        <v>1.089161319183507</v>
      </c>
      <c r="P483" s="132">
        <v>0.62361715052700895</v>
      </c>
      <c r="W483" s="115">
        <f t="shared" si="21"/>
        <v>0.62361715052700895</v>
      </c>
    </row>
    <row r="484" spans="11:23">
      <c r="K484" s="130">
        <v>479</v>
      </c>
      <c r="L484" s="108">
        <v>7.7143853571164076</v>
      </c>
      <c r="M484" s="107">
        <v>0.33124968283405376</v>
      </c>
      <c r="N484" s="96">
        <v>0.30839821366951642</v>
      </c>
      <c r="O484" s="96">
        <v>1.0477610855189763</v>
      </c>
      <c r="P484" s="132">
        <v>0.79650308439347473</v>
      </c>
      <c r="W484" s="115">
        <f t="shared" si="21"/>
        <v>0.79650308439347473</v>
      </c>
    </row>
    <row r="485" spans="11:23">
      <c r="K485" s="130">
        <v>480</v>
      </c>
      <c r="L485" s="108">
        <v>-1.7906010939363091</v>
      </c>
      <c r="M485" s="107">
        <v>0.31232400710791242</v>
      </c>
      <c r="N485" s="96">
        <v>0.33621594231934265</v>
      </c>
      <c r="O485" s="96">
        <v>1.369257962400223</v>
      </c>
      <c r="P485" s="132">
        <v>15.466931795817722</v>
      </c>
      <c r="W485" s="115">
        <f t="shared" si="21"/>
        <v>15.466931795817722</v>
      </c>
    </row>
    <row r="486" spans="11:23">
      <c r="K486" s="130">
        <v>481</v>
      </c>
      <c r="L486" s="108">
        <v>-2.843267044279556</v>
      </c>
      <c r="M486" s="107">
        <v>0.32397002603637015</v>
      </c>
      <c r="N486" s="96">
        <v>0.23736927000869196</v>
      </c>
      <c r="O486" s="96">
        <v>1.4379689226907364</v>
      </c>
      <c r="P486" s="132">
        <v>2.1871257337583754</v>
      </c>
      <c r="W486" s="115">
        <f t="shared" si="21"/>
        <v>2.1871257337583754</v>
      </c>
    </row>
    <row r="487" spans="11:23">
      <c r="K487" s="130">
        <v>482</v>
      </c>
      <c r="L487" s="108">
        <v>-2.3933164481553399</v>
      </c>
      <c r="M487" s="107">
        <v>0.31081436898167419</v>
      </c>
      <c r="N487" s="96">
        <v>0.29717617778601962</v>
      </c>
      <c r="O487" s="96">
        <v>1.0867014460331834</v>
      </c>
      <c r="P487" s="132">
        <v>2.2478086092346001</v>
      </c>
      <c r="W487" s="115">
        <f t="shared" si="21"/>
        <v>2.2478086092346001</v>
      </c>
    </row>
    <row r="488" spans="11:23">
      <c r="K488" s="130">
        <v>483</v>
      </c>
      <c r="L488" s="108">
        <v>-11.196584171330995</v>
      </c>
      <c r="M488" s="107">
        <v>0.3240065347936783</v>
      </c>
      <c r="N488" s="96">
        <v>0.28212662893746132</v>
      </c>
      <c r="O488" s="96">
        <v>1.2355858327574865</v>
      </c>
      <c r="P488" s="132">
        <v>3.1618357753581674</v>
      </c>
      <c r="W488" s="115">
        <f t="shared" si="21"/>
        <v>3.1618357753581674</v>
      </c>
    </row>
    <row r="489" spans="11:23">
      <c r="K489" s="130">
        <v>484</v>
      </c>
      <c r="L489" s="108">
        <v>7.6538649115156057</v>
      </c>
      <c r="M489" s="107">
        <v>0.32297782568588984</v>
      </c>
      <c r="N489" s="96">
        <v>0.35562052759296386</v>
      </c>
      <c r="O489" s="96">
        <v>1.0331582163160795</v>
      </c>
      <c r="P489" s="132">
        <v>6.1884234470226049</v>
      </c>
      <c r="W489" s="115">
        <f t="shared" si="21"/>
        <v>6.1884234470226049</v>
      </c>
    </row>
    <row r="490" spans="11:23">
      <c r="K490" s="130">
        <v>485</v>
      </c>
      <c r="L490" s="108">
        <v>1.5546984619412716</v>
      </c>
      <c r="M490" s="107">
        <v>0.33470336263037792</v>
      </c>
      <c r="N490" s="96">
        <v>0.34969653854377686</v>
      </c>
      <c r="O490" s="96">
        <v>1.0353190731432007</v>
      </c>
      <c r="P490" s="132">
        <v>3.9460180870434214</v>
      </c>
      <c r="W490" s="115">
        <f t="shared" si="21"/>
        <v>3.9460180870434214</v>
      </c>
    </row>
    <row r="491" spans="11:23">
      <c r="K491" s="130">
        <v>486</v>
      </c>
      <c r="L491" s="108">
        <v>3.5160102458597149</v>
      </c>
      <c r="M491" s="107">
        <v>0.35402992175850068</v>
      </c>
      <c r="N491" s="96">
        <v>0.27179036884737373</v>
      </c>
      <c r="O491" s="96">
        <v>1.1173444623935711</v>
      </c>
      <c r="P491" s="132">
        <v>0.21698637979328189</v>
      </c>
      <c r="W491" s="115">
        <f t="shared" si="21"/>
        <v>0.21698637979328189</v>
      </c>
    </row>
    <row r="492" spans="11:23">
      <c r="K492" s="130">
        <v>487</v>
      </c>
      <c r="L492" s="108">
        <v>-4.7754682103956219</v>
      </c>
      <c r="M492" s="107">
        <v>0.3331599813073815</v>
      </c>
      <c r="N492" s="96">
        <v>0.26457388019000527</v>
      </c>
      <c r="O492" s="96">
        <v>1.1746036330765808</v>
      </c>
      <c r="P492" s="132">
        <v>0.43167240285839209</v>
      </c>
      <c r="W492" s="115">
        <f t="shared" si="21"/>
        <v>0.43167240285839209</v>
      </c>
    </row>
    <row r="493" spans="11:23">
      <c r="K493" s="130">
        <v>488</v>
      </c>
      <c r="L493" s="108">
        <v>3.313101922360091</v>
      </c>
      <c r="M493" s="107">
        <v>0.32042568677243538</v>
      </c>
      <c r="N493" s="96">
        <v>0.26775832642805186</v>
      </c>
      <c r="O493" s="96">
        <v>1.0153389147370306</v>
      </c>
      <c r="P493" s="132">
        <v>0.21962778717995574</v>
      </c>
      <c r="W493" s="115">
        <f t="shared" si="21"/>
        <v>0.21962778717995574</v>
      </c>
    </row>
    <row r="494" spans="11:23">
      <c r="K494" s="130">
        <v>489</v>
      </c>
      <c r="L494" s="108">
        <v>5.5204402166701874</v>
      </c>
      <c r="M494" s="107">
        <v>0.33985442740448613</v>
      </c>
      <c r="N494" s="96">
        <v>0.26368890812366602</v>
      </c>
      <c r="O494" s="96">
        <v>1.4586542804958778</v>
      </c>
      <c r="P494" s="132">
        <v>4.3575991573262032</v>
      </c>
      <c r="W494" s="115">
        <f t="shared" si="21"/>
        <v>4.3575991573262032</v>
      </c>
    </row>
    <row r="495" spans="11:23">
      <c r="K495" s="130">
        <v>490</v>
      </c>
      <c r="L495" s="108">
        <v>-3.0552689260986297</v>
      </c>
      <c r="M495" s="107">
        <v>0.32942636289298632</v>
      </c>
      <c r="N495" s="96">
        <v>0.23960009662295889</v>
      </c>
      <c r="O495" s="96">
        <v>1.1963355250071379</v>
      </c>
      <c r="P495" s="132">
        <v>0.24777983267486184</v>
      </c>
      <c r="W495" s="115">
        <f t="shared" si="21"/>
        <v>0.24777983267486184</v>
      </c>
    </row>
    <row r="496" spans="11:23">
      <c r="K496" s="130">
        <v>491</v>
      </c>
      <c r="L496" s="108">
        <v>15.082547818248491</v>
      </c>
      <c r="M496" s="107">
        <v>0.35143425143936197</v>
      </c>
      <c r="N496" s="96">
        <v>0.30478451270779955</v>
      </c>
      <c r="O496" s="96">
        <v>1.1714458197321753</v>
      </c>
      <c r="P496" s="132">
        <v>1.4968727539606805</v>
      </c>
      <c r="W496" s="115">
        <f t="shared" si="21"/>
        <v>1.4968727539606805</v>
      </c>
    </row>
    <row r="497" spans="11:23">
      <c r="K497" s="130">
        <v>492</v>
      </c>
      <c r="L497" s="108">
        <v>-3.2467773913503977</v>
      </c>
      <c r="M497" s="107">
        <v>0.33704092778802042</v>
      </c>
      <c r="N497" s="96">
        <v>0.2489642546387501</v>
      </c>
      <c r="O497" s="96">
        <v>1.3908057485226686</v>
      </c>
      <c r="P497" s="132">
        <v>1.6014682743672712</v>
      </c>
      <c r="W497" s="115">
        <f t="shared" si="21"/>
        <v>1.6014682743672712</v>
      </c>
    </row>
    <row r="498" spans="11:23">
      <c r="K498" s="130">
        <v>493</v>
      </c>
      <c r="L498" s="108">
        <v>-0.27231991239344722</v>
      </c>
      <c r="M498" s="107">
        <v>0.33422656780074239</v>
      </c>
      <c r="N498" s="96">
        <v>0.27504913472212073</v>
      </c>
      <c r="O498" s="96">
        <v>1.2544469838534746</v>
      </c>
      <c r="P498" s="132">
        <v>1.8466027791388062</v>
      </c>
      <c r="W498" s="115">
        <f t="shared" si="21"/>
        <v>1.8466027791388062</v>
      </c>
    </row>
    <row r="499" spans="11:23">
      <c r="K499" s="130">
        <v>494</v>
      </c>
      <c r="L499" s="108">
        <v>-1.6467640698661223</v>
      </c>
      <c r="M499" s="107">
        <v>0.33839800280983967</v>
      </c>
      <c r="N499" s="96">
        <v>0.30727495509062863</v>
      </c>
      <c r="O499" s="96">
        <v>1.2071079357500405</v>
      </c>
      <c r="P499" s="132">
        <v>3.9405775394824523</v>
      </c>
      <c r="W499" s="115">
        <f t="shared" si="21"/>
        <v>3.9405775394824523</v>
      </c>
    </row>
    <row r="500" spans="11:23">
      <c r="K500" s="130">
        <v>495</v>
      </c>
      <c r="L500" s="108">
        <v>5.2620942658050556</v>
      </c>
      <c r="M500" s="107">
        <v>0.31865983579921192</v>
      </c>
      <c r="N500" s="96">
        <v>0.29530242853821875</v>
      </c>
      <c r="O500" s="96">
        <v>1.1270647811870362</v>
      </c>
      <c r="P500" s="132">
        <v>2.3598765146077048</v>
      </c>
      <c r="W500" s="115">
        <f t="shared" si="21"/>
        <v>2.3598765146077048</v>
      </c>
    </row>
    <row r="501" spans="11:23">
      <c r="K501" s="130">
        <v>496</v>
      </c>
      <c r="L501" s="108">
        <v>-0.69006612003395218</v>
      </c>
      <c r="M501" s="107">
        <v>0.31733623723407156</v>
      </c>
      <c r="N501" s="96">
        <v>0.32425664418507383</v>
      </c>
      <c r="O501" s="96">
        <v>1.2540361379714471</v>
      </c>
      <c r="P501" s="132">
        <v>10.102443635327127</v>
      </c>
      <c r="W501" s="115">
        <f t="shared" si="21"/>
        <v>10.102443635327127</v>
      </c>
    </row>
    <row r="502" spans="11:23">
      <c r="K502" s="130">
        <v>497</v>
      </c>
      <c r="L502" s="108">
        <v>12.410332503562417</v>
      </c>
      <c r="M502" s="107">
        <v>0.32705663483477615</v>
      </c>
      <c r="N502" s="96">
        <v>0.31319135775268525</v>
      </c>
      <c r="O502" s="96">
        <v>0.93171096392301589</v>
      </c>
      <c r="P502" s="132">
        <v>0.29810994806585811</v>
      </c>
      <c r="W502" s="115">
        <f t="shared" si="21"/>
        <v>0.29810994806585811</v>
      </c>
    </row>
    <row r="503" spans="11:23">
      <c r="K503" s="130">
        <v>498</v>
      </c>
      <c r="L503" s="108">
        <v>-1.2671682634114856</v>
      </c>
      <c r="M503" s="107">
        <v>0.31068698163757225</v>
      </c>
      <c r="N503" s="96">
        <v>0.30217796870050939</v>
      </c>
      <c r="O503" s="96">
        <v>0.99406991611997209</v>
      </c>
      <c r="P503" s="132">
        <v>0.72467541222299869</v>
      </c>
      <c r="W503" s="115">
        <f t="shared" si="21"/>
        <v>0.72467541222299869</v>
      </c>
    </row>
    <row r="504" spans="11:23">
      <c r="K504" s="130">
        <v>499</v>
      </c>
      <c r="L504" s="108">
        <v>-10.519206502043286</v>
      </c>
      <c r="M504" s="107">
        <v>0.3125941958055129</v>
      </c>
      <c r="N504" s="96">
        <v>0.28628064567229722</v>
      </c>
      <c r="O504" s="96">
        <v>1.1169693506064271</v>
      </c>
      <c r="P504" s="132">
        <v>1.7368128332655106</v>
      </c>
      <c r="W504" s="115">
        <f t="shared" si="21"/>
        <v>1.7368128332655106</v>
      </c>
    </row>
    <row r="505" spans="11:23">
      <c r="K505" s="130">
        <v>500</v>
      </c>
      <c r="L505" s="108">
        <v>6.2304472371833413</v>
      </c>
      <c r="M505" s="107">
        <v>0.33328104082305759</v>
      </c>
      <c r="N505" s="96">
        <v>0.28140221449551889</v>
      </c>
      <c r="O505" s="96">
        <v>1.1312011177691839</v>
      </c>
      <c r="P505" s="132">
        <v>0.57397834062171205</v>
      </c>
      <c r="W505" s="115">
        <f t="shared" si="21"/>
        <v>0.57397834062171205</v>
      </c>
    </row>
    <row r="506" spans="11:23">
      <c r="K506" s="130">
        <v>501</v>
      </c>
      <c r="L506" s="108">
        <v>14.132147005461944</v>
      </c>
      <c r="M506" s="107">
        <v>0.33223604939489731</v>
      </c>
      <c r="N506" s="96">
        <v>0.29560402467633312</v>
      </c>
      <c r="O506" s="96">
        <v>1.2625910405191381</v>
      </c>
      <c r="P506" s="132">
        <v>4.6751911365223995</v>
      </c>
      <c r="W506" s="115">
        <f t="shared" si="21"/>
        <v>4.6751911365223995</v>
      </c>
    </row>
    <row r="507" spans="11:23">
      <c r="K507" s="130">
        <v>502</v>
      </c>
      <c r="L507" s="108">
        <v>3.8816042422648755</v>
      </c>
      <c r="M507" s="107">
        <v>0.32414909223747879</v>
      </c>
      <c r="N507" s="96">
        <v>0.34931528212525254</v>
      </c>
      <c r="O507" s="96">
        <v>1.3565202491448549</v>
      </c>
      <c r="P507" s="132">
        <v>15.46487740860708</v>
      </c>
      <c r="W507" s="115">
        <f t="shared" si="21"/>
        <v>15.46487740860708</v>
      </c>
    </row>
    <row r="508" spans="11:23">
      <c r="K508" s="130">
        <v>503</v>
      </c>
      <c r="L508" s="108">
        <v>-2.5997851899790372</v>
      </c>
      <c r="M508" s="107">
        <v>0.33316421486657033</v>
      </c>
      <c r="N508" s="96">
        <v>0.27398290101611106</v>
      </c>
      <c r="O508" s="96">
        <v>0.946407605481556</v>
      </c>
      <c r="P508" s="132">
        <v>0.14779688481752459</v>
      </c>
      <c r="W508" s="115">
        <f t="shared" si="21"/>
        <v>0.14779688481752459</v>
      </c>
    </row>
    <row r="509" spans="11:23">
      <c r="K509" s="130">
        <v>504</v>
      </c>
      <c r="L509" s="108">
        <v>0.72406812806441145</v>
      </c>
      <c r="M509" s="107">
        <v>0.34312263961927603</v>
      </c>
      <c r="N509" s="96">
        <v>0.26680210783634228</v>
      </c>
      <c r="O509" s="96">
        <v>1.1382455085793504</v>
      </c>
      <c r="P509" s="132">
        <v>0.26994499756278423</v>
      </c>
      <c r="W509" s="115">
        <f t="shared" si="21"/>
        <v>0.26994499756278423</v>
      </c>
    </row>
    <row r="510" spans="11:23">
      <c r="K510" s="130">
        <v>505</v>
      </c>
      <c r="L510" s="108">
        <v>-5.5321130237929408</v>
      </c>
      <c r="M510" s="107">
        <v>0.3470182842429349</v>
      </c>
      <c r="N510" s="96">
        <v>0.20704435582725189</v>
      </c>
      <c r="O510" s="96">
        <v>1.135010236130116</v>
      </c>
      <c r="P510" s="132">
        <v>9.8765104266225132E-2</v>
      </c>
      <c r="W510" s="115">
        <f t="shared" si="21"/>
        <v>9.8765104266225132E-2</v>
      </c>
    </row>
    <row r="511" spans="11:23">
      <c r="K511" s="130">
        <v>506</v>
      </c>
      <c r="L511" s="108">
        <v>-1.950746280681392</v>
      </c>
      <c r="M511" s="107">
        <v>0.33437693932108797</v>
      </c>
      <c r="N511" s="96">
        <v>0.36444194456589191</v>
      </c>
      <c r="O511" s="96">
        <v>1.3783695019237328</v>
      </c>
      <c r="P511" s="132">
        <v>16.980850705712019</v>
      </c>
      <c r="W511" s="115">
        <f t="shared" si="21"/>
        <v>16.980850705712019</v>
      </c>
    </row>
    <row r="512" spans="11:23">
      <c r="K512" s="130">
        <v>507</v>
      </c>
      <c r="L512" s="108">
        <v>12.97224936211709</v>
      </c>
      <c r="M512" s="107">
        <v>0.32720233741715327</v>
      </c>
      <c r="N512" s="96">
        <v>0.28766834069534419</v>
      </c>
      <c r="O512" s="96">
        <v>1.1652902663197453</v>
      </c>
      <c r="P512" s="132">
        <v>1.7281061636998978</v>
      </c>
      <c r="W512" s="115">
        <f t="shared" si="21"/>
        <v>1.7281061636998978</v>
      </c>
    </row>
    <row r="513" spans="11:23">
      <c r="K513" s="130">
        <v>508</v>
      </c>
      <c r="L513" s="108">
        <v>1.3337249033318006</v>
      </c>
      <c r="M513" s="107">
        <v>0.33202312772355658</v>
      </c>
      <c r="N513" s="96">
        <v>0.25872339466901062</v>
      </c>
      <c r="O513" s="96">
        <v>1.1098722480666252</v>
      </c>
      <c r="P513" s="132">
        <v>0.23804600214676708</v>
      </c>
      <c r="W513" s="115">
        <f t="shared" si="21"/>
        <v>0.23804600214676708</v>
      </c>
    </row>
    <row r="514" spans="11:23">
      <c r="K514" s="130">
        <v>509</v>
      </c>
      <c r="L514" s="108">
        <v>1.6934705700460757</v>
      </c>
      <c r="M514" s="107">
        <v>0.3416605400436204</v>
      </c>
      <c r="N514" s="96">
        <v>0.2382919418716905</v>
      </c>
      <c r="O514" s="96">
        <v>1.2758131435075986</v>
      </c>
      <c r="P514" s="132">
        <v>0.27980153392103002</v>
      </c>
      <c r="W514" s="115">
        <f t="shared" si="21"/>
        <v>0.27980153392103002</v>
      </c>
    </row>
    <row r="515" spans="11:23">
      <c r="K515" s="130">
        <v>510</v>
      </c>
      <c r="L515" s="108">
        <v>4.3308264090381829</v>
      </c>
      <c r="M515" s="107">
        <v>0.31365245358769028</v>
      </c>
      <c r="N515" s="96">
        <v>0.23629571404890526</v>
      </c>
      <c r="O515" s="96">
        <v>1.1563967750023783</v>
      </c>
      <c r="P515" s="132">
        <v>0.25868792207656438</v>
      </c>
      <c r="W515" s="115">
        <f t="shared" si="21"/>
        <v>0.25868792207656438</v>
      </c>
    </row>
    <row r="516" spans="11:23">
      <c r="K516" s="130">
        <v>511</v>
      </c>
      <c r="L516" s="108">
        <v>3.5996313107963305</v>
      </c>
      <c r="M516" s="107">
        <v>0.33442155807832558</v>
      </c>
      <c r="N516" s="96">
        <v>0.32401536800156616</v>
      </c>
      <c r="O516" s="96">
        <v>1.2449117905491047</v>
      </c>
      <c r="P516" s="132">
        <v>7.6547276836273195</v>
      </c>
      <c r="W516" s="115">
        <f t="shared" si="21"/>
        <v>7.6547276836273195</v>
      </c>
    </row>
    <row r="517" spans="11:23">
      <c r="K517" s="130">
        <v>512</v>
      </c>
      <c r="L517" s="108">
        <v>5.4697388210157438</v>
      </c>
      <c r="M517" s="107">
        <v>0.32774982934374203</v>
      </c>
      <c r="N517" s="96">
        <v>0.25321899123582359</v>
      </c>
      <c r="O517" s="96">
        <v>0.95319620192947907</v>
      </c>
      <c r="P517" s="132">
        <v>0.12606288267186894</v>
      </c>
      <c r="W517" s="115">
        <f t="shared" si="21"/>
        <v>0.12606288267186894</v>
      </c>
    </row>
    <row r="518" spans="11:23">
      <c r="K518" s="130">
        <v>513</v>
      </c>
      <c r="L518" s="108">
        <v>-0.44456405666344101</v>
      </c>
      <c r="M518" s="107">
        <v>0.33103325036050946</v>
      </c>
      <c r="N518" s="96">
        <v>0.30754021490254713</v>
      </c>
      <c r="O518" s="96">
        <v>1.0570581249435844</v>
      </c>
      <c r="P518" s="132">
        <v>0.88638317045921977</v>
      </c>
      <c r="W518" s="115">
        <f t="shared" ref="W518:W581" si="22">P518</f>
        <v>0.88638317045921977</v>
      </c>
    </row>
    <row r="519" spans="11:23">
      <c r="K519" s="130">
        <v>514</v>
      </c>
      <c r="L519" s="108">
        <v>7.815308845732643</v>
      </c>
      <c r="M519" s="107">
        <v>0.35064793606791628</v>
      </c>
      <c r="N519" s="96">
        <v>0.28622561666521967</v>
      </c>
      <c r="O519" s="96">
        <v>1.1896048943204427</v>
      </c>
      <c r="P519" s="132">
        <v>0.69979918170020772</v>
      </c>
      <c r="W519" s="115">
        <f t="shared" si="22"/>
        <v>0.69979918170020772</v>
      </c>
    </row>
    <row r="520" spans="11:23">
      <c r="K520" s="130">
        <v>515</v>
      </c>
      <c r="L520" s="108">
        <v>-3.1170268842068265</v>
      </c>
      <c r="M520" s="107">
        <v>0.32530916110883357</v>
      </c>
      <c r="N520" s="96">
        <v>0.30571051721040715</v>
      </c>
      <c r="O520" s="96">
        <v>1.358145012539218</v>
      </c>
      <c r="P520" s="132">
        <v>9.2590043777867894</v>
      </c>
      <c r="W520" s="115">
        <f t="shared" si="22"/>
        <v>9.2590043777867894</v>
      </c>
    </row>
    <row r="521" spans="11:23">
      <c r="K521" s="130">
        <v>516</v>
      </c>
      <c r="L521" s="108">
        <v>7.8780426432811472</v>
      </c>
      <c r="M521" s="107">
        <v>0.32403004363864002</v>
      </c>
      <c r="N521" s="96">
        <v>0.29156990991014164</v>
      </c>
      <c r="O521" s="96">
        <v>1.2058874215909583</v>
      </c>
      <c r="P521" s="132">
        <v>3.5349977660642553</v>
      </c>
      <c r="W521" s="115">
        <f t="shared" si="22"/>
        <v>3.5349977660642553</v>
      </c>
    </row>
    <row r="522" spans="11:23">
      <c r="K522" s="130">
        <v>517</v>
      </c>
      <c r="L522" s="108">
        <v>-7.6785868384023015</v>
      </c>
      <c r="M522" s="107">
        <v>0.33019913002291595</v>
      </c>
      <c r="N522" s="96">
        <v>0.32419144949238016</v>
      </c>
      <c r="O522" s="96">
        <v>1.0042123444598801</v>
      </c>
      <c r="P522" s="132">
        <v>0.96545291862644056</v>
      </c>
      <c r="W522" s="115">
        <f t="shared" si="22"/>
        <v>0.96545291862644056</v>
      </c>
    </row>
    <row r="523" spans="11:23">
      <c r="K523" s="130">
        <v>518</v>
      </c>
      <c r="L523" s="108">
        <v>-15.204483118363969</v>
      </c>
      <c r="M523" s="107">
        <v>0.32050310264412191</v>
      </c>
      <c r="N523" s="96">
        <v>0.35089271827697743</v>
      </c>
      <c r="O523" s="96">
        <v>1.09415167363183</v>
      </c>
      <c r="P523" s="132">
        <v>8.2291326699563463</v>
      </c>
      <c r="W523" s="115">
        <f t="shared" si="22"/>
        <v>8.2291326699563463</v>
      </c>
    </row>
    <row r="524" spans="11:23">
      <c r="K524" s="130">
        <v>519</v>
      </c>
      <c r="L524" s="108">
        <v>-7.7526947966743212</v>
      </c>
      <c r="M524" s="107">
        <v>0.33795304371546891</v>
      </c>
      <c r="N524" s="96">
        <v>0.30757196334225823</v>
      </c>
      <c r="O524" s="96">
        <v>1.3811016571693222</v>
      </c>
      <c r="P524" s="132">
        <v>8.5986739262470433</v>
      </c>
      <c r="W524" s="115">
        <f t="shared" si="22"/>
        <v>8.5986739262470433</v>
      </c>
    </row>
    <row r="525" spans="11:23">
      <c r="K525" s="130">
        <v>520</v>
      </c>
      <c r="L525" s="108">
        <v>5.6998738431687528</v>
      </c>
      <c r="M525" s="107">
        <v>0.3292827044448105</v>
      </c>
      <c r="N525" s="96">
        <v>0.34683655292206467</v>
      </c>
      <c r="O525" s="96">
        <v>1.2251850537411999</v>
      </c>
      <c r="P525" s="132">
        <v>10.808217268203958</v>
      </c>
      <c r="W525" s="115">
        <f t="shared" si="22"/>
        <v>10.808217268203958</v>
      </c>
    </row>
    <row r="526" spans="11:23">
      <c r="K526" s="130">
        <v>521</v>
      </c>
      <c r="L526" s="108">
        <v>-3.2329317646288285</v>
      </c>
      <c r="M526" s="107">
        <v>0.3197731205431828</v>
      </c>
      <c r="N526" s="96">
        <v>0.32670835584134256</v>
      </c>
      <c r="O526" s="96">
        <v>1.1414531620064829</v>
      </c>
      <c r="P526" s="132">
        <v>6.6886948898593044</v>
      </c>
      <c r="W526" s="115">
        <f t="shared" si="22"/>
        <v>6.6886948898593044</v>
      </c>
    </row>
    <row r="527" spans="11:23">
      <c r="K527" s="130">
        <v>522</v>
      </c>
      <c r="L527" s="108">
        <v>-7.553356963312952</v>
      </c>
      <c r="M527" s="107">
        <v>0.3232724050289113</v>
      </c>
      <c r="N527" s="96">
        <v>0.27283087735628625</v>
      </c>
      <c r="O527" s="96">
        <v>1.3005614943579917</v>
      </c>
      <c r="P527" s="132">
        <v>3.6947103497013996</v>
      </c>
      <c r="W527" s="115">
        <f t="shared" si="22"/>
        <v>3.6947103497013996</v>
      </c>
    </row>
    <row r="528" spans="11:23">
      <c r="K528" s="130">
        <v>523</v>
      </c>
      <c r="L528" s="108">
        <v>-0.63481428219273428</v>
      </c>
      <c r="M528" s="107">
        <v>0.33539421363651495</v>
      </c>
      <c r="N528" s="96">
        <v>0.31893534365190002</v>
      </c>
      <c r="O528" s="96">
        <v>1.1683663555615251</v>
      </c>
      <c r="P528" s="132">
        <v>4.5890450208128755</v>
      </c>
      <c r="W528" s="115">
        <f t="shared" si="22"/>
        <v>4.5890450208128755</v>
      </c>
    </row>
    <row r="529" spans="11:23">
      <c r="K529" s="130">
        <v>524</v>
      </c>
      <c r="L529" s="108">
        <v>2.3500302664350183</v>
      </c>
      <c r="M529" s="107">
        <v>0.32392768993088056</v>
      </c>
      <c r="N529" s="96">
        <v>0.29213344156632448</v>
      </c>
      <c r="O529" s="96">
        <v>1.0409765799381536</v>
      </c>
      <c r="P529" s="132">
        <v>0.47774122804231589</v>
      </c>
      <c r="W529" s="115">
        <f t="shared" si="22"/>
        <v>0.47774122804231589</v>
      </c>
    </row>
    <row r="530" spans="11:23">
      <c r="K530" s="130">
        <v>525</v>
      </c>
      <c r="L530" s="108">
        <v>-2.4556560238226588</v>
      </c>
      <c r="M530" s="107">
        <v>0.33465526883206098</v>
      </c>
      <c r="N530" s="96">
        <v>0.25752580236352135</v>
      </c>
      <c r="O530" s="96">
        <v>1.4442337191558603</v>
      </c>
      <c r="P530" s="132">
        <v>3.7826204441200435</v>
      </c>
      <c r="W530" s="115">
        <f t="shared" si="22"/>
        <v>3.7826204441200435</v>
      </c>
    </row>
    <row r="531" spans="11:23">
      <c r="K531" s="130">
        <v>526</v>
      </c>
      <c r="L531" s="108">
        <v>-5.9708564904508652</v>
      </c>
      <c r="M531" s="107">
        <v>0.32743395874441156</v>
      </c>
      <c r="N531" s="96">
        <v>0.32978334153276123</v>
      </c>
      <c r="O531" s="96">
        <v>1.3790131846073488</v>
      </c>
      <c r="P531" s="132">
        <v>12.830923868083863</v>
      </c>
      <c r="W531" s="115">
        <f t="shared" si="22"/>
        <v>12.830923868083863</v>
      </c>
    </row>
    <row r="532" spans="11:23">
      <c r="K532" s="130">
        <v>527</v>
      </c>
      <c r="L532" s="108">
        <v>-11.62349486691604</v>
      </c>
      <c r="M532" s="107">
        <v>0.32238028469207097</v>
      </c>
      <c r="N532" s="96">
        <v>0.33521493417416426</v>
      </c>
      <c r="O532" s="96">
        <v>1.3800075949924104</v>
      </c>
      <c r="P532" s="132">
        <v>14.251908641615136</v>
      </c>
      <c r="W532" s="115">
        <f t="shared" si="22"/>
        <v>14.251908641615136</v>
      </c>
    </row>
    <row r="533" spans="11:23">
      <c r="K533" s="130">
        <v>528</v>
      </c>
      <c r="L533" s="108">
        <v>-6.0559817001135947</v>
      </c>
      <c r="M533" s="107">
        <v>0.31730926794904196</v>
      </c>
      <c r="N533" s="96">
        <v>0.28747822604967865</v>
      </c>
      <c r="O533" s="96">
        <v>1.2677441694568186</v>
      </c>
      <c r="P533" s="132">
        <v>5.4411920955460058</v>
      </c>
      <c r="W533" s="115">
        <f t="shared" si="22"/>
        <v>5.4411920955460058</v>
      </c>
    </row>
    <row r="534" spans="11:23">
      <c r="K534" s="130">
        <v>529</v>
      </c>
      <c r="L534" s="108">
        <v>-5.0322937343587784</v>
      </c>
      <c r="M534" s="107">
        <v>0.33853435595268572</v>
      </c>
      <c r="N534" s="96">
        <v>0.33362293158112921</v>
      </c>
      <c r="O534" s="96">
        <v>1.1581185548807142</v>
      </c>
      <c r="P534" s="132">
        <v>5.7655904436078149</v>
      </c>
      <c r="W534" s="115">
        <f t="shared" si="22"/>
        <v>5.7655904436078149</v>
      </c>
    </row>
    <row r="535" spans="11:23">
      <c r="K535" s="130">
        <v>530</v>
      </c>
      <c r="L535" s="108">
        <v>0.6072319916849539</v>
      </c>
      <c r="M535" s="107">
        <v>0.32349203774607854</v>
      </c>
      <c r="N535" s="96">
        <v>0.33226593670451576</v>
      </c>
      <c r="O535" s="96">
        <v>1.2665624071675172</v>
      </c>
      <c r="P535" s="132">
        <v>10.7608236285568</v>
      </c>
      <c r="W535" s="115">
        <f t="shared" si="22"/>
        <v>10.7608236285568</v>
      </c>
    </row>
    <row r="536" spans="11:23">
      <c r="K536" s="130">
        <v>531</v>
      </c>
      <c r="L536" s="108">
        <v>-7.1262724392301076</v>
      </c>
      <c r="M536" s="107">
        <v>0.34656278229567866</v>
      </c>
      <c r="N536" s="96">
        <v>0.29501918046400361</v>
      </c>
      <c r="O536" s="96">
        <v>1.3574478509192003</v>
      </c>
      <c r="P536" s="132">
        <v>5.4550499391866625</v>
      </c>
      <c r="W536" s="115">
        <f t="shared" si="22"/>
        <v>5.4550499391866625</v>
      </c>
    </row>
    <row r="537" spans="11:23">
      <c r="K537" s="130">
        <v>532</v>
      </c>
      <c r="L537" s="108">
        <v>7.9041747190509133</v>
      </c>
      <c r="M537" s="107">
        <v>0.32739875624379727</v>
      </c>
      <c r="N537" s="96">
        <v>0.28241204937730302</v>
      </c>
      <c r="O537" s="96">
        <v>1.2090822445405807</v>
      </c>
      <c r="P537" s="132">
        <v>2.1957453227004522</v>
      </c>
      <c r="W537" s="115">
        <f t="shared" si="22"/>
        <v>2.1957453227004522</v>
      </c>
    </row>
    <row r="538" spans="11:23">
      <c r="K538" s="130">
        <v>533</v>
      </c>
      <c r="L538" s="108">
        <v>5.4960502421573709</v>
      </c>
      <c r="M538" s="107">
        <v>0.32860787558433391</v>
      </c>
      <c r="N538" s="96">
        <v>0.32020329103212908</v>
      </c>
      <c r="O538" s="96">
        <v>1.5359002612972199</v>
      </c>
      <c r="P538" s="132">
        <v>14.909784601237284</v>
      </c>
      <c r="W538" s="115">
        <f t="shared" si="22"/>
        <v>14.909784601237284</v>
      </c>
    </row>
    <row r="539" spans="11:23">
      <c r="K539" s="130">
        <v>534</v>
      </c>
      <c r="L539" s="108">
        <v>-4.5585618214751324</v>
      </c>
      <c r="M539" s="107">
        <v>0.33308701654380829</v>
      </c>
      <c r="N539" s="96">
        <v>0.29749274898423306</v>
      </c>
      <c r="O539" s="96">
        <v>1.3199561712783257</v>
      </c>
      <c r="P539" s="132">
        <v>6.3105955020662536</v>
      </c>
      <c r="W539" s="115">
        <f t="shared" si="22"/>
        <v>6.3105955020662536</v>
      </c>
    </row>
    <row r="540" spans="11:23">
      <c r="K540" s="130">
        <v>535</v>
      </c>
      <c r="L540" s="108">
        <v>12.70976488224612</v>
      </c>
      <c r="M540" s="107">
        <v>0.34302618788588385</v>
      </c>
      <c r="N540" s="96">
        <v>0.31718839398368526</v>
      </c>
      <c r="O540" s="96">
        <v>0.91396358802626487</v>
      </c>
      <c r="P540" s="132">
        <v>0.2053408774766623</v>
      </c>
      <c r="W540" s="115">
        <f t="shared" si="22"/>
        <v>0.2053408774766623</v>
      </c>
    </row>
    <row r="541" spans="11:23">
      <c r="K541" s="130">
        <v>536</v>
      </c>
      <c r="L541" s="108">
        <v>-6.4775418624333083</v>
      </c>
      <c r="M541" s="107">
        <v>0.34611368560470629</v>
      </c>
      <c r="N541" s="96">
        <v>0.32024808289586393</v>
      </c>
      <c r="O541" s="96">
        <v>1.4893182207900624</v>
      </c>
      <c r="P541" s="132">
        <v>11.8324727708608</v>
      </c>
      <c r="W541" s="115">
        <f t="shared" si="22"/>
        <v>11.8324727708608</v>
      </c>
    </row>
    <row r="542" spans="11:23">
      <c r="K542" s="130">
        <v>537</v>
      </c>
      <c r="L542" s="108">
        <v>3.7469197210417331</v>
      </c>
      <c r="M542" s="107">
        <v>0.30844170206488952</v>
      </c>
      <c r="N542" s="96">
        <v>0.32356141980577008</v>
      </c>
      <c r="O542" s="96">
        <v>1.4338696708250516</v>
      </c>
      <c r="P542" s="132">
        <v>15.627838151190627</v>
      </c>
      <c r="W542" s="115">
        <f t="shared" si="22"/>
        <v>15.627838151190627</v>
      </c>
    </row>
    <row r="543" spans="11:23">
      <c r="K543" s="130">
        <v>538</v>
      </c>
      <c r="L543" s="108">
        <v>5.3571112219437325</v>
      </c>
      <c r="M543" s="107">
        <v>0.33708435293583988</v>
      </c>
      <c r="N543" s="96">
        <v>0.29188148425526228</v>
      </c>
      <c r="O543" s="96">
        <v>1.5369973319437726</v>
      </c>
      <c r="P543" s="132">
        <v>9.9290676963789988</v>
      </c>
      <c r="W543" s="115">
        <f t="shared" si="22"/>
        <v>9.9290676963789988</v>
      </c>
    </row>
    <row r="544" spans="11:23">
      <c r="K544" s="130">
        <v>539</v>
      </c>
      <c r="L544" s="108">
        <v>0.45222629894347521</v>
      </c>
      <c r="M544" s="107">
        <v>0.32768117513529232</v>
      </c>
      <c r="N544" s="96">
        <v>0.29809499214143198</v>
      </c>
      <c r="O544" s="96">
        <v>1.0745383050842339</v>
      </c>
      <c r="P544" s="132">
        <v>0.82128888976408621</v>
      </c>
      <c r="W544" s="115">
        <f t="shared" si="22"/>
        <v>0.82128888976408621</v>
      </c>
    </row>
    <row r="545" spans="11:23">
      <c r="K545" s="130">
        <v>540</v>
      </c>
      <c r="L545" s="108">
        <v>1.5802795317540381</v>
      </c>
      <c r="M545" s="107">
        <v>0.32163886012516241</v>
      </c>
      <c r="N545" s="96">
        <v>0.32677644494416369</v>
      </c>
      <c r="O545" s="96">
        <v>1.1487587631769485</v>
      </c>
      <c r="P545" s="132">
        <v>6.6928820810818559</v>
      </c>
      <c r="W545" s="115">
        <f t="shared" si="22"/>
        <v>6.6928820810818559</v>
      </c>
    </row>
    <row r="546" spans="11:23">
      <c r="K546" s="130">
        <v>541</v>
      </c>
      <c r="L546" s="108">
        <v>-14.094545209427723</v>
      </c>
      <c r="M546" s="107">
        <v>0.33624591422890215</v>
      </c>
      <c r="N546" s="96">
        <v>0.28293556214157189</v>
      </c>
      <c r="O546" s="96">
        <v>1.528048137283341</v>
      </c>
      <c r="P546" s="132">
        <v>8.6304359086040616</v>
      </c>
      <c r="W546" s="115">
        <f t="shared" si="22"/>
        <v>8.6304359086040616</v>
      </c>
    </row>
    <row r="547" spans="11:23">
      <c r="K547" s="130">
        <v>542</v>
      </c>
      <c r="L547" s="108">
        <v>-9.0721400781970924</v>
      </c>
      <c r="M547" s="107">
        <v>0.32835864603710946</v>
      </c>
      <c r="N547" s="96">
        <v>0.24226841684948555</v>
      </c>
      <c r="O547" s="96">
        <v>1.3126905471468269</v>
      </c>
      <c r="P547" s="132">
        <v>0.67673360191965581</v>
      </c>
      <c r="W547" s="115">
        <f t="shared" si="22"/>
        <v>0.67673360191965581</v>
      </c>
    </row>
    <row r="548" spans="11:23">
      <c r="K548" s="130">
        <v>543</v>
      </c>
      <c r="L548" s="108">
        <v>-1.9662704956215102</v>
      </c>
      <c r="M548" s="107">
        <v>0.32761199138471397</v>
      </c>
      <c r="N548" s="96">
        <v>0.33241769724993186</v>
      </c>
      <c r="O548" s="96">
        <v>1.1604204764414376</v>
      </c>
      <c r="P548" s="132">
        <v>7.0528823153730986</v>
      </c>
      <c r="W548" s="115">
        <f t="shared" si="22"/>
        <v>7.0528823153730986</v>
      </c>
    </row>
    <row r="549" spans="11:23">
      <c r="K549" s="130">
        <v>544</v>
      </c>
      <c r="L549" s="108">
        <v>-3.8821927040775215</v>
      </c>
      <c r="M549" s="107">
        <v>0.33034942601437706</v>
      </c>
      <c r="N549" s="96">
        <v>0.29741019339863056</v>
      </c>
      <c r="O549" s="96">
        <v>1.4205559416161817</v>
      </c>
      <c r="P549" s="132">
        <v>8.991517866860006</v>
      </c>
      <c r="W549" s="115">
        <f t="shared" si="22"/>
        <v>8.991517866860006</v>
      </c>
    </row>
    <row r="550" spans="11:23">
      <c r="K550" s="130">
        <v>545</v>
      </c>
      <c r="L550" s="108">
        <v>-6.4325249886799867</v>
      </c>
      <c r="M550" s="107">
        <v>0.32969535166164299</v>
      </c>
      <c r="N550" s="96">
        <v>0.25567962860943955</v>
      </c>
      <c r="O550" s="96">
        <v>1.2474813435589529</v>
      </c>
      <c r="P550" s="132">
        <v>0.67338926286182976</v>
      </c>
      <c r="W550" s="115">
        <f t="shared" si="22"/>
        <v>0.67338926286182976</v>
      </c>
    </row>
    <row r="551" spans="11:23">
      <c r="K551" s="130">
        <v>546</v>
      </c>
      <c r="L551" s="108">
        <v>1.7439855373591324</v>
      </c>
      <c r="M551" s="107">
        <v>0.33559026622274896</v>
      </c>
      <c r="N551" s="96">
        <v>0.27133061960000004</v>
      </c>
      <c r="O551" s="96">
        <v>1.2449640064867074</v>
      </c>
      <c r="P551" s="132">
        <v>1.2454054296599979</v>
      </c>
      <c r="W551" s="115">
        <f t="shared" si="22"/>
        <v>1.2454054296599979</v>
      </c>
    </row>
    <row r="552" spans="11:23">
      <c r="K552" s="130">
        <v>547</v>
      </c>
      <c r="L552" s="108">
        <v>5.5529923738663447</v>
      </c>
      <c r="M552" s="107">
        <v>0.32600213252481047</v>
      </c>
      <c r="N552" s="96">
        <v>0.26097326254164865</v>
      </c>
      <c r="O552" s="96">
        <v>1.1876119377956733</v>
      </c>
      <c r="P552" s="132">
        <v>0.54310183954292413</v>
      </c>
      <c r="W552" s="115">
        <f t="shared" si="22"/>
        <v>0.54310183954292413</v>
      </c>
    </row>
    <row r="553" spans="11:23">
      <c r="K553" s="130">
        <v>548</v>
      </c>
      <c r="L553" s="108">
        <v>3.0204300979017167</v>
      </c>
      <c r="M553" s="107">
        <v>0.32188399308326798</v>
      </c>
      <c r="N553" s="96">
        <v>0.25142618494040231</v>
      </c>
      <c r="O553" s="96">
        <v>0.8510675417800313</v>
      </c>
      <c r="P553" s="132">
        <v>0.10054323183604305</v>
      </c>
      <c r="W553" s="115">
        <f t="shared" si="22"/>
        <v>0.10054323183604305</v>
      </c>
    </row>
    <row r="554" spans="11:23">
      <c r="K554" s="130">
        <v>549</v>
      </c>
      <c r="L554" s="108">
        <v>4.2668559921514646</v>
      </c>
      <c r="M554" s="107">
        <v>0.3178690145028944</v>
      </c>
      <c r="N554" s="96">
        <v>0.29748729145227309</v>
      </c>
      <c r="O554" s="96">
        <v>1.2841724638483265</v>
      </c>
      <c r="P554" s="132">
        <v>7.1614948732971522</v>
      </c>
      <c r="W554" s="115">
        <f t="shared" si="22"/>
        <v>7.1614948732971522</v>
      </c>
    </row>
    <row r="555" spans="11:23">
      <c r="K555" s="130">
        <v>550</v>
      </c>
      <c r="L555" s="108">
        <v>-3.1497024025143201</v>
      </c>
      <c r="M555" s="107">
        <v>0.3065678036171734</v>
      </c>
      <c r="N555" s="96">
        <v>0.30543597397122124</v>
      </c>
      <c r="O555" s="96">
        <v>1.5116350020479061</v>
      </c>
      <c r="P555" s="132">
        <v>14.84234735388492</v>
      </c>
      <c r="W555" s="115">
        <f t="shared" si="22"/>
        <v>14.84234735388492</v>
      </c>
    </row>
    <row r="556" spans="11:23">
      <c r="K556" s="130">
        <v>551</v>
      </c>
      <c r="L556" s="108">
        <v>-4.1380752717040989</v>
      </c>
      <c r="M556" s="107">
        <v>0.31156849144617837</v>
      </c>
      <c r="N556" s="96">
        <v>0.25192167405484633</v>
      </c>
      <c r="O556" s="96">
        <v>1.4438640400592704</v>
      </c>
      <c r="P556" s="132">
        <v>5.3406353052506743</v>
      </c>
      <c r="W556" s="115">
        <f t="shared" si="22"/>
        <v>5.3406353052506743</v>
      </c>
    </row>
    <row r="557" spans="11:23">
      <c r="K557" s="130">
        <v>552</v>
      </c>
      <c r="L557" s="108">
        <v>-0.855795367432028</v>
      </c>
      <c r="M557" s="107">
        <v>0.31018623470178541</v>
      </c>
      <c r="N557" s="96">
        <v>0.29028903884593399</v>
      </c>
      <c r="O557" s="96">
        <v>1.4095748688418852</v>
      </c>
      <c r="P557" s="132">
        <v>10.109186194431249</v>
      </c>
      <c r="W557" s="115">
        <f t="shared" si="22"/>
        <v>10.109186194431249</v>
      </c>
    </row>
    <row r="558" spans="11:23">
      <c r="K558" s="130">
        <v>553</v>
      </c>
      <c r="L558" s="108">
        <v>5.0600785918822941</v>
      </c>
      <c r="M558" s="107">
        <v>0.29993477153074011</v>
      </c>
      <c r="N558" s="96">
        <v>0.3171458078163652</v>
      </c>
      <c r="O558" s="96">
        <v>1.352952130112282</v>
      </c>
      <c r="P558" s="132">
        <v>13.966102697726084</v>
      </c>
      <c r="W558" s="115">
        <f t="shared" si="22"/>
        <v>13.966102697726084</v>
      </c>
    </row>
    <row r="559" spans="11:23">
      <c r="K559" s="130">
        <v>554</v>
      </c>
      <c r="L559" s="108">
        <v>5.335409129093108</v>
      </c>
      <c r="M559" s="107">
        <v>0.3180388248217077</v>
      </c>
      <c r="N559" s="96">
        <v>0.2597779038097846</v>
      </c>
      <c r="O559" s="96">
        <v>1.0722035062883259</v>
      </c>
      <c r="P559" s="132">
        <v>0.26558405941687252</v>
      </c>
      <c r="W559" s="115">
        <f t="shared" si="22"/>
        <v>0.26558405941687252</v>
      </c>
    </row>
    <row r="560" spans="11:23">
      <c r="K560" s="130">
        <v>555</v>
      </c>
      <c r="L560" s="108">
        <v>6.4267631766998505</v>
      </c>
      <c r="M560" s="107">
        <v>0.32432704959002562</v>
      </c>
      <c r="N560" s="96">
        <v>0.29140639302042287</v>
      </c>
      <c r="O560" s="96">
        <v>1.0697761500499057</v>
      </c>
      <c r="P560" s="132">
        <v>0.64141480074371127</v>
      </c>
      <c r="W560" s="115">
        <f t="shared" si="22"/>
        <v>0.64141480074371127</v>
      </c>
    </row>
    <row r="561" spans="11:23">
      <c r="K561" s="130">
        <v>556</v>
      </c>
      <c r="L561" s="108">
        <v>-8.170889787015966</v>
      </c>
      <c r="M561" s="107">
        <v>0.35375704622177062</v>
      </c>
      <c r="N561" s="96">
        <v>0.2727745987034369</v>
      </c>
      <c r="O561" s="96">
        <v>1.3384809452630275</v>
      </c>
      <c r="P561" s="132">
        <v>1.7597386336241136</v>
      </c>
      <c r="W561" s="115">
        <f t="shared" si="22"/>
        <v>1.7597386336241136</v>
      </c>
    </row>
    <row r="562" spans="11:23">
      <c r="K562" s="130">
        <v>557</v>
      </c>
      <c r="L562" s="108">
        <v>-18.765945760050755</v>
      </c>
      <c r="M562" s="107">
        <v>0.32122406259501057</v>
      </c>
      <c r="N562" s="96">
        <v>0.29128325476908784</v>
      </c>
      <c r="O562" s="96">
        <v>1.2413604420817337</v>
      </c>
      <c r="P562" s="132">
        <v>4.7864922128471399</v>
      </c>
      <c r="W562" s="115">
        <f t="shared" si="22"/>
        <v>4.7864922128471399</v>
      </c>
    </row>
    <row r="563" spans="11:23">
      <c r="K563" s="130">
        <v>558</v>
      </c>
      <c r="L563" s="108">
        <v>-0.90763273970613878</v>
      </c>
      <c r="M563" s="107">
        <v>0.33780005733782997</v>
      </c>
      <c r="N563" s="96">
        <v>0.30436772137502022</v>
      </c>
      <c r="O563" s="96">
        <v>1.4737937900486373</v>
      </c>
      <c r="P563" s="132">
        <v>10.264104692951701</v>
      </c>
      <c r="W563" s="115">
        <f t="shared" si="22"/>
        <v>10.264104692951701</v>
      </c>
    </row>
    <row r="564" spans="11:23">
      <c r="K564" s="130">
        <v>559</v>
      </c>
      <c r="L564" s="108">
        <v>-11.252954404634535</v>
      </c>
      <c r="M564" s="107">
        <v>0.31676342274996722</v>
      </c>
      <c r="N564" s="96">
        <v>0.2945008465642775</v>
      </c>
      <c r="O564" s="96">
        <v>1.2223383257001097</v>
      </c>
      <c r="P564" s="132">
        <v>5.2098621936943497</v>
      </c>
      <c r="W564" s="115">
        <f t="shared" si="22"/>
        <v>5.2098621936943497</v>
      </c>
    </row>
    <row r="565" spans="11:23">
      <c r="K565" s="130">
        <v>560</v>
      </c>
      <c r="L565" s="108">
        <v>5.0722557774509269</v>
      </c>
      <c r="M565" s="107">
        <v>0.31839245908716457</v>
      </c>
      <c r="N565" s="96">
        <v>0.32493084213153944</v>
      </c>
      <c r="O565" s="96">
        <v>1.2424119297474996</v>
      </c>
      <c r="P565" s="132">
        <v>9.7287971559787874</v>
      </c>
      <c r="W565" s="115">
        <f t="shared" si="22"/>
        <v>9.7287971559787874</v>
      </c>
    </row>
    <row r="566" spans="11:23">
      <c r="K566" s="130">
        <v>561</v>
      </c>
      <c r="L566" s="108">
        <v>0.71536096458273002</v>
      </c>
      <c r="M566" s="107">
        <v>0.33087428372343469</v>
      </c>
      <c r="N566" s="96">
        <v>0.28496819894222503</v>
      </c>
      <c r="O566" s="96">
        <v>1.5077115835296158</v>
      </c>
      <c r="P566" s="132">
        <v>9.0735830390274543</v>
      </c>
      <c r="W566" s="115">
        <f t="shared" si="22"/>
        <v>9.0735830390274543</v>
      </c>
    </row>
    <row r="567" spans="11:23">
      <c r="K567" s="130">
        <v>562</v>
      </c>
      <c r="L567" s="108">
        <v>1.0989822896524748</v>
      </c>
      <c r="M567" s="107">
        <v>0.3302043565910317</v>
      </c>
      <c r="N567" s="96">
        <v>0.27769086388777814</v>
      </c>
      <c r="O567" s="96">
        <v>1.5959463432737284</v>
      </c>
      <c r="P567" s="132">
        <v>9.8115391172104847</v>
      </c>
      <c r="W567" s="115">
        <f t="shared" si="22"/>
        <v>9.8115391172104847</v>
      </c>
    </row>
    <row r="568" spans="11:23">
      <c r="K568" s="130">
        <v>563</v>
      </c>
      <c r="L568" s="108">
        <v>-17.552750705196637</v>
      </c>
      <c r="M568" s="107">
        <v>0.33495649489169987</v>
      </c>
      <c r="N568" s="96">
        <v>0.30637558631184936</v>
      </c>
      <c r="O568" s="96">
        <v>1.1868126832472212</v>
      </c>
      <c r="P568" s="132">
        <v>3.6256676450545617</v>
      </c>
      <c r="W568" s="115">
        <f t="shared" si="22"/>
        <v>3.6256676450545617</v>
      </c>
    </row>
    <row r="569" spans="11:23">
      <c r="K569" s="130">
        <v>564</v>
      </c>
      <c r="L569" s="108">
        <v>-6.2567296360350495</v>
      </c>
      <c r="M569" s="107">
        <v>0.32621276978952257</v>
      </c>
      <c r="N569" s="96">
        <v>0.25991850872500877</v>
      </c>
      <c r="O569" s="96">
        <v>1.2816368498526294</v>
      </c>
      <c r="P569" s="132">
        <v>1.544947245624404</v>
      </c>
      <c r="W569" s="115">
        <f t="shared" si="22"/>
        <v>1.544947245624404</v>
      </c>
    </row>
    <row r="570" spans="11:23">
      <c r="K570" s="130">
        <v>565</v>
      </c>
      <c r="L570" s="108">
        <v>6.399384094157524</v>
      </c>
      <c r="M570" s="107">
        <v>0.33748363018069583</v>
      </c>
      <c r="N570" s="96">
        <v>0.25389152475066096</v>
      </c>
      <c r="O570" s="96">
        <v>1.3612602457532055</v>
      </c>
      <c r="P570" s="132">
        <v>1.5494685245199844</v>
      </c>
      <c r="W570" s="115">
        <f t="shared" si="22"/>
        <v>1.5494685245199844</v>
      </c>
    </row>
    <row r="571" spans="11:23">
      <c r="K571" s="130">
        <v>566</v>
      </c>
      <c r="L571" s="108">
        <v>8.6228512818535847</v>
      </c>
      <c r="M571" s="107">
        <v>0.32763083184074854</v>
      </c>
      <c r="N571" s="96">
        <v>0.30183824327880282</v>
      </c>
      <c r="O571" s="96">
        <v>1.3241848871670669</v>
      </c>
      <c r="P571" s="132">
        <v>7.6209702732991165</v>
      </c>
      <c r="W571" s="115">
        <f t="shared" si="22"/>
        <v>7.6209702732991165</v>
      </c>
    </row>
    <row r="572" spans="11:23">
      <c r="K572" s="130">
        <v>567</v>
      </c>
      <c r="L572" s="108">
        <v>4.6155047849612618</v>
      </c>
      <c r="M572" s="107">
        <v>0.32325889087056331</v>
      </c>
      <c r="N572" s="96">
        <v>0.3395908098584951</v>
      </c>
      <c r="O572" s="96">
        <v>1.3148760072364054</v>
      </c>
      <c r="P572" s="132">
        <v>13.116719702033306</v>
      </c>
      <c r="W572" s="115">
        <f t="shared" si="22"/>
        <v>13.116719702033306</v>
      </c>
    </row>
    <row r="573" spans="11:23">
      <c r="K573" s="130">
        <v>568</v>
      </c>
      <c r="L573" s="108">
        <v>7.1829898250016955E-2</v>
      </c>
      <c r="M573" s="107">
        <v>0.33364039594441514</v>
      </c>
      <c r="N573" s="96">
        <v>0.29544157101512331</v>
      </c>
      <c r="O573" s="96">
        <v>1.4656439907051635</v>
      </c>
      <c r="P573" s="132">
        <v>9.3365979457374966</v>
      </c>
      <c r="W573" s="115">
        <f t="shared" si="22"/>
        <v>9.3365979457374966</v>
      </c>
    </row>
    <row r="574" spans="11:23">
      <c r="K574" s="130">
        <v>569</v>
      </c>
      <c r="L574" s="108">
        <v>-7.5389400192863896</v>
      </c>
      <c r="M574" s="107">
        <v>0.33141142013111891</v>
      </c>
      <c r="N574" s="96">
        <v>0.32003722572343973</v>
      </c>
      <c r="O574" s="96">
        <v>1.0579416436682343</v>
      </c>
      <c r="P574" s="132">
        <v>1.7581426986473769</v>
      </c>
      <c r="W574" s="115">
        <f t="shared" si="22"/>
        <v>1.7581426986473769</v>
      </c>
    </row>
    <row r="575" spans="11:23">
      <c r="K575" s="130">
        <v>570</v>
      </c>
      <c r="L575" s="108">
        <v>-4.4945772434856313</v>
      </c>
      <c r="M575" s="107">
        <v>0.32265265974170243</v>
      </c>
      <c r="N575" s="96">
        <v>0.31958617705823084</v>
      </c>
      <c r="O575" s="96">
        <v>1.5109349935019702</v>
      </c>
      <c r="P575" s="132">
        <v>14.972378970858065</v>
      </c>
      <c r="W575" s="115">
        <f t="shared" si="22"/>
        <v>14.972378970858065</v>
      </c>
    </row>
    <row r="576" spans="11:23">
      <c r="K576" s="130">
        <v>571</v>
      </c>
      <c r="L576" s="108">
        <v>12.399792076994457</v>
      </c>
      <c r="M576" s="107">
        <v>0.31243213728954572</v>
      </c>
      <c r="N576" s="96">
        <v>0.28553536607823965</v>
      </c>
      <c r="O576" s="96">
        <v>1.1864777401152191</v>
      </c>
      <c r="P576" s="132">
        <v>3.5361682940302757</v>
      </c>
      <c r="W576" s="115">
        <f t="shared" si="22"/>
        <v>3.5361682940302757</v>
      </c>
    </row>
    <row r="577" spans="11:23">
      <c r="K577" s="130">
        <v>572</v>
      </c>
      <c r="L577" s="108">
        <v>6.6019004955556886</v>
      </c>
      <c r="M577" s="107">
        <v>0.33264617448578643</v>
      </c>
      <c r="N577" s="96">
        <v>0.27381471076525726</v>
      </c>
      <c r="O577" s="96">
        <v>1.2760590315306082</v>
      </c>
      <c r="P577" s="132">
        <v>2.3200427350581623</v>
      </c>
      <c r="W577" s="115">
        <f t="shared" si="22"/>
        <v>2.3200427350581623</v>
      </c>
    </row>
    <row r="578" spans="11:23">
      <c r="K578" s="130">
        <v>573</v>
      </c>
      <c r="L578" s="108">
        <v>-6.3730499799698803</v>
      </c>
      <c r="M578" s="107">
        <v>0.32132860342180064</v>
      </c>
      <c r="N578" s="96">
        <v>0.31724564539010991</v>
      </c>
      <c r="O578" s="96">
        <v>1.3288480725790306</v>
      </c>
      <c r="P578" s="132">
        <v>10.610365531101957</v>
      </c>
      <c r="W578" s="115">
        <f t="shared" si="22"/>
        <v>10.610365531101957</v>
      </c>
    </row>
    <row r="579" spans="11:23">
      <c r="K579" s="130">
        <v>574</v>
      </c>
      <c r="L579" s="108">
        <v>7.9075543949511262</v>
      </c>
      <c r="M579" s="107">
        <v>0.32621376231245852</v>
      </c>
      <c r="N579" s="96">
        <v>0.25551816875474609</v>
      </c>
      <c r="O579" s="96">
        <v>1.2242025459093149</v>
      </c>
      <c r="P579" s="132">
        <v>0.60248676703981541</v>
      </c>
      <c r="W579" s="115">
        <f t="shared" si="22"/>
        <v>0.60248676703981541</v>
      </c>
    </row>
    <row r="580" spans="11:23">
      <c r="K580" s="130">
        <v>575</v>
      </c>
      <c r="L580" s="108">
        <v>-2.6814260057135946</v>
      </c>
      <c r="M580" s="107">
        <v>0.32717106173129296</v>
      </c>
      <c r="N580" s="96">
        <v>0.29435753798748743</v>
      </c>
      <c r="O580" s="96">
        <v>1.1987184921743574</v>
      </c>
      <c r="P580" s="132">
        <v>3.3391979188976308</v>
      </c>
      <c r="W580" s="115">
        <f t="shared" si="22"/>
        <v>3.3391979188976308</v>
      </c>
    </row>
    <row r="581" spans="11:23">
      <c r="K581" s="130">
        <v>576</v>
      </c>
      <c r="L581" s="108">
        <v>7.134861031004359</v>
      </c>
      <c r="M581" s="107">
        <v>0.33241824107469115</v>
      </c>
      <c r="N581" s="96">
        <v>0.27873090114087384</v>
      </c>
      <c r="O581" s="96">
        <v>0.92284289466370317</v>
      </c>
      <c r="P581" s="132">
        <v>0.14516369917643088</v>
      </c>
      <c r="W581" s="115">
        <f t="shared" si="22"/>
        <v>0.14516369917643088</v>
      </c>
    </row>
    <row r="582" spans="11:23">
      <c r="K582" s="130">
        <v>577</v>
      </c>
      <c r="L582" s="108">
        <v>-6.1833642674812035</v>
      </c>
      <c r="M582" s="107">
        <v>0.31382438379888844</v>
      </c>
      <c r="N582" s="96">
        <v>0.28017140111476163</v>
      </c>
      <c r="O582" s="96">
        <v>1.4545746203310699</v>
      </c>
      <c r="P582" s="132">
        <v>9.2214780293205791</v>
      </c>
      <c r="W582" s="115">
        <f t="shared" ref="W582:W645" si="23">P582</f>
        <v>9.2214780293205791</v>
      </c>
    </row>
    <row r="583" spans="11:23">
      <c r="K583" s="130">
        <v>578</v>
      </c>
      <c r="L583" s="108">
        <v>3.6150933957387958</v>
      </c>
      <c r="M583" s="107">
        <v>0.31819994710218102</v>
      </c>
      <c r="N583" s="96">
        <v>0.2761870295844997</v>
      </c>
      <c r="O583" s="96">
        <v>1.4081282410717395</v>
      </c>
      <c r="P583" s="132">
        <v>7.182734832144912</v>
      </c>
      <c r="W583" s="115">
        <f t="shared" si="23"/>
        <v>7.182734832144912</v>
      </c>
    </row>
    <row r="584" spans="11:23">
      <c r="K584" s="130">
        <v>579</v>
      </c>
      <c r="L584" s="108">
        <v>0.91481775956452693</v>
      </c>
      <c r="M584" s="107">
        <v>0.32316407901544986</v>
      </c>
      <c r="N584" s="96">
        <v>0.31336450672363025</v>
      </c>
      <c r="O584" s="96">
        <v>1.0144257128384515</v>
      </c>
      <c r="P584" s="132">
        <v>0.9318818002652407</v>
      </c>
      <c r="W584" s="115">
        <f t="shared" si="23"/>
        <v>0.9318818002652407</v>
      </c>
    </row>
    <row r="585" spans="11:23">
      <c r="K585" s="130">
        <v>580</v>
      </c>
      <c r="L585" s="108">
        <v>15.941330538212732</v>
      </c>
      <c r="M585" s="107">
        <v>0.34624701658362655</v>
      </c>
      <c r="N585" s="96">
        <v>0.26919975814121916</v>
      </c>
      <c r="O585" s="96">
        <v>1.4272521884191951</v>
      </c>
      <c r="P585" s="132">
        <v>3.804585162003665</v>
      </c>
      <c r="W585" s="115">
        <f t="shared" si="23"/>
        <v>3.804585162003665</v>
      </c>
    </row>
    <row r="586" spans="11:23">
      <c r="K586" s="130">
        <v>581</v>
      </c>
      <c r="L586" s="108">
        <v>-6.8737213952744769</v>
      </c>
      <c r="M586" s="107">
        <v>0.32497596141515311</v>
      </c>
      <c r="N586" s="96">
        <v>0.28751456134548392</v>
      </c>
      <c r="O586" s="96">
        <v>1.1964178134605499</v>
      </c>
      <c r="P586" s="132">
        <v>2.6895021708376103</v>
      </c>
      <c r="W586" s="115">
        <f t="shared" si="23"/>
        <v>2.6895021708376103</v>
      </c>
    </row>
    <row r="587" spans="11:23">
      <c r="K587" s="130">
        <v>582</v>
      </c>
      <c r="L587" s="108">
        <v>-4.0157198368282661</v>
      </c>
      <c r="M587" s="107">
        <v>0.33337422473716544</v>
      </c>
      <c r="N587" s="96">
        <v>0.35476931291722047</v>
      </c>
      <c r="O587" s="96">
        <v>1.2547274482078339</v>
      </c>
      <c r="P587" s="132">
        <v>12.229793877004647</v>
      </c>
      <c r="W587" s="115">
        <f t="shared" si="23"/>
        <v>12.229793877004647</v>
      </c>
    </row>
    <row r="588" spans="11:23">
      <c r="K588" s="130">
        <v>583</v>
      </c>
      <c r="L588" s="108">
        <v>-0.22737403317930782</v>
      </c>
      <c r="M588" s="107">
        <v>0.33694903486997868</v>
      </c>
      <c r="N588" s="96">
        <v>0.29518045298017176</v>
      </c>
      <c r="O588" s="96">
        <v>1.2313820491091347</v>
      </c>
      <c r="P588" s="132">
        <v>3.2875506854076244</v>
      </c>
      <c r="W588" s="115">
        <f t="shared" si="23"/>
        <v>3.2875506854076244</v>
      </c>
    </row>
    <row r="589" spans="11:23">
      <c r="K589" s="130">
        <v>584</v>
      </c>
      <c r="L589" s="108">
        <v>-0.23480515708673111</v>
      </c>
      <c r="M589" s="107">
        <v>0.32693738257673427</v>
      </c>
      <c r="N589" s="96">
        <v>0.29292235988846632</v>
      </c>
      <c r="O589" s="96">
        <v>1.4572442610996523</v>
      </c>
      <c r="P589" s="132">
        <v>9.5586992356173539</v>
      </c>
      <c r="W589" s="115">
        <f t="shared" si="23"/>
        <v>9.5586992356173539</v>
      </c>
    </row>
    <row r="590" spans="11:23">
      <c r="K590" s="130">
        <v>585</v>
      </c>
      <c r="L590" s="108">
        <v>8.5307863322471107</v>
      </c>
      <c r="M590" s="107">
        <v>0.34019918869071758</v>
      </c>
      <c r="N590" s="96">
        <v>0.28950522223938119</v>
      </c>
      <c r="O590" s="96">
        <v>1.5634842988681434</v>
      </c>
      <c r="P590" s="132">
        <v>9.7883372417077723</v>
      </c>
      <c r="W590" s="115">
        <f t="shared" si="23"/>
        <v>9.7883372417077723</v>
      </c>
    </row>
    <row r="591" spans="11:23">
      <c r="K591" s="130">
        <v>586</v>
      </c>
      <c r="L591" s="108">
        <v>-1.0883488109754245</v>
      </c>
      <c r="M591" s="107">
        <v>0.32093054784883951</v>
      </c>
      <c r="N591" s="96">
        <v>0.28586087057241544</v>
      </c>
      <c r="O591" s="96">
        <v>1.2745635170372758</v>
      </c>
      <c r="P591" s="132">
        <v>4.987530802392552</v>
      </c>
      <c r="W591" s="115">
        <f t="shared" si="23"/>
        <v>4.987530802392552</v>
      </c>
    </row>
    <row r="592" spans="11:23">
      <c r="K592" s="130">
        <v>587</v>
      </c>
      <c r="L592" s="108">
        <v>8.3892784924922967</v>
      </c>
      <c r="M592" s="107">
        <v>0.3528318783557749</v>
      </c>
      <c r="N592" s="96">
        <v>0.29400928693852835</v>
      </c>
      <c r="O592" s="96">
        <v>1.25896478918559</v>
      </c>
      <c r="P592" s="132">
        <v>2.3220889388644825</v>
      </c>
      <c r="W592" s="115">
        <f t="shared" si="23"/>
        <v>2.3220889388644825</v>
      </c>
    </row>
    <row r="593" spans="11:23">
      <c r="K593" s="130">
        <v>588</v>
      </c>
      <c r="L593" s="108">
        <v>-0.21120743829132915</v>
      </c>
      <c r="M593" s="107">
        <v>0.3159699009134323</v>
      </c>
      <c r="N593" s="96">
        <v>0.28226756330063862</v>
      </c>
      <c r="O593" s="96">
        <v>1.0737678938053556</v>
      </c>
      <c r="P593" s="132">
        <v>0.63170398396698901</v>
      </c>
      <c r="W593" s="115">
        <f t="shared" si="23"/>
        <v>0.63170398396698901</v>
      </c>
    </row>
    <row r="594" spans="11:23">
      <c r="K594" s="130">
        <v>589</v>
      </c>
      <c r="L594" s="108">
        <v>4.7071222178245709</v>
      </c>
      <c r="M594" s="107">
        <v>0.32699170467205363</v>
      </c>
      <c r="N594" s="96">
        <v>0.30333143090573861</v>
      </c>
      <c r="O594" s="96">
        <v>1.1404997290659287</v>
      </c>
      <c r="P594" s="132">
        <v>2.7833043317030763</v>
      </c>
      <c r="W594" s="115">
        <f t="shared" si="23"/>
        <v>2.7833043317030763</v>
      </c>
    </row>
    <row r="595" spans="11:23">
      <c r="K595" s="130">
        <v>590</v>
      </c>
      <c r="L595" s="108">
        <v>-1.801385144160875</v>
      </c>
      <c r="M595" s="107">
        <v>0.33509419798368689</v>
      </c>
      <c r="N595" s="96">
        <v>0.2633632379381951</v>
      </c>
      <c r="O595" s="96">
        <v>1.2940469805560348</v>
      </c>
      <c r="P595" s="132">
        <v>1.4392471092870547</v>
      </c>
      <c r="W595" s="115">
        <f t="shared" si="23"/>
        <v>1.4392471092870547</v>
      </c>
    </row>
    <row r="596" spans="11:23">
      <c r="K596" s="130">
        <v>591</v>
      </c>
      <c r="L596" s="108">
        <v>-1.2383445382896321</v>
      </c>
      <c r="M596" s="107">
        <v>0.32347991547484511</v>
      </c>
      <c r="N596" s="96">
        <v>0.2619419414316751</v>
      </c>
      <c r="O596" s="96">
        <v>0.9446579028076163</v>
      </c>
      <c r="P596" s="132">
        <v>0.14255598678244649</v>
      </c>
      <c r="W596" s="115">
        <f t="shared" si="23"/>
        <v>0.14255598678244649</v>
      </c>
    </row>
    <row r="597" spans="11:23">
      <c r="K597" s="130">
        <v>592</v>
      </c>
      <c r="L597" s="108">
        <v>8.2537028878108543E-2</v>
      </c>
      <c r="M597" s="107">
        <v>0.3302237303346332</v>
      </c>
      <c r="N597" s="96">
        <v>0.30619872345983656</v>
      </c>
      <c r="O597" s="96">
        <v>1.2364555836031728</v>
      </c>
      <c r="P597" s="132">
        <v>5.5614479678769007</v>
      </c>
      <c r="W597" s="115">
        <f t="shared" si="23"/>
        <v>5.5614479678769007</v>
      </c>
    </row>
    <row r="598" spans="11:23">
      <c r="K598" s="130">
        <v>593</v>
      </c>
      <c r="L598" s="108">
        <v>16.94323116964118</v>
      </c>
      <c r="M598" s="107">
        <v>0.33280939538935156</v>
      </c>
      <c r="N598" s="96">
        <v>0.27791077476188164</v>
      </c>
      <c r="O598" s="96">
        <v>1.6000825831102254</v>
      </c>
      <c r="P598" s="132">
        <v>9.6461638435684662</v>
      </c>
      <c r="W598" s="115">
        <f t="shared" si="23"/>
        <v>9.6461638435684662</v>
      </c>
    </row>
    <row r="599" spans="11:23">
      <c r="K599" s="130">
        <v>594</v>
      </c>
      <c r="L599" s="108">
        <v>4.2327127034040775</v>
      </c>
      <c r="M599" s="107">
        <v>0.33210869313380359</v>
      </c>
      <c r="N599" s="96">
        <v>0.29158708178987647</v>
      </c>
      <c r="O599" s="96">
        <v>1.2778677310332425</v>
      </c>
      <c r="P599" s="132">
        <v>4.575025105311056</v>
      </c>
      <c r="W599" s="115">
        <f t="shared" si="23"/>
        <v>4.575025105311056</v>
      </c>
    </row>
    <row r="600" spans="11:23">
      <c r="K600" s="130">
        <v>595</v>
      </c>
      <c r="L600" s="108">
        <v>-0.19007938995951223</v>
      </c>
      <c r="M600" s="107">
        <v>0.32798858575480611</v>
      </c>
      <c r="N600" s="96">
        <v>0.27595545308756592</v>
      </c>
      <c r="O600" s="96">
        <v>1.0432455843877861</v>
      </c>
      <c r="P600" s="132">
        <v>0.26400003144453366</v>
      </c>
      <c r="W600" s="115">
        <f t="shared" si="23"/>
        <v>0.26400003144453366</v>
      </c>
    </row>
    <row r="601" spans="11:23">
      <c r="K601" s="130">
        <v>596</v>
      </c>
      <c r="L601" s="108">
        <v>-7.9435113936343971</v>
      </c>
      <c r="M601" s="107">
        <v>0.34042519767876445</v>
      </c>
      <c r="N601" s="96">
        <v>0.34407713215458269</v>
      </c>
      <c r="O601" s="96">
        <v>1.1864669578092661</v>
      </c>
      <c r="P601" s="132">
        <v>7.8042723870987469</v>
      </c>
      <c r="W601" s="115">
        <f t="shared" si="23"/>
        <v>7.8042723870987469</v>
      </c>
    </row>
    <row r="602" spans="11:23">
      <c r="K602" s="130">
        <v>597</v>
      </c>
      <c r="L602" s="108">
        <v>-2.939739959612651</v>
      </c>
      <c r="M602" s="107">
        <v>0.35063905304167448</v>
      </c>
      <c r="N602" s="96">
        <v>0.29661595473031738</v>
      </c>
      <c r="O602" s="96">
        <v>1.2371833492824269</v>
      </c>
      <c r="P602" s="132">
        <v>2.2773744908840299</v>
      </c>
      <c r="W602" s="115">
        <f t="shared" si="23"/>
        <v>2.2773744908840299</v>
      </c>
    </row>
    <row r="603" spans="11:23">
      <c r="K603" s="130">
        <v>598</v>
      </c>
      <c r="L603" s="108">
        <v>-3.1261397029444975</v>
      </c>
      <c r="M603" s="107">
        <v>0.31917844162315967</v>
      </c>
      <c r="N603" s="96">
        <v>0.31445240486438963</v>
      </c>
      <c r="O603" s="96">
        <v>1.3676755995762646</v>
      </c>
      <c r="P603" s="132">
        <v>11.443665548342462</v>
      </c>
      <c r="W603" s="115">
        <f t="shared" si="23"/>
        <v>11.443665548342462</v>
      </c>
    </row>
    <row r="604" spans="11:23">
      <c r="K604" s="130">
        <v>599</v>
      </c>
      <c r="L604" s="108">
        <v>16.050018907728248</v>
      </c>
      <c r="M604" s="107">
        <v>0.33717184394751548</v>
      </c>
      <c r="N604" s="96">
        <v>0.25968672258143372</v>
      </c>
      <c r="O604" s="96">
        <v>0.92960639652056742</v>
      </c>
      <c r="P604" s="132">
        <v>0.11464235165919201</v>
      </c>
      <c r="W604" s="115">
        <f t="shared" si="23"/>
        <v>0.11464235165919201</v>
      </c>
    </row>
    <row r="605" spans="11:23">
      <c r="K605" s="130">
        <v>600</v>
      </c>
      <c r="L605" s="108">
        <v>-0.77494851336432213</v>
      </c>
      <c r="M605" s="107">
        <v>0.30756238384901707</v>
      </c>
      <c r="N605" s="96">
        <v>0.2614213434592525</v>
      </c>
      <c r="O605" s="96">
        <v>1.0136472783230417</v>
      </c>
      <c r="P605" s="132">
        <v>0.24637128422222654</v>
      </c>
      <c r="W605" s="115">
        <f t="shared" si="23"/>
        <v>0.24637128422222654</v>
      </c>
    </row>
    <row r="606" spans="11:23">
      <c r="K606" s="130">
        <v>601</v>
      </c>
      <c r="L606" s="108">
        <v>5.5914376107547348</v>
      </c>
      <c r="M606" s="107">
        <v>0.31645468531382592</v>
      </c>
      <c r="N606" s="96">
        <v>0.25201932392548226</v>
      </c>
      <c r="O606" s="96">
        <v>1.1794043293859606</v>
      </c>
      <c r="P606" s="132">
        <v>0.47974321703401879</v>
      </c>
      <c r="W606" s="115">
        <f t="shared" si="23"/>
        <v>0.47974321703401879</v>
      </c>
    </row>
    <row r="607" spans="11:23">
      <c r="K607" s="130">
        <v>602</v>
      </c>
      <c r="L607" s="108">
        <v>8.7600822112120946E-2</v>
      </c>
      <c r="M607" s="107">
        <v>0.33119382598814695</v>
      </c>
      <c r="N607" s="96">
        <v>0.27209093296362591</v>
      </c>
      <c r="O607" s="96">
        <v>1.4830537489554705</v>
      </c>
      <c r="P607" s="132">
        <v>6.8061055804892066</v>
      </c>
      <c r="W607" s="115">
        <f t="shared" si="23"/>
        <v>6.8061055804892066</v>
      </c>
    </row>
    <row r="608" spans="11:23">
      <c r="K608" s="130">
        <v>603</v>
      </c>
      <c r="L608" s="108">
        <v>-3.3012925845309615</v>
      </c>
      <c r="M608" s="107">
        <v>0.32018582504547349</v>
      </c>
      <c r="N608" s="96">
        <v>0.28846638365766203</v>
      </c>
      <c r="O608" s="96">
        <v>1.1625341415758583</v>
      </c>
      <c r="P608" s="132">
        <v>2.3947221778469459</v>
      </c>
      <c r="W608" s="115">
        <f t="shared" si="23"/>
        <v>2.3947221778469459</v>
      </c>
    </row>
    <row r="609" spans="11:23">
      <c r="K609" s="130">
        <v>604</v>
      </c>
      <c r="L609" s="108">
        <v>9.4116402053470694</v>
      </c>
      <c r="M609" s="107">
        <v>0.32650255286559604</v>
      </c>
      <c r="N609" s="96">
        <v>0.2557240128296297</v>
      </c>
      <c r="O609" s="96">
        <v>1.4199655336514403</v>
      </c>
      <c r="P609" s="132">
        <v>3.8421670662142802</v>
      </c>
      <c r="W609" s="115">
        <f t="shared" si="23"/>
        <v>3.8421670662142802</v>
      </c>
    </row>
    <row r="610" spans="11:23">
      <c r="K610" s="130">
        <v>605</v>
      </c>
      <c r="L610" s="108">
        <v>0.87423886795146499</v>
      </c>
      <c r="M610" s="107">
        <v>0.33279645422867199</v>
      </c>
      <c r="N610" s="96">
        <v>0.29270669643705627</v>
      </c>
      <c r="O610" s="96">
        <v>1.2404673619850266</v>
      </c>
      <c r="P610" s="132">
        <v>3.6617507036514048</v>
      </c>
      <c r="W610" s="115">
        <f t="shared" si="23"/>
        <v>3.6617507036514048</v>
      </c>
    </row>
    <row r="611" spans="11:23">
      <c r="K611" s="130">
        <v>606</v>
      </c>
      <c r="L611" s="108">
        <v>5.4796172515481807</v>
      </c>
      <c r="M611" s="107">
        <v>0.33231012435360197</v>
      </c>
      <c r="N611" s="96">
        <v>0.29958393391209726</v>
      </c>
      <c r="O611" s="96">
        <v>0.95442332490964776</v>
      </c>
      <c r="P611" s="132">
        <v>0.23172078819184597</v>
      </c>
      <c r="W611" s="115">
        <f t="shared" si="23"/>
        <v>0.23172078819184597</v>
      </c>
    </row>
    <row r="612" spans="11:23">
      <c r="K612" s="130">
        <v>607</v>
      </c>
      <c r="L612" s="108">
        <v>-5.2037161710190833</v>
      </c>
      <c r="M612" s="107">
        <v>0.33668094850595182</v>
      </c>
      <c r="N612" s="96">
        <v>0.22979208154359362</v>
      </c>
      <c r="O612" s="96">
        <v>1.3621506944848369</v>
      </c>
      <c r="P612" s="132">
        <v>0.40782040622556159</v>
      </c>
      <c r="W612" s="115">
        <f t="shared" si="23"/>
        <v>0.40782040622556159</v>
      </c>
    </row>
    <row r="613" spans="11:23">
      <c r="K613" s="130">
        <v>608</v>
      </c>
      <c r="L613" s="108">
        <v>-3.1497372778045687</v>
      </c>
      <c r="M613" s="107">
        <v>0.32208408709994657</v>
      </c>
      <c r="N613" s="96">
        <v>0.32158681231979303</v>
      </c>
      <c r="O613" s="96">
        <v>1.0443160811515075</v>
      </c>
      <c r="P613" s="132">
        <v>2.4465006025030034</v>
      </c>
      <c r="W613" s="115">
        <f t="shared" si="23"/>
        <v>2.4465006025030034</v>
      </c>
    </row>
    <row r="614" spans="11:23">
      <c r="K614" s="130">
        <v>609</v>
      </c>
      <c r="L614" s="108">
        <v>11.189896526081212</v>
      </c>
      <c r="M614" s="107">
        <v>0.32261162411107852</v>
      </c>
      <c r="N614" s="96">
        <v>0.26023342652930875</v>
      </c>
      <c r="O614" s="96">
        <v>1.3717017184542091</v>
      </c>
      <c r="P614" s="132">
        <v>3.7840874710458587</v>
      </c>
      <c r="W614" s="115">
        <f t="shared" si="23"/>
        <v>3.7840874710458587</v>
      </c>
    </row>
    <row r="615" spans="11:23">
      <c r="K615" s="130">
        <v>610</v>
      </c>
      <c r="L615" s="108">
        <v>-0.39662117019178278</v>
      </c>
      <c r="M615" s="107">
        <v>0.32903068581462774</v>
      </c>
      <c r="N615" s="96">
        <v>0.28314267196217835</v>
      </c>
      <c r="O615" s="96">
        <v>0.89415469099527956</v>
      </c>
      <c r="P615" s="132">
        <v>0.14355768326747501</v>
      </c>
      <c r="W615" s="115">
        <f t="shared" si="23"/>
        <v>0.14355768326747501</v>
      </c>
    </row>
    <row r="616" spans="11:23">
      <c r="K616" s="130">
        <v>611</v>
      </c>
      <c r="L616" s="108">
        <v>-4.4763848934511481</v>
      </c>
      <c r="M616" s="107">
        <v>0.3232585242404919</v>
      </c>
      <c r="N616" s="96">
        <v>0.28089690486115398</v>
      </c>
      <c r="O616" s="96">
        <v>1.2207524996244514</v>
      </c>
      <c r="P616" s="132">
        <v>2.7138689341176314</v>
      </c>
      <c r="W616" s="115">
        <f t="shared" si="23"/>
        <v>2.7138689341176314</v>
      </c>
    </row>
    <row r="617" spans="11:23">
      <c r="K617" s="130">
        <v>612</v>
      </c>
      <c r="L617" s="108">
        <v>5.0226282414104793</v>
      </c>
      <c r="M617" s="107">
        <v>0.32967501262728188</v>
      </c>
      <c r="N617" s="96">
        <v>0.270455658908621</v>
      </c>
      <c r="O617" s="96">
        <v>1.4648884353672771</v>
      </c>
      <c r="P617" s="132">
        <v>6.3761604658380877</v>
      </c>
      <c r="W617" s="115">
        <f t="shared" si="23"/>
        <v>6.3761604658380877</v>
      </c>
    </row>
    <row r="618" spans="11:23">
      <c r="K618" s="130">
        <v>613</v>
      </c>
      <c r="L618" s="108">
        <v>-1.958446616192036</v>
      </c>
      <c r="M618" s="107">
        <v>0.32646384722537108</v>
      </c>
      <c r="N618" s="96">
        <v>0.29139928542542709</v>
      </c>
      <c r="O618" s="96">
        <v>1.4669129908469194</v>
      </c>
      <c r="P618" s="132">
        <v>9.6057880969529617</v>
      </c>
      <c r="W618" s="115">
        <f t="shared" si="23"/>
        <v>9.6057880969529617</v>
      </c>
    </row>
    <row r="619" spans="11:23">
      <c r="K619" s="130">
        <v>614</v>
      </c>
      <c r="L619" s="108">
        <v>4.8426223803049533</v>
      </c>
      <c r="M619" s="107">
        <v>0.33139280629656115</v>
      </c>
      <c r="N619" s="96">
        <v>0.30591167706266253</v>
      </c>
      <c r="O619" s="96">
        <v>1.176813304075</v>
      </c>
      <c r="P619" s="132">
        <v>3.6722376323440393</v>
      </c>
      <c r="W619" s="115">
        <f t="shared" si="23"/>
        <v>3.6722376323440393</v>
      </c>
    </row>
    <row r="620" spans="11:23">
      <c r="K620" s="130">
        <v>615</v>
      </c>
      <c r="L620" s="108">
        <v>-4.7509793243067495</v>
      </c>
      <c r="M620" s="107">
        <v>0.31350554035350386</v>
      </c>
      <c r="N620" s="96">
        <v>0.30777787894145636</v>
      </c>
      <c r="O620" s="96">
        <v>1.302668871319248</v>
      </c>
      <c r="P620" s="132">
        <v>9.6067503171061635</v>
      </c>
      <c r="W620" s="115">
        <f t="shared" si="23"/>
        <v>9.6067503171061635</v>
      </c>
    </row>
    <row r="621" spans="11:23">
      <c r="K621" s="130">
        <v>616</v>
      </c>
      <c r="L621" s="108">
        <v>5.2099071283861944</v>
      </c>
      <c r="M621" s="107">
        <v>0.33137107854590342</v>
      </c>
      <c r="N621" s="96">
        <v>0.2642875610573977</v>
      </c>
      <c r="O621" s="96">
        <v>1.0365979347037675</v>
      </c>
      <c r="P621" s="132">
        <v>0.18853982291627611</v>
      </c>
      <c r="W621" s="115">
        <f t="shared" si="23"/>
        <v>0.18853982291627611</v>
      </c>
    </row>
    <row r="622" spans="11:23">
      <c r="K622" s="130">
        <v>617</v>
      </c>
      <c r="L622" s="108">
        <v>-7.2371479822948919</v>
      </c>
      <c r="M622" s="107">
        <v>0.32067047847238439</v>
      </c>
      <c r="N622" s="96">
        <v>0.26913894417655604</v>
      </c>
      <c r="O622" s="96">
        <v>0.98367241863911059</v>
      </c>
      <c r="P622" s="132">
        <v>0.19196832083745222</v>
      </c>
      <c r="W622" s="115">
        <f t="shared" si="23"/>
        <v>0.19196832083745222</v>
      </c>
    </row>
    <row r="623" spans="11:23">
      <c r="K623" s="130">
        <v>618</v>
      </c>
      <c r="L623" s="108">
        <v>-12.478094088076721</v>
      </c>
      <c r="M623" s="107">
        <v>0.34952354418202292</v>
      </c>
      <c r="N623" s="96">
        <v>0.26659833640582564</v>
      </c>
      <c r="O623" s="96">
        <v>1.3987375363293864</v>
      </c>
      <c r="P623" s="132">
        <v>2.6216715378920745</v>
      </c>
      <c r="W623" s="115">
        <f t="shared" si="23"/>
        <v>2.6216715378920745</v>
      </c>
    </row>
    <row r="624" spans="11:23">
      <c r="K624" s="130">
        <v>619</v>
      </c>
      <c r="L624" s="108">
        <v>-0.62435804949832296</v>
      </c>
      <c r="M624" s="107">
        <v>0.34132570085605307</v>
      </c>
      <c r="N624" s="96">
        <v>0.28678064196228509</v>
      </c>
      <c r="O624" s="96">
        <v>1.2268294894137721</v>
      </c>
      <c r="P624" s="132">
        <v>1.8346372675476528</v>
      </c>
      <c r="W624" s="115">
        <f t="shared" si="23"/>
        <v>1.8346372675476528</v>
      </c>
    </row>
    <row r="625" spans="11:23">
      <c r="K625" s="130">
        <v>620</v>
      </c>
      <c r="L625" s="108">
        <v>5.2553846993340487</v>
      </c>
      <c r="M625" s="107">
        <v>0.32997071168503406</v>
      </c>
      <c r="N625" s="96">
        <v>0.25379862558226052</v>
      </c>
      <c r="O625" s="96">
        <v>1.1027740127747139</v>
      </c>
      <c r="P625" s="132">
        <v>0.21436795290617872</v>
      </c>
      <c r="W625" s="115">
        <f t="shared" si="23"/>
        <v>0.21436795290617872</v>
      </c>
    </row>
    <row r="626" spans="11:23">
      <c r="K626" s="130">
        <v>621</v>
      </c>
      <c r="L626" s="108">
        <v>6.3322412592764223</v>
      </c>
      <c r="M626" s="107">
        <v>0.3236441422070418</v>
      </c>
      <c r="N626" s="96">
        <v>0.27589554264028388</v>
      </c>
      <c r="O626" s="96">
        <v>1.1802911441129458</v>
      </c>
      <c r="P626" s="132">
        <v>1.2794898109645321</v>
      </c>
      <c r="W626" s="115">
        <f t="shared" si="23"/>
        <v>1.2794898109645321</v>
      </c>
    </row>
    <row r="627" spans="11:23">
      <c r="K627" s="130">
        <v>622</v>
      </c>
      <c r="L627" s="108">
        <v>-3.0934194673908419</v>
      </c>
      <c r="M627" s="107">
        <v>0.33163546389930387</v>
      </c>
      <c r="N627" s="96">
        <v>0.28994979854351977</v>
      </c>
      <c r="O627" s="96">
        <v>1.55600732818529</v>
      </c>
      <c r="P627" s="132">
        <v>10.612041019280914</v>
      </c>
      <c r="W627" s="115">
        <f t="shared" si="23"/>
        <v>10.612041019280914</v>
      </c>
    </row>
    <row r="628" spans="11:23">
      <c r="K628" s="130">
        <v>623</v>
      </c>
      <c r="L628" s="108">
        <v>6.8691681844113726</v>
      </c>
      <c r="M628" s="107">
        <v>0.34314864311186283</v>
      </c>
      <c r="N628" s="96">
        <v>0.29655365222708724</v>
      </c>
      <c r="O628" s="96">
        <v>1.3800127453031574</v>
      </c>
      <c r="P628" s="132">
        <v>6.5462659393063563</v>
      </c>
      <c r="W628" s="115">
        <f t="shared" si="23"/>
        <v>6.5462659393063563</v>
      </c>
    </row>
    <row r="629" spans="11:23">
      <c r="K629" s="130">
        <v>624</v>
      </c>
      <c r="L629" s="108">
        <v>6.8375254798490754</v>
      </c>
      <c r="M629" s="107">
        <v>0.3341774990255022</v>
      </c>
      <c r="N629" s="96">
        <v>0.32298415871253722</v>
      </c>
      <c r="O629" s="96">
        <v>1.3731312617312317</v>
      </c>
      <c r="P629" s="132">
        <v>10.930752061707109</v>
      </c>
      <c r="W629" s="115">
        <f t="shared" si="23"/>
        <v>10.930752061707109</v>
      </c>
    </row>
    <row r="630" spans="11:23">
      <c r="K630" s="130">
        <v>625</v>
      </c>
      <c r="L630" s="108">
        <v>7.466020982707704</v>
      </c>
      <c r="M630" s="107">
        <v>0.32378141971538787</v>
      </c>
      <c r="N630" s="96">
        <v>0.29163018683378428</v>
      </c>
      <c r="O630" s="96">
        <v>1.0614450317352158</v>
      </c>
      <c r="P630" s="132">
        <v>0.5972764971087462</v>
      </c>
      <c r="W630" s="115">
        <f t="shared" si="23"/>
        <v>0.5972764971087462</v>
      </c>
    </row>
    <row r="631" spans="11:23">
      <c r="K631" s="130">
        <v>626</v>
      </c>
      <c r="L631" s="108">
        <v>10.602632346999691</v>
      </c>
      <c r="M631" s="107">
        <v>0.34311264351870835</v>
      </c>
      <c r="N631" s="96">
        <v>0.24958105087952087</v>
      </c>
      <c r="O631" s="96">
        <v>1.2686427999070371</v>
      </c>
      <c r="P631" s="132">
        <v>0.37749753123519775</v>
      </c>
      <c r="W631" s="115">
        <f t="shared" si="23"/>
        <v>0.37749753123519775</v>
      </c>
    </row>
    <row r="632" spans="11:23">
      <c r="K632" s="130">
        <v>627</v>
      </c>
      <c r="L632" s="108">
        <v>-2.4689786183115889</v>
      </c>
      <c r="M632" s="107">
        <v>0.32425323796286126</v>
      </c>
      <c r="N632" s="96">
        <v>0.29482070975218622</v>
      </c>
      <c r="O632" s="96">
        <v>1.3964419566875219</v>
      </c>
      <c r="P632" s="132">
        <v>8.7886136115631945</v>
      </c>
      <c r="W632" s="115">
        <f t="shared" si="23"/>
        <v>8.7886136115631945</v>
      </c>
    </row>
    <row r="633" spans="11:23">
      <c r="K633" s="130">
        <v>628</v>
      </c>
      <c r="L633" s="108">
        <v>2.6556056827321353</v>
      </c>
      <c r="M633" s="107">
        <v>0.34155641233288581</v>
      </c>
      <c r="N633" s="96">
        <v>0.32272575941246873</v>
      </c>
      <c r="O633" s="96">
        <v>1.0428081395144915</v>
      </c>
      <c r="P633" s="132">
        <v>0.93162948474908958</v>
      </c>
      <c r="W633" s="115">
        <f t="shared" si="23"/>
        <v>0.93162948474908958</v>
      </c>
    </row>
    <row r="634" spans="11:23">
      <c r="K634" s="130">
        <v>629</v>
      </c>
      <c r="L634" s="108">
        <v>6.097207082597369</v>
      </c>
      <c r="M634" s="107">
        <v>0.3180995668639387</v>
      </c>
      <c r="N634" s="96">
        <v>0.29264344549068488</v>
      </c>
      <c r="O634" s="96">
        <v>0.98662772480447747</v>
      </c>
      <c r="P634" s="132">
        <v>0.34775148195729039</v>
      </c>
      <c r="W634" s="115">
        <f t="shared" si="23"/>
        <v>0.34775148195729039</v>
      </c>
    </row>
    <row r="635" spans="11:23">
      <c r="K635" s="130">
        <v>630</v>
      </c>
      <c r="L635" s="108">
        <v>3.1614243083153992</v>
      </c>
      <c r="M635" s="107">
        <v>0.30940026209818949</v>
      </c>
      <c r="N635" s="96">
        <v>0.25043370908711349</v>
      </c>
      <c r="O635" s="96">
        <v>1.1091803652027932</v>
      </c>
      <c r="P635" s="132">
        <v>0.32211369239980153</v>
      </c>
      <c r="W635" s="115">
        <f t="shared" si="23"/>
        <v>0.32211369239980153</v>
      </c>
    </row>
    <row r="636" spans="11:23">
      <c r="K636" s="130">
        <v>631</v>
      </c>
      <c r="L636" s="108">
        <v>4.9172481616775512</v>
      </c>
      <c r="M636" s="107">
        <v>0.33690757420918133</v>
      </c>
      <c r="N636" s="96">
        <v>0.2853089864140062</v>
      </c>
      <c r="O636" s="96">
        <v>1.4083012234895864</v>
      </c>
      <c r="P636" s="132">
        <v>6.3813618868711952</v>
      </c>
      <c r="W636" s="115">
        <f t="shared" si="23"/>
        <v>6.3813618868711952</v>
      </c>
    </row>
    <row r="637" spans="11:23">
      <c r="K637" s="130">
        <v>632</v>
      </c>
      <c r="L637" s="108">
        <v>11.181519617266378</v>
      </c>
      <c r="M637" s="107">
        <v>0.33318550602463276</v>
      </c>
      <c r="N637" s="96">
        <v>0.28151701928398842</v>
      </c>
      <c r="O637" s="96">
        <v>1.4815654881702522</v>
      </c>
      <c r="P637" s="132">
        <v>7.8331608943435</v>
      </c>
      <c r="W637" s="115">
        <f t="shared" si="23"/>
        <v>7.8331608943435</v>
      </c>
    </row>
    <row r="638" spans="11:23">
      <c r="K638" s="130">
        <v>633</v>
      </c>
      <c r="L638" s="108">
        <v>-1.071568143850971</v>
      </c>
      <c r="M638" s="107">
        <v>0.32574767427095885</v>
      </c>
      <c r="N638" s="96">
        <v>0.28832761632838311</v>
      </c>
      <c r="O638" s="96">
        <v>1.1665959640473316</v>
      </c>
      <c r="P638" s="132">
        <v>1.950055325086463</v>
      </c>
      <c r="W638" s="115">
        <f t="shared" si="23"/>
        <v>1.950055325086463</v>
      </c>
    </row>
    <row r="639" spans="11:23">
      <c r="K639" s="130">
        <v>634</v>
      </c>
      <c r="L639" s="108">
        <v>-9.4046605129021383</v>
      </c>
      <c r="M639" s="107">
        <v>0.30959762037720984</v>
      </c>
      <c r="N639" s="96">
        <v>0.27189167987427343</v>
      </c>
      <c r="O639" s="96">
        <v>1.1728784392299727</v>
      </c>
      <c r="P639" s="132">
        <v>1.87058426480548</v>
      </c>
      <c r="W639" s="115">
        <f t="shared" si="23"/>
        <v>1.87058426480548</v>
      </c>
    </row>
    <row r="640" spans="11:23">
      <c r="K640" s="130">
        <v>635</v>
      </c>
      <c r="L640" s="108">
        <v>0.71120766376085509</v>
      </c>
      <c r="M640" s="107">
        <v>0.33719739590230102</v>
      </c>
      <c r="N640" s="96">
        <v>0.2853635479207659</v>
      </c>
      <c r="O640" s="96">
        <v>1.2243465800782687</v>
      </c>
      <c r="P640" s="132">
        <v>1.9845555903794982</v>
      </c>
      <c r="W640" s="115">
        <f t="shared" si="23"/>
        <v>1.9845555903794982</v>
      </c>
    </row>
    <row r="641" spans="11:23">
      <c r="K641" s="130">
        <v>636</v>
      </c>
      <c r="L641" s="108">
        <v>-4.3722359688149739</v>
      </c>
      <c r="M641" s="107">
        <v>0.32090308675964291</v>
      </c>
      <c r="N641" s="96">
        <v>0.31978307748788148</v>
      </c>
      <c r="O641" s="96">
        <v>1.0390246208808485</v>
      </c>
      <c r="P641" s="132">
        <v>2.2091366390704712</v>
      </c>
      <c r="W641" s="115">
        <f t="shared" si="23"/>
        <v>2.2091366390704712</v>
      </c>
    </row>
    <row r="642" spans="11:23">
      <c r="K642" s="130">
        <v>637</v>
      </c>
      <c r="L642" s="108">
        <v>9.6894528624151253</v>
      </c>
      <c r="M642" s="107">
        <v>0.33528280772079494</v>
      </c>
      <c r="N642" s="96">
        <v>0.29185345889588682</v>
      </c>
      <c r="O642" s="96">
        <v>1.0128286687568204</v>
      </c>
      <c r="P642" s="132">
        <v>0.26814646279093701</v>
      </c>
      <c r="W642" s="115">
        <f t="shared" si="23"/>
        <v>0.26814646279093701</v>
      </c>
    </row>
    <row r="643" spans="11:23">
      <c r="K643" s="130">
        <v>638</v>
      </c>
      <c r="L643" s="108">
        <v>-2.256505363967841</v>
      </c>
      <c r="M643" s="107">
        <v>0.30715765945956292</v>
      </c>
      <c r="N643" s="96">
        <v>0.32392728324650205</v>
      </c>
      <c r="O643" s="96">
        <v>1.1284165827543666</v>
      </c>
      <c r="P643" s="132">
        <v>7.585003459339875</v>
      </c>
      <c r="W643" s="115">
        <f t="shared" si="23"/>
        <v>7.585003459339875</v>
      </c>
    </row>
    <row r="644" spans="11:23">
      <c r="K644" s="130">
        <v>639</v>
      </c>
      <c r="L644" s="108">
        <v>-6.1025639549614388</v>
      </c>
      <c r="M644" s="107">
        <v>0.33704360223018115</v>
      </c>
      <c r="N644" s="96">
        <v>0.27067792388004275</v>
      </c>
      <c r="O644" s="96">
        <v>1.0806630503946539</v>
      </c>
      <c r="P644" s="132">
        <v>0.24078086546103042</v>
      </c>
      <c r="W644" s="115">
        <f t="shared" si="23"/>
        <v>0.24078086546103042</v>
      </c>
    </row>
    <row r="645" spans="11:23">
      <c r="K645" s="130">
        <v>640</v>
      </c>
      <c r="L645" s="108">
        <v>-15.344846489905899</v>
      </c>
      <c r="M645" s="107">
        <v>0.32171954019540921</v>
      </c>
      <c r="N645" s="96">
        <v>0.27622965917486725</v>
      </c>
      <c r="O645" s="96">
        <v>0.66512702915856126</v>
      </c>
      <c r="P645" s="132">
        <v>7.8526314588093712E-2</v>
      </c>
      <c r="W645" s="115">
        <f t="shared" si="23"/>
        <v>7.8526314588093712E-2</v>
      </c>
    </row>
    <row r="646" spans="11:23">
      <c r="K646" s="130">
        <v>641</v>
      </c>
      <c r="L646" s="108">
        <v>7.5691140198169782</v>
      </c>
      <c r="M646" s="107">
        <v>0.34133053504559008</v>
      </c>
      <c r="N646" s="96">
        <v>0.24039648583456916</v>
      </c>
      <c r="O646" s="96">
        <v>1.3560398718247955</v>
      </c>
      <c r="P646" s="132">
        <v>0.54776087841129562</v>
      </c>
      <c r="W646" s="115">
        <f t="shared" ref="W646:W709" si="24">P646</f>
        <v>0.54776087841129562</v>
      </c>
    </row>
    <row r="647" spans="11:23">
      <c r="K647" s="130">
        <v>642</v>
      </c>
      <c r="L647" s="108">
        <v>7.8343376971317369</v>
      </c>
      <c r="M647" s="107">
        <v>0.31304013073897813</v>
      </c>
      <c r="N647" s="96">
        <v>0.31264780103787704</v>
      </c>
      <c r="O647" s="96">
        <v>1.1518280616666949</v>
      </c>
      <c r="P647" s="132">
        <v>6.0056463671667055</v>
      </c>
      <c r="W647" s="115">
        <f t="shared" si="24"/>
        <v>6.0056463671667055</v>
      </c>
    </row>
    <row r="648" spans="11:23">
      <c r="K648" s="130">
        <v>643</v>
      </c>
      <c r="L648" s="108">
        <v>14.349626856364376</v>
      </c>
      <c r="M648" s="107">
        <v>0.31246384926467335</v>
      </c>
      <c r="N648" s="96">
        <v>0.28408756438227101</v>
      </c>
      <c r="O648" s="96">
        <v>1.4348111848462923</v>
      </c>
      <c r="P648" s="132">
        <v>9.5124461822065154</v>
      </c>
      <c r="W648" s="115">
        <f t="shared" si="24"/>
        <v>9.5124461822065154</v>
      </c>
    </row>
    <row r="649" spans="11:23">
      <c r="K649" s="130">
        <v>644</v>
      </c>
      <c r="L649" s="108">
        <v>-13.263636736629987</v>
      </c>
      <c r="M649" s="107">
        <v>0.3179321932171566</v>
      </c>
      <c r="N649" s="96">
        <v>0.30588190182790498</v>
      </c>
      <c r="O649" s="96">
        <v>1.1163157298663049</v>
      </c>
      <c r="P649" s="132">
        <v>3.3773402218629225</v>
      </c>
      <c r="W649" s="115">
        <f t="shared" si="24"/>
        <v>3.3773402218629225</v>
      </c>
    </row>
    <row r="650" spans="11:23">
      <c r="K650" s="130">
        <v>645</v>
      </c>
      <c r="L650" s="108">
        <v>-12.113777014988187</v>
      </c>
      <c r="M650" s="107">
        <v>0.32698006755199382</v>
      </c>
      <c r="N650" s="96">
        <v>0.28442425123330745</v>
      </c>
      <c r="O650" s="96">
        <v>1.3134925504121799</v>
      </c>
      <c r="P650" s="132">
        <v>5.1082478908766458</v>
      </c>
      <c r="W650" s="115">
        <f t="shared" si="24"/>
        <v>5.1082478908766458</v>
      </c>
    </row>
    <row r="651" spans="11:23">
      <c r="K651" s="130">
        <v>646</v>
      </c>
      <c r="L651" s="108">
        <v>2.4292739641507524</v>
      </c>
      <c r="M651" s="107">
        <v>0.33073854790312757</v>
      </c>
      <c r="N651" s="96">
        <v>0.32652346464281967</v>
      </c>
      <c r="O651" s="96">
        <v>1.1680625019967608</v>
      </c>
      <c r="P651" s="132">
        <v>6.1211875258640269</v>
      </c>
      <c r="W651" s="115">
        <f t="shared" si="24"/>
        <v>6.1211875258640269</v>
      </c>
    </row>
    <row r="652" spans="11:23">
      <c r="K652" s="130">
        <v>647</v>
      </c>
      <c r="L652" s="108">
        <v>11.242121660734036</v>
      </c>
      <c r="M652" s="107">
        <v>0.33215901833043415</v>
      </c>
      <c r="N652" s="96">
        <v>0.28972080645111631</v>
      </c>
      <c r="O652" s="96">
        <v>1.2836668691855833</v>
      </c>
      <c r="P652" s="132">
        <v>4.4801717756703354</v>
      </c>
      <c r="W652" s="115">
        <f t="shared" si="24"/>
        <v>4.4801717756703354</v>
      </c>
    </row>
    <row r="653" spans="11:23">
      <c r="K653" s="130">
        <v>648</v>
      </c>
      <c r="L653" s="108">
        <v>7.965416434850388</v>
      </c>
      <c r="M653" s="107">
        <v>0.32583735480794174</v>
      </c>
      <c r="N653" s="96">
        <v>0.32295368288414716</v>
      </c>
      <c r="O653" s="96">
        <v>1.4898668921572684</v>
      </c>
      <c r="P653" s="132">
        <v>14.56058841331107</v>
      </c>
      <c r="W653" s="115">
        <f t="shared" si="24"/>
        <v>14.56058841331107</v>
      </c>
    </row>
    <row r="654" spans="11:23">
      <c r="K654" s="130">
        <v>649</v>
      </c>
      <c r="L654" s="108">
        <v>0.13235137051809498</v>
      </c>
      <c r="M654" s="107">
        <v>0.3388024152072896</v>
      </c>
      <c r="N654" s="96">
        <v>0.29006453108466568</v>
      </c>
      <c r="O654" s="96">
        <v>1.355726999978752</v>
      </c>
      <c r="P654" s="132">
        <v>5.5913351206440378</v>
      </c>
      <c r="W654" s="115">
        <f t="shared" si="24"/>
        <v>5.5913351206440378</v>
      </c>
    </row>
    <row r="655" spans="11:23">
      <c r="K655" s="130">
        <v>650</v>
      </c>
      <c r="L655" s="108">
        <v>2.8049572656973032</v>
      </c>
      <c r="M655" s="107">
        <v>0.31381245702952071</v>
      </c>
      <c r="N655" s="96">
        <v>0.29086953514088759</v>
      </c>
      <c r="O655" s="96">
        <v>0.83066051097932858</v>
      </c>
      <c r="P655" s="132">
        <v>0.14900857843766599</v>
      </c>
      <c r="W655" s="115">
        <f t="shared" si="24"/>
        <v>0.14900857843766599</v>
      </c>
    </row>
    <row r="656" spans="11:23">
      <c r="K656" s="130">
        <v>651</v>
      </c>
      <c r="L656" s="108">
        <v>-14.736095231431687</v>
      </c>
      <c r="M656" s="107">
        <v>0.3320147110706842</v>
      </c>
      <c r="N656" s="96">
        <v>0.27243353414757898</v>
      </c>
      <c r="O656" s="96">
        <v>1.2209888816847769</v>
      </c>
      <c r="P656" s="132">
        <v>1.166838720245271</v>
      </c>
      <c r="W656" s="115">
        <f t="shared" si="24"/>
        <v>1.166838720245271</v>
      </c>
    </row>
    <row r="657" spans="11:23">
      <c r="K657" s="130">
        <v>652</v>
      </c>
      <c r="L657" s="108">
        <v>15.339836576622289</v>
      </c>
      <c r="M657" s="107">
        <v>0.3177221576464499</v>
      </c>
      <c r="N657" s="96">
        <v>0.28054174931242498</v>
      </c>
      <c r="O657" s="96">
        <v>1.2444358932337385</v>
      </c>
      <c r="P657" s="132">
        <v>3.8696925961048563</v>
      </c>
      <c r="W657" s="115">
        <f t="shared" si="24"/>
        <v>3.8696925961048563</v>
      </c>
    </row>
    <row r="658" spans="11:23">
      <c r="K658" s="130">
        <v>653</v>
      </c>
      <c r="L658" s="108">
        <v>10.922036759198846</v>
      </c>
      <c r="M658" s="107">
        <v>0.32199615522828218</v>
      </c>
      <c r="N658" s="96">
        <v>0.30230840431599321</v>
      </c>
      <c r="O658" s="96">
        <v>1.2547959731790657</v>
      </c>
      <c r="P658" s="132">
        <v>6.5292713610833593</v>
      </c>
      <c r="W658" s="115">
        <f t="shared" si="24"/>
        <v>6.5292713610833593</v>
      </c>
    </row>
    <row r="659" spans="11:23">
      <c r="K659" s="130">
        <v>654</v>
      </c>
      <c r="L659" s="108">
        <v>-2.9206444987034876</v>
      </c>
      <c r="M659" s="107">
        <v>0.31291245934969963</v>
      </c>
      <c r="N659" s="96">
        <v>0.23157593800586407</v>
      </c>
      <c r="O659" s="96">
        <v>1.2752488363655052</v>
      </c>
      <c r="P659" s="132">
        <v>0.50399381885452821</v>
      </c>
      <c r="W659" s="115">
        <f t="shared" si="24"/>
        <v>0.50399381885452821</v>
      </c>
    </row>
    <row r="660" spans="11:23">
      <c r="K660" s="130">
        <v>655</v>
      </c>
      <c r="L660" s="108">
        <v>7.582087582150125</v>
      </c>
      <c r="M660" s="107">
        <v>0.32292179336840432</v>
      </c>
      <c r="N660" s="96">
        <v>0.3015544144277259</v>
      </c>
      <c r="O660" s="96">
        <v>1.3998360430646912</v>
      </c>
      <c r="P660" s="132">
        <v>9.9482667936726674</v>
      </c>
      <c r="W660" s="115">
        <f t="shared" si="24"/>
        <v>9.9482667936726674</v>
      </c>
    </row>
    <row r="661" spans="11:23">
      <c r="K661" s="130">
        <v>656</v>
      </c>
      <c r="L661" s="108">
        <v>-2.1824483195950206E-3</v>
      </c>
      <c r="M661" s="107">
        <v>0.3448331235864629</v>
      </c>
      <c r="N661" s="96">
        <v>0.26187267701051231</v>
      </c>
      <c r="O661" s="96">
        <v>1.324024622118154</v>
      </c>
      <c r="P661" s="132">
        <v>1.179758181151475</v>
      </c>
      <c r="W661" s="115">
        <f t="shared" si="24"/>
        <v>1.179758181151475</v>
      </c>
    </row>
    <row r="662" spans="11:23">
      <c r="K662" s="130">
        <v>657</v>
      </c>
      <c r="L662" s="108">
        <v>1.5854579978039616</v>
      </c>
      <c r="M662" s="107">
        <v>0.3381135724116518</v>
      </c>
      <c r="N662" s="96">
        <v>0.22032766785344002</v>
      </c>
      <c r="O662" s="96">
        <v>0.98960825271025765</v>
      </c>
      <c r="P662" s="132">
        <v>9.1502018460667411E-2</v>
      </c>
      <c r="W662" s="115">
        <f t="shared" si="24"/>
        <v>9.1502018460667411E-2</v>
      </c>
    </row>
    <row r="663" spans="11:23">
      <c r="K663" s="130">
        <v>658</v>
      </c>
      <c r="L663" s="108">
        <v>-0.56733078923618008</v>
      </c>
      <c r="M663" s="107">
        <v>0.31493610061681804</v>
      </c>
      <c r="N663" s="96">
        <v>0.32166777763757143</v>
      </c>
      <c r="O663" s="96">
        <v>1.1893629724004104</v>
      </c>
      <c r="P663" s="132">
        <v>8.1640810724679689</v>
      </c>
      <c r="W663" s="115">
        <f t="shared" si="24"/>
        <v>8.1640810724679689</v>
      </c>
    </row>
    <row r="664" spans="11:23">
      <c r="K664" s="130">
        <v>659</v>
      </c>
      <c r="L664" s="108">
        <v>-8.1538395163280839</v>
      </c>
      <c r="M664" s="107">
        <v>0.34157356254980104</v>
      </c>
      <c r="N664" s="96">
        <v>0.2988084187891033</v>
      </c>
      <c r="O664" s="96">
        <v>1.2090681523375482</v>
      </c>
      <c r="P664" s="132">
        <v>2.6590175734133781</v>
      </c>
      <c r="W664" s="115">
        <f t="shared" si="24"/>
        <v>2.6590175734133781</v>
      </c>
    </row>
    <row r="665" spans="11:23">
      <c r="K665" s="130">
        <v>660</v>
      </c>
      <c r="L665" s="108">
        <v>-2.1706682741221455</v>
      </c>
      <c r="M665" s="107">
        <v>0.33403155940549972</v>
      </c>
      <c r="N665" s="96">
        <v>0.30070092486935479</v>
      </c>
      <c r="O665" s="96">
        <v>1.4588266920711155</v>
      </c>
      <c r="P665" s="132">
        <v>9.8637237883811988</v>
      </c>
      <c r="W665" s="115">
        <f t="shared" si="24"/>
        <v>9.8637237883811988</v>
      </c>
    </row>
    <row r="666" spans="11:23">
      <c r="K666" s="130">
        <v>661</v>
      </c>
      <c r="L666" s="108">
        <v>4.9784260666431157</v>
      </c>
      <c r="M666" s="107">
        <v>0.33066283549279918</v>
      </c>
      <c r="N666" s="96">
        <v>0.31241494325674063</v>
      </c>
      <c r="O666" s="96">
        <v>1.1177962249803777</v>
      </c>
      <c r="P666" s="132">
        <v>2.7709427183736581</v>
      </c>
      <c r="W666" s="115">
        <f t="shared" si="24"/>
        <v>2.7709427183736581</v>
      </c>
    </row>
    <row r="667" spans="11:23">
      <c r="K667" s="130">
        <v>662</v>
      </c>
      <c r="L667" s="108">
        <v>-8.2177390715138117</v>
      </c>
      <c r="M667" s="107">
        <v>0.31494402538001415</v>
      </c>
      <c r="N667" s="96">
        <v>0.26144141843267849</v>
      </c>
      <c r="O667" s="96">
        <v>1.2819970366683271</v>
      </c>
      <c r="P667" s="132">
        <v>2.6978528699768334</v>
      </c>
      <c r="W667" s="115">
        <f t="shared" si="24"/>
        <v>2.6978528699768334</v>
      </c>
    </row>
    <row r="668" spans="11:23">
      <c r="K668" s="130">
        <v>663</v>
      </c>
      <c r="L668" s="108">
        <v>0.19089234712210668</v>
      </c>
      <c r="M668" s="107">
        <v>0.33797124768166364</v>
      </c>
      <c r="N668" s="96">
        <v>0.29579040479912505</v>
      </c>
      <c r="O668" s="96">
        <v>1.3388316106263562</v>
      </c>
      <c r="P668" s="132">
        <v>6.0168532682815759</v>
      </c>
      <c r="W668" s="115">
        <f t="shared" si="24"/>
        <v>6.0168532682815759</v>
      </c>
    </row>
    <row r="669" spans="11:23">
      <c r="K669" s="130">
        <v>664</v>
      </c>
      <c r="L669" s="108">
        <v>-9.409832942433594</v>
      </c>
      <c r="M669" s="107">
        <v>0.31905028697102555</v>
      </c>
      <c r="N669" s="96">
        <v>0.29311429001899714</v>
      </c>
      <c r="O669" s="96">
        <v>1.1946012797560801</v>
      </c>
      <c r="P669" s="132">
        <v>3.974583052383553</v>
      </c>
      <c r="W669" s="115">
        <f t="shared" si="24"/>
        <v>3.974583052383553</v>
      </c>
    </row>
    <row r="670" spans="11:23">
      <c r="K670" s="130">
        <v>665</v>
      </c>
      <c r="L670" s="108">
        <v>5.6329412062172821</v>
      </c>
      <c r="M670" s="107">
        <v>0.31873293049690854</v>
      </c>
      <c r="N670" s="96">
        <v>0.29630558858353284</v>
      </c>
      <c r="O670" s="96">
        <v>1.109859454187361</v>
      </c>
      <c r="P670" s="132">
        <v>1.9950026113601298</v>
      </c>
      <c r="W670" s="115">
        <f t="shared" si="24"/>
        <v>1.9950026113601298</v>
      </c>
    </row>
    <row r="671" spans="11:23">
      <c r="K671" s="130">
        <v>666</v>
      </c>
      <c r="L671" s="108">
        <v>8.932534972296887</v>
      </c>
      <c r="M671" s="107">
        <v>0.31908646266532081</v>
      </c>
      <c r="N671" s="96">
        <v>0.29468417185767082</v>
      </c>
      <c r="O671" s="96">
        <v>1.0106248375738329</v>
      </c>
      <c r="P671" s="132">
        <v>0.4532822821904226</v>
      </c>
      <c r="W671" s="115">
        <f t="shared" si="24"/>
        <v>0.4532822821904226</v>
      </c>
    </row>
    <row r="672" spans="11:23">
      <c r="K672" s="130">
        <v>667</v>
      </c>
      <c r="L672" s="108">
        <v>-3.3844458452320643</v>
      </c>
      <c r="M672" s="107">
        <v>0.33239647836881075</v>
      </c>
      <c r="N672" s="96">
        <v>0.23209683371874987</v>
      </c>
      <c r="O672" s="96">
        <v>1.6383871606352025</v>
      </c>
      <c r="P672" s="132">
        <v>4.2073887597911268</v>
      </c>
      <c r="W672" s="115">
        <f t="shared" si="24"/>
        <v>4.2073887597911268</v>
      </c>
    </row>
    <row r="673" spans="11:23">
      <c r="K673" s="130">
        <v>668</v>
      </c>
      <c r="L673" s="108">
        <v>-3.5781413613606521</v>
      </c>
      <c r="M673" s="107">
        <v>0.32403301522982475</v>
      </c>
      <c r="N673" s="96">
        <v>0.28092136528362105</v>
      </c>
      <c r="O673" s="96">
        <v>1.2991135086763446</v>
      </c>
      <c r="P673" s="132">
        <v>4.6174617287969513</v>
      </c>
      <c r="W673" s="115">
        <f t="shared" si="24"/>
        <v>4.6174617287969513</v>
      </c>
    </row>
    <row r="674" spans="11:23">
      <c r="K674" s="130">
        <v>669</v>
      </c>
      <c r="L674" s="108">
        <v>3.6160131711880004</v>
      </c>
      <c r="M674" s="107">
        <v>0.32748357151344676</v>
      </c>
      <c r="N674" s="96">
        <v>0.30800038631895527</v>
      </c>
      <c r="O674" s="96">
        <v>1.4243960448598654</v>
      </c>
      <c r="P674" s="132">
        <v>10.858192848591136</v>
      </c>
      <c r="W674" s="115">
        <f t="shared" si="24"/>
        <v>10.858192848591136</v>
      </c>
    </row>
    <row r="675" spans="11:23">
      <c r="K675" s="130">
        <v>670</v>
      </c>
      <c r="L675" s="108">
        <v>10.900835362788856</v>
      </c>
      <c r="M675" s="107">
        <v>0.35430502028643901</v>
      </c>
      <c r="N675" s="96">
        <v>0.32498382831599726</v>
      </c>
      <c r="O675" s="96">
        <v>1.4870492764675827</v>
      </c>
      <c r="P675" s="132">
        <v>11.522318366466109</v>
      </c>
      <c r="W675" s="115">
        <f t="shared" si="24"/>
        <v>11.522318366466109</v>
      </c>
    </row>
    <row r="676" spans="11:23">
      <c r="K676" s="130">
        <v>671</v>
      </c>
      <c r="L676" s="108">
        <v>-8.5739657259528581</v>
      </c>
      <c r="M676" s="107">
        <v>0.34523221153365763</v>
      </c>
      <c r="N676" s="96">
        <v>0.28338507693876447</v>
      </c>
      <c r="O676" s="96">
        <v>1.1002026628520323</v>
      </c>
      <c r="P676" s="132">
        <v>0.31366210824376139</v>
      </c>
      <c r="W676" s="115">
        <f t="shared" si="24"/>
        <v>0.31366210824376139</v>
      </c>
    </row>
    <row r="677" spans="11:23">
      <c r="K677" s="130">
        <v>672</v>
      </c>
      <c r="L677" s="108">
        <v>3.339887681512546</v>
      </c>
      <c r="M677" s="107">
        <v>0.32384647641751485</v>
      </c>
      <c r="N677" s="96">
        <v>0.33656027239825703</v>
      </c>
      <c r="O677" s="96">
        <v>1.4308563596900652</v>
      </c>
      <c r="P677" s="132">
        <v>15.441383796948939</v>
      </c>
      <c r="W677" s="115">
        <f t="shared" si="24"/>
        <v>15.441383796948939</v>
      </c>
    </row>
    <row r="678" spans="11:23">
      <c r="K678" s="130">
        <v>673</v>
      </c>
      <c r="L678" s="108">
        <v>0.62232532147511543</v>
      </c>
      <c r="M678" s="107">
        <v>0.30004421910184825</v>
      </c>
      <c r="N678" s="96">
        <v>0.30590735455025336</v>
      </c>
      <c r="O678" s="96">
        <v>1.1806852274781885</v>
      </c>
      <c r="P678" s="132">
        <v>7.7040074688371023</v>
      </c>
      <c r="W678" s="115">
        <f t="shared" si="24"/>
        <v>7.7040074688371023</v>
      </c>
    </row>
    <row r="679" spans="11:23">
      <c r="K679" s="130">
        <v>674</v>
      </c>
      <c r="L679" s="108">
        <v>-1.6164953416737866</v>
      </c>
      <c r="M679" s="107">
        <v>0.30583053999211629</v>
      </c>
      <c r="N679" s="96">
        <v>0.30687262925931547</v>
      </c>
      <c r="O679" s="96">
        <v>1.1426596899758945</v>
      </c>
      <c r="P679" s="132">
        <v>5.8731590216686449</v>
      </c>
      <c r="W679" s="115">
        <f t="shared" si="24"/>
        <v>5.8731590216686449</v>
      </c>
    </row>
    <row r="680" spans="11:23">
      <c r="K680" s="130">
        <v>675</v>
      </c>
      <c r="L680" s="108">
        <v>10.73729675522069</v>
      </c>
      <c r="M680" s="107">
        <v>0.32607508509782707</v>
      </c>
      <c r="N680" s="96">
        <v>0.26453824545380644</v>
      </c>
      <c r="O680" s="96">
        <v>0.96101045712109501</v>
      </c>
      <c r="P680" s="132">
        <v>0.15101801892409464</v>
      </c>
      <c r="W680" s="115">
        <f t="shared" si="24"/>
        <v>0.15101801892409464</v>
      </c>
    </row>
    <row r="681" spans="11:23">
      <c r="K681" s="130">
        <v>676</v>
      </c>
      <c r="L681" s="108">
        <v>9.6153373932607558</v>
      </c>
      <c r="M681" s="107">
        <v>0.32009029521021753</v>
      </c>
      <c r="N681" s="96">
        <v>0.26002240075627758</v>
      </c>
      <c r="O681" s="96">
        <v>1.3521529596263584</v>
      </c>
      <c r="P681" s="132">
        <v>3.5833122042412948</v>
      </c>
      <c r="W681" s="115">
        <f t="shared" si="24"/>
        <v>3.5833122042412948</v>
      </c>
    </row>
    <row r="682" spans="11:23">
      <c r="K682" s="130">
        <v>677</v>
      </c>
      <c r="L682" s="108">
        <v>7.9408992625577337</v>
      </c>
      <c r="M682" s="107">
        <v>0.33035490576272447</v>
      </c>
      <c r="N682" s="96">
        <v>0.26048559912794494</v>
      </c>
      <c r="O682" s="96">
        <v>1.0995997070715295</v>
      </c>
      <c r="P682" s="132">
        <v>0.24261497702991569</v>
      </c>
      <c r="W682" s="115">
        <f t="shared" si="24"/>
        <v>0.24261497702991569</v>
      </c>
    </row>
    <row r="683" spans="11:23">
      <c r="K683" s="130">
        <v>678</v>
      </c>
      <c r="L683" s="108">
        <v>-0.11843297852984125</v>
      </c>
      <c r="M683" s="107">
        <v>0.32725005115738687</v>
      </c>
      <c r="N683" s="96">
        <v>0.23567796127286977</v>
      </c>
      <c r="O683" s="96">
        <v>1.0780278956461518</v>
      </c>
      <c r="P683" s="132">
        <v>0.1483198225065922</v>
      </c>
      <c r="W683" s="115">
        <f t="shared" si="24"/>
        <v>0.1483198225065922</v>
      </c>
    </row>
    <row r="684" spans="11:23">
      <c r="K684" s="130">
        <v>679</v>
      </c>
      <c r="L684" s="108">
        <v>3.6564666037576168</v>
      </c>
      <c r="M684" s="107">
        <v>0.3423225403385069</v>
      </c>
      <c r="N684" s="96">
        <v>0.25709662948749951</v>
      </c>
      <c r="O684" s="96">
        <v>1.3275458715042512</v>
      </c>
      <c r="P684" s="132">
        <v>1.0299496123391068</v>
      </c>
      <c r="W684" s="115">
        <f t="shared" si="24"/>
        <v>1.0299496123391068</v>
      </c>
    </row>
    <row r="685" spans="11:23">
      <c r="K685" s="130">
        <v>680</v>
      </c>
      <c r="L685" s="108">
        <v>-0.18172192606664062</v>
      </c>
      <c r="M685" s="107">
        <v>0.33297126360516521</v>
      </c>
      <c r="N685" s="96">
        <v>0.3009401480108973</v>
      </c>
      <c r="O685" s="96">
        <v>1.1589334986246547</v>
      </c>
      <c r="P685" s="132">
        <v>2.4124281130293102</v>
      </c>
      <c r="W685" s="115">
        <f t="shared" si="24"/>
        <v>2.4124281130293102</v>
      </c>
    </row>
    <row r="686" spans="11:23">
      <c r="K686" s="130">
        <v>681</v>
      </c>
      <c r="L686" s="108">
        <v>-2.6974279985957534</v>
      </c>
      <c r="M686" s="107">
        <v>0.34715548935543511</v>
      </c>
      <c r="N686" s="96">
        <v>0.30553134896987322</v>
      </c>
      <c r="O686" s="96">
        <v>1.1703010156355595</v>
      </c>
      <c r="P686" s="132">
        <v>1.8748396470568491</v>
      </c>
      <c r="W686" s="115">
        <f t="shared" si="24"/>
        <v>1.8748396470568491</v>
      </c>
    </row>
    <row r="687" spans="11:23">
      <c r="K687" s="130">
        <v>682</v>
      </c>
      <c r="L687" s="108">
        <v>2.6343515627854308E-2</v>
      </c>
      <c r="M687" s="107">
        <v>0.33115798388987994</v>
      </c>
      <c r="N687" s="96">
        <v>0.27517766988052894</v>
      </c>
      <c r="O687" s="96">
        <v>1.3046276133367436</v>
      </c>
      <c r="P687" s="132">
        <v>3.2796132238860531</v>
      </c>
      <c r="W687" s="115">
        <f t="shared" si="24"/>
        <v>3.2796132238860531</v>
      </c>
    </row>
    <row r="688" spans="11:23">
      <c r="K688" s="130">
        <v>683</v>
      </c>
      <c r="L688" s="108">
        <v>-9.8960414466389306</v>
      </c>
      <c r="M688" s="107">
        <v>0.30586680589677434</v>
      </c>
      <c r="N688" s="96">
        <v>0.24967311083271326</v>
      </c>
      <c r="O688" s="96">
        <v>1.6014022946191298</v>
      </c>
      <c r="P688" s="132">
        <v>8.5512446841293244</v>
      </c>
      <c r="W688" s="115">
        <f t="shared" si="24"/>
        <v>8.5512446841293244</v>
      </c>
    </row>
    <row r="689" spans="11:23">
      <c r="K689" s="130">
        <v>684</v>
      </c>
      <c r="L689" s="108">
        <v>4.0755194920415487</v>
      </c>
      <c r="M689" s="107">
        <v>0.31822046538758175</v>
      </c>
      <c r="N689" s="96">
        <v>0.30154456928709789</v>
      </c>
      <c r="O689" s="96">
        <v>1.1826590681219282</v>
      </c>
      <c r="P689" s="132">
        <v>4.8204735863711567</v>
      </c>
      <c r="W689" s="115">
        <f t="shared" si="24"/>
        <v>4.8204735863711567</v>
      </c>
    </row>
    <row r="690" spans="11:23">
      <c r="K690" s="130">
        <v>685</v>
      </c>
      <c r="L690" s="108">
        <v>11.201199966830481</v>
      </c>
      <c r="M690" s="107">
        <v>0.31018745362243488</v>
      </c>
      <c r="N690" s="96">
        <v>0.29820387092105266</v>
      </c>
      <c r="O690" s="96">
        <v>1.3813679867032673</v>
      </c>
      <c r="P690" s="132">
        <v>10.592644169283142</v>
      </c>
      <c r="W690" s="115">
        <f t="shared" si="24"/>
        <v>10.592644169283142</v>
      </c>
    </row>
    <row r="691" spans="11:23">
      <c r="K691" s="130">
        <v>686</v>
      </c>
      <c r="L691" s="108">
        <v>5.8293434211641308</v>
      </c>
      <c r="M691" s="107">
        <v>0.3069125609454148</v>
      </c>
      <c r="N691" s="96">
        <v>0.24112723585401666</v>
      </c>
      <c r="O691" s="96">
        <v>1.2582059956201905</v>
      </c>
      <c r="P691" s="132">
        <v>0.94969127084143545</v>
      </c>
      <c r="W691" s="115">
        <f t="shared" si="24"/>
        <v>0.94969127084143545</v>
      </c>
    </row>
    <row r="692" spans="11:23">
      <c r="K692" s="130">
        <v>687</v>
      </c>
      <c r="L692" s="108">
        <v>-2.1318859334533204</v>
      </c>
      <c r="M692" s="107">
        <v>0.32483471419422411</v>
      </c>
      <c r="N692" s="96">
        <v>0.26566673525183576</v>
      </c>
      <c r="O692" s="96">
        <v>1.5454007012448823</v>
      </c>
      <c r="P692" s="132">
        <v>7.7992587294896181</v>
      </c>
      <c r="W692" s="115">
        <f t="shared" si="24"/>
        <v>7.7992587294896181</v>
      </c>
    </row>
    <row r="693" spans="11:23">
      <c r="K693" s="130">
        <v>688</v>
      </c>
      <c r="L693" s="108">
        <v>-6.49387433398838</v>
      </c>
      <c r="M693" s="107">
        <v>0.33947870945249431</v>
      </c>
      <c r="N693" s="96">
        <v>0.31428043207714806</v>
      </c>
      <c r="O693" s="96">
        <v>1.3001025069488661</v>
      </c>
      <c r="P693" s="132">
        <v>7.2871298836803664</v>
      </c>
      <c r="W693" s="115">
        <f t="shared" si="24"/>
        <v>7.2871298836803664</v>
      </c>
    </row>
    <row r="694" spans="11:23">
      <c r="K694" s="130">
        <v>689</v>
      </c>
      <c r="L694" s="108">
        <v>9.9197099221531584</v>
      </c>
      <c r="M694" s="107">
        <v>0.32212800771462535</v>
      </c>
      <c r="N694" s="96">
        <v>0.3035316694330174</v>
      </c>
      <c r="O694" s="96">
        <v>1.2253836896828683</v>
      </c>
      <c r="P694" s="132">
        <v>5.8554703501731131</v>
      </c>
      <c r="W694" s="115">
        <f t="shared" si="24"/>
        <v>5.8554703501731131</v>
      </c>
    </row>
    <row r="695" spans="11:23">
      <c r="K695" s="130">
        <v>690</v>
      </c>
      <c r="L695" s="108">
        <v>1.0068949858332961</v>
      </c>
      <c r="M695" s="107">
        <v>0.35771767928667458</v>
      </c>
      <c r="N695" s="96">
        <v>0.29240531332731456</v>
      </c>
      <c r="O695" s="96">
        <v>0.99361649627941906</v>
      </c>
      <c r="P695" s="132">
        <v>0.16521012599659621</v>
      </c>
      <c r="W695" s="115">
        <f t="shared" si="24"/>
        <v>0.16521012599659621</v>
      </c>
    </row>
    <row r="696" spans="11:23">
      <c r="K696" s="130">
        <v>691</v>
      </c>
      <c r="L696" s="108">
        <v>11.108267348490966</v>
      </c>
      <c r="M696" s="107">
        <v>0.32123051724870205</v>
      </c>
      <c r="N696" s="96">
        <v>0.22792841112469658</v>
      </c>
      <c r="O696" s="96">
        <v>1.1107624576980466</v>
      </c>
      <c r="P696" s="132">
        <v>0.1584684161503484</v>
      </c>
      <c r="W696" s="115">
        <f t="shared" si="24"/>
        <v>0.1584684161503484</v>
      </c>
    </row>
    <row r="697" spans="11:23">
      <c r="K697" s="130">
        <v>692</v>
      </c>
      <c r="L697" s="108">
        <v>-9.2126824646872034</v>
      </c>
      <c r="M697" s="107">
        <v>0.34035429235467107</v>
      </c>
      <c r="N697" s="96">
        <v>0.23201122666591817</v>
      </c>
      <c r="O697" s="96">
        <v>1.0759562026997185</v>
      </c>
      <c r="P697" s="132">
        <v>0.12121854956658418</v>
      </c>
      <c r="W697" s="115">
        <f t="shared" si="24"/>
        <v>0.12121854956658418</v>
      </c>
    </row>
    <row r="698" spans="11:23">
      <c r="K698" s="130">
        <v>693</v>
      </c>
      <c r="L698" s="108">
        <v>9.9058116698841534</v>
      </c>
      <c r="M698" s="107">
        <v>0.34598196823092325</v>
      </c>
      <c r="N698" s="96">
        <v>0.26931800375643022</v>
      </c>
      <c r="O698" s="96">
        <v>1.4521054706179699</v>
      </c>
      <c r="P698" s="132">
        <v>4.355108959117393</v>
      </c>
      <c r="W698" s="115">
        <f t="shared" si="24"/>
        <v>4.355108959117393</v>
      </c>
    </row>
    <row r="699" spans="11:23">
      <c r="K699" s="130">
        <v>694</v>
      </c>
      <c r="L699" s="108">
        <v>-11.088284261314701</v>
      </c>
      <c r="M699" s="107">
        <v>0.32170246740911518</v>
      </c>
      <c r="N699" s="96">
        <v>0.25430130264876122</v>
      </c>
      <c r="O699" s="96">
        <v>1.1626136961433684</v>
      </c>
      <c r="P699" s="132">
        <v>0.38122029187540879</v>
      </c>
      <c r="W699" s="115">
        <f t="shared" si="24"/>
        <v>0.38122029187540879</v>
      </c>
    </row>
    <row r="700" spans="11:23">
      <c r="K700" s="130">
        <v>695</v>
      </c>
      <c r="L700" s="108">
        <v>-10.204414045764581</v>
      </c>
      <c r="M700" s="107">
        <v>0.30646101775186307</v>
      </c>
      <c r="N700" s="96">
        <v>0.33461571343115415</v>
      </c>
      <c r="O700" s="96">
        <v>0.94958224512498091</v>
      </c>
      <c r="P700" s="132">
        <v>2.4052003473611454</v>
      </c>
      <c r="W700" s="115">
        <f t="shared" si="24"/>
        <v>2.4052003473611454</v>
      </c>
    </row>
    <row r="701" spans="11:23">
      <c r="K701" s="130">
        <v>696</v>
      </c>
      <c r="L701" s="108">
        <v>-0.23932886917830587</v>
      </c>
      <c r="M701" s="107">
        <v>0.3257132052917866</v>
      </c>
      <c r="N701" s="96">
        <v>0.25748376133776585</v>
      </c>
      <c r="O701" s="96">
        <v>1.002735850741814</v>
      </c>
      <c r="P701" s="132">
        <v>0.16040108792164282</v>
      </c>
      <c r="W701" s="115">
        <f t="shared" si="24"/>
        <v>0.16040108792164282</v>
      </c>
    </row>
    <row r="702" spans="11:23">
      <c r="K702" s="130">
        <v>697</v>
      </c>
      <c r="L702" s="108">
        <v>-1.5448581031408022</v>
      </c>
      <c r="M702" s="107">
        <v>0.33928814499651844</v>
      </c>
      <c r="N702" s="96">
        <v>0.28485777194543044</v>
      </c>
      <c r="O702" s="96">
        <v>1.2403256164884648</v>
      </c>
      <c r="P702" s="132">
        <v>2.1132586601056422</v>
      </c>
      <c r="W702" s="115">
        <f t="shared" si="24"/>
        <v>2.1132586601056422</v>
      </c>
    </row>
    <row r="703" spans="11:23">
      <c r="K703" s="130">
        <v>698</v>
      </c>
      <c r="L703" s="108">
        <v>-2.4063409461810323</v>
      </c>
      <c r="M703" s="107">
        <v>0.34147451699259174</v>
      </c>
      <c r="N703" s="96">
        <v>0.27045944915923326</v>
      </c>
      <c r="O703" s="96">
        <v>1.2992462890856795</v>
      </c>
      <c r="P703" s="132">
        <v>1.7186598750098196</v>
      </c>
      <c r="W703" s="115">
        <f t="shared" si="24"/>
        <v>1.7186598750098196</v>
      </c>
    </row>
    <row r="704" spans="11:23">
      <c r="K704" s="130">
        <v>699</v>
      </c>
      <c r="L704" s="108">
        <v>-8.9403391607061931</v>
      </c>
      <c r="M704" s="107">
        <v>0.33285185574728227</v>
      </c>
      <c r="N704" s="96">
        <v>0.35887824789960399</v>
      </c>
      <c r="O704" s="96">
        <v>0.98045926859404353</v>
      </c>
      <c r="P704" s="132">
        <v>3.1340065096444132</v>
      </c>
      <c r="W704" s="115">
        <f t="shared" si="24"/>
        <v>3.1340065096444132</v>
      </c>
    </row>
    <row r="705" spans="11:23">
      <c r="K705" s="130">
        <v>700</v>
      </c>
      <c r="L705" s="108">
        <v>10.367031509876316</v>
      </c>
      <c r="M705" s="107">
        <v>0.33556318543509089</v>
      </c>
      <c r="N705" s="96">
        <v>0.31843738492120383</v>
      </c>
      <c r="O705" s="96">
        <v>1.3023194607406881</v>
      </c>
      <c r="P705" s="132">
        <v>8.3546562697128426</v>
      </c>
      <c r="W705" s="115">
        <f t="shared" si="24"/>
        <v>8.3546562697128426</v>
      </c>
    </row>
    <row r="706" spans="11:23">
      <c r="K706" s="130">
        <v>701</v>
      </c>
      <c r="L706" s="108">
        <v>-7.4445010705552974</v>
      </c>
      <c r="M706" s="107">
        <v>0.33261593199653361</v>
      </c>
      <c r="N706" s="96">
        <v>0.32085239604877358</v>
      </c>
      <c r="O706" s="96">
        <v>1.5694736669335769</v>
      </c>
      <c r="P706" s="132">
        <v>15.203909373913831</v>
      </c>
      <c r="W706" s="115">
        <f t="shared" si="24"/>
        <v>15.203909373913831</v>
      </c>
    </row>
    <row r="707" spans="11:23">
      <c r="K707" s="130">
        <v>702</v>
      </c>
      <c r="L707" s="108">
        <v>2.3491205989150288</v>
      </c>
      <c r="M707" s="107">
        <v>0.33601736073132565</v>
      </c>
      <c r="N707" s="96">
        <v>0.31906547384666067</v>
      </c>
      <c r="O707" s="96">
        <v>1.2564246226680451</v>
      </c>
      <c r="P707" s="132">
        <v>7.133387706314041</v>
      </c>
      <c r="W707" s="115">
        <f t="shared" si="24"/>
        <v>7.133387706314041</v>
      </c>
    </row>
    <row r="708" spans="11:23">
      <c r="K708" s="130">
        <v>703</v>
      </c>
      <c r="L708" s="108">
        <v>13.214347040045608</v>
      </c>
      <c r="M708" s="107">
        <v>0.34449049939587584</v>
      </c>
      <c r="N708" s="96">
        <v>0.37307078745367217</v>
      </c>
      <c r="O708" s="96">
        <v>1.4760699173500933</v>
      </c>
      <c r="P708" s="132">
        <v>19.904480886829216</v>
      </c>
      <c r="W708" s="115">
        <f t="shared" si="24"/>
        <v>19.904480886829216</v>
      </c>
    </row>
    <row r="709" spans="11:23">
      <c r="K709" s="130">
        <v>704</v>
      </c>
      <c r="L709" s="108">
        <v>4.6335139919792621</v>
      </c>
      <c r="M709" s="107">
        <v>0.34114141840755852</v>
      </c>
      <c r="N709" s="96">
        <v>0.32439947170182032</v>
      </c>
      <c r="O709" s="96">
        <v>0.72975219143185144</v>
      </c>
      <c r="P709" s="132">
        <v>0.10555346356933638</v>
      </c>
      <c r="W709" s="115">
        <f t="shared" si="24"/>
        <v>0.10555346356933638</v>
      </c>
    </row>
    <row r="710" spans="11:23">
      <c r="K710" s="130">
        <v>705</v>
      </c>
      <c r="L710" s="108">
        <v>-6.0330932743648464</v>
      </c>
      <c r="M710" s="107">
        <v>0.33159263028419905</v>
      </c>
      <c r="N710" s="96">
        <v>0.25948286388671182</v>
      </c>
      <c r="O710" s="96">
        <v>1.1590747905641396</v>
      </c>
      <c r="P710" s="132">
        <v>0.33288111381609303</v>
      </c>
      <c r="W710" s="115">
        <f t="shared" ref="W710:W773" si="25">P710</f>
        <v>0.33288111381609303</v>
      </c>
    </row>
    <row r="711" spans="11:23">
      <c r="K711" s="130">
        <v>706</v>
      </c>
      <c r="L711" s="108">
        <v>5.7906280710168945</v>
      </c>
      <c r="M711" s="107">
        <v>0.30625726627230832</v>
      </c>
      <c r="N711" s="96">
        <v>0.30722821798734551</v>
      </c>
      <c r="O711" s="96">
        <v>1.0782081749399413</v>
      </c>
      <c r="P711" s="132">
        <v>3.7367358627400056</v>
      </c>
      <c r="W711" s="115">
        <f t="shared" si="25"/>
        <v>3.7367358627400056</v>
      </c>
    </row>
    <row r="712" spans="11:23">
      <c r="K712" s="130">
        <v>707</v>
      </c>
      <c r="L712" s="108">
        <v>9.3480579362278462</v>
      </c>
      <c r="M712" s="107">
        <v>0.34290838806800888</v>
      </c>
      <c r="N712" s="96">
        <v>0.27144220194409108</v>
      </c>
      <c r="O712" s="96">
        <v>1.4782693140939742</v>
      </c>
      <c r="P712" s="132">
        <v>5.4505035138702889</v>
      </c>
      <c r="W712" s="115">
        <f t="shared" si="25"/>
        <v>5.4505035138702889</v>
      </c>
    </row>
    <row r="713" spans="11:23">
      <c r="K713" s="130">
        <v>708</v>
      </c>
      <c r="L713" s="108">
        <v>7.652263062996238</v>
      </c>
      <c r="M713" s="107">
        <v>0.33468109924435385</v>
      </c>
      <c r="N713" s="96">
        <v>0.2959144325727695</v>
      </c>
      <c r="O713" s="96">
        <v>1.4121835439021047</v>
      </c>
      <c r="P713" s="132">
        <v>8.1190699996629725</v>
      </c>
      <c r="W713" s="115">
        <f t="shared" si="25"/>
        <v>8.1190699996629725</v>
      </c>
    </row>
    <row r="714" spans="11:23">
      <c r="K714" s="130">
        <v>709</v>
      </c>
      <c r="L714" s="108">
        <v>3.1351643428970184</v>
      </c>
      <c r="M714" s="107">
        <v>0.33222116863307294</v>
      </c>
      <c r="N714" s="96">
        <v>0.29050846256534651</v>
      </c>
      <c r="O714" s="96">
        <v>1.4740452201249934</v>
      </c>
      <c r="P714" s="132">
        <v>8.9976237717452285</v>
      </c>
      <c r="W714" s="115">
        <f t="shared" si="25"/>
        <v>8.9976237717452285</v>
      </c>
    </row>
    <row r="715" spans="11:23">
      <c r="K715" s="130">
        <v>710</v>
      </c>
      <c r="L715" s="108">
        <v>7.8829004051819673</v>
      </c>
      <c r="M715" s="107">
        <v>0.29740351059190617</v>
      </c>
      <c r="N715" s="96">
        <v>0.30966784133873804</v>
      </c>
      <c r="O715" s="96">
        <v>1.2215473870999751</v>
      </c>
      <c r="P715" s="132">
        <v>9.8083086411353904</v>
      </c>
      <c r="W715" s="115">
        <f t="shared" si="25"/>
        <v>9.8083086411353904</v>
      </c>
    </row>
    <row r="716" spans="11:23">
      <c r="K716" s="130">
        <v>711</v>
      </c>
      <c r="L716" s="108">
        <v>5.0062398184422507</v>
      </c>
      <c r="M716" s="107">
        <v>0.33029293743454896</v>
      </c>
      <c r="N716" s="96">
        <v>0.33913048337957552</v>
      </c>
      <c r="O716" s="96">
        <v>1.2253462278779272</v>
      </c>
      <c r="P716" s="132">
        <v>9.6312131413780477</v>
      </c>
      <c r="W716" s="115">
        <f t="shared" si="25"/>
        <v>9.6312131413780477</v>
      </c>
    </row>
    <row r="717" spans="11:23">
      <c r="K717" s="130">
        <v>712</v>
      </c>
      <c r="L717" s="108">
        <v>-4.5031742191357065</v>
      </c>
      <c r="M717" s="107">
        <v>0.33573792534648628</v>
      </c>
      <c r="N717" s="96">
        <v>0.242448244047415</v>
      </c>
      <c r="O717" s="96">
        <v>1.1966014060826287</v>
      </c>
      <c r="P717" s="132">
        <v>0.23448684265177666</v>
      </c>
      <c r="W717" s="115">
        <f t="shared" si="25"/>
        <v>0.23448684265177666</v>
      </c>
    </row>
    <row r="718" spans="11:23">
      <c r="K718" s="130">
        <v>713</v>
      </c>
      <c r="L718" s="108">
        <v>-1.0163863978845304</v>
      </c>
      <c r="M718" s="107">
        <v>0.33211776923784841</v>
      </c>
      <c r="N718" s="96">
        <v>0.23650863641722084</v>
      </c>
      <c r="O718" s="96">
        <v>1.2463445347739339</v>
      </c>
      <c r="P718" s="132">
        <v>0.28037992995083477</v>
      </c>
      <c r="W718" s="115">
        <f t="shared" si="25"/>
        <v>0.28037992995083477</v>
      </c>
    </row>
    <row r="719" spans="11:23">
      <c r="K719" s="130">
        <v>714</v>
      </c>
      <c r="L719" s="108">
        <v>-10.934764962416793</v>
      </c>
      <c r="M719" s="107">
        <v>0.32641250320801707</v>
      </c>
      <c r="N719" s="96">
        <v>0.2670369215337538</v>
      </c>
      <c r="O719" s="96">
        <v>1.2812182480066168</v>
      </c>
      <c r="P719" s="132">
        <v>2.2453963018292513</v>
      </c>
      <c r="W719" s="115">
        <f t="shared" si="25"/>
        <v>2.2453963018292513</v>
      </c>
    </row>
    <row r="720" spans="11:23">
      <c r="K720" s="130">
        <v>715</v>
      </c>
      <c r="L720" s="108">
        <v>-7.1657101567288528</v>
      </c>
      <c r="M720" s="107">
        <v>0.32092487055062546</v>
      </c>
      <c r="N720" s="96">
        <v>0.2826190734098461</v>
      </c>
      <c r="O720" s="96">
        <v>1.1940848480128889</v>
      </c>
      <c r="P720" s="132">
        <v>2.4730444372336864</v>
      </c>
      <c r="W720" s="115">
        <f t="shared" si="25"/>
        <v>2.4730444372336864</v>
      </c>
    </row>
    <row r="721" spans="11:23">
      <c r="K721" s="130">
        <v>716</v>
      </c>
      <c r="L721" s="108">
        <v>11.61148228101456</v>
      </c>
      <c r="M721" s="107">
        <v>0.37081813717012102</v>
      </c>
      <c r="N721" s="96">
        <v>0.32744774713011376</v>
      </c>
      <c r="O721" s="96">
        <v>1.2880612429409657</v>
      </c>
      <c r="P721" s="132">
        <v>5.2178610528323839</v>
      </c>
      <c r="W721" s="115">
        <f t="shared" si="25"/>
        <v>5.2178610528323839</v>
      </c>
    </row>
    <row r="722" spans="11:23">
      <c r="K722" s="130">
        <v>717</v>
      </c>
      <c r="L722" s="108">
        <v>0.19516788877237157</v>
      </c>
      <c r="M722" s="107">
        <v>0.32385694317622826</v>
      </c>
      <c r="N722" s="96">
        <v>0.31404128647781032</v>
      </c>
      <c r="O722" s="96">
        <v>1.0275351894232174</v>
      </c>
      <c r="P722" s="132">
        <v>1.1572685733529995</v>
      </c>
      <c r="W722" s="115">
        <f t="shared" si="25"/>
        <v>1.1572685733529995</v>
      </c>
    </row>
    <row r="723" spans="11:23">
      <c r="K723" s="130">
        <v>718</v>
      </c>
      <c r="L723" s="108">
        <v>6.052707396761793</v>
      </c>
      <c r="M723" s="107">
        <v>0.3271640867939678</v>
      </c>
      <c r="N723" s="96">
        <v>0.27809443447227566</v>
      </c>
      <c r="O723" s="96">
        <v>1.1917129194788825</v>
      </c>
      <c r="P723" s="132">
        <v>1.4201981175102072</v>
      </c>
      <c r="W723" s="115">
        <f t="shared" si="25"/>
        <v>1.4201981175102072</v>
      </c>
    </row>
    <row r="724" spans="11:23">
      <c r="K724" s="130">
        <v>719</v>
      </c>
      <c r="L724" s="108">
        <v>2.9036444744071992</v>
      </c>
      <c r="M724" s="107">
        <v>0.33198690768729905</v>
      </c>
      <c r="N724" s="96">
        <v>0.31783444788583903</v>
      </c>
      <c r="O724" s="96">
        <v>1.1734758422171621</v>
      </c>
      <c r="P724" s="132">
        <v>5.0083697016635993</v>
      </c>
      <c r="W724" s="115">
        <f t="shared" si="25"/>
        <v>5.0083697016635993</v>
      </c>
    </row>
    <row r="725" spans="11:23">
      <c r="K725" s="130">
        <v>720</v>
      </c>
      <c r="L725" s="108">
        <v>10.034919649090924</v>
      </c>
      <c r="M725" s="107">
        <v>0.31740167190204249</v>
      </c>
      <c r="N725" s="96">
        <v>0.24594017332173995</v>
      </c>
      <c r="O725" s="96">
        <v>1.3152710347010077</v>
      </c>
      <c r="P725" s="132">
        <v>1.4774215126132102</v>
      </c>
      <c r="W725" s="115">
        <f t="shared" si="25"/>
        <v>1.4774215126132102</v>
      </c>
    </row>
    <row r="726" spans="11:23">
      <c r="K726" s="130">
        <v>721</v>
      </c>
      <c r="L726" s="108">
        <v>5.8184939957350128</v>
      </c>
      <c r="M726" s="107">
        <v>0.33591445484403892</v>
      </c>
      <c r="N726" s="96">
        <v>0.26875242266780941</v>
      </c>
      <c r="O726" s="96">
        <v>1.3045622106099837</v>
      </c>
      <c r="P726" s="132">
        <v>2.0973387998864079</v>
      </c>
      <c r="W726" s="115">
        <f t="shared" si="25"/>
        <v>2.0973387998864079</v>
      </c>
    </row>
    <row r="727" spans="11:23">
      <c r="K727" s="130">
        <v>722</v>
      </c>
      <c r="L727" s="108">
        <v>4.4121940551042673</v>
      </c>
      <c r="M727" s="107">
        <v>0.32591678015034542</v>
      </c>
      <c r="N727" s="96">
        <v>0.3404546933144551</v>
      </c>
      <c r="O727" s="96">
        <v>1.2326290329304435</v>
      </c>
      <c r="P727" s="132">
        <v>10.598720203415825</v>
      </c>
      <c r="W727" s="115">
        <f t="shared" si="25"/>
        <v>10.598720203415825</v>
      </c>
    </row>
    <row r="728" spans="11:23">
      <c r="K728" s="130">
        <v>723</v>
      </c>
      <c r="L728" s="108">
        <v>-0.98426749143287862</v>
      </c>
      <c r="M728" s="107">
        <v>0.33397597696706216</v>
      </c>
      <c r="N728" s="96">
        <v>0.32904234697661938</v>
      </c>
      <c r="O728" s="96">
        <v>1.3966454765495762</v>
      </c>
      <c r="P728" s="132">
        <v>12.350918716462596</v>
      </c>
      <c r="W728" s="115">
        <f t="shared" si="25"/>
        <v>12.350918716462596</v>
      </c>
    </row>
    <row r="729" spans="11:23">
      <c r="K729" s="130">
        <v>724</v>
      </c>
      <c r="L729" s="108">
        <v>1.6258437543699638</v>
      </c>
      <c r="M729" s="107">
        <v>0.33443556716459488</v>
      </c>
      <c r="N729" s="96">
        <v>0.27197205307409822</v>
      </c>
      <c r="O729" s="96">
        <v>1.2827540400745683</v>
      </c>
      <c r="P729" s="132">
        <v>2.1082964288313581</v>
      </c>
      <c r="W729" s="115">
        <f t="shared" si="25"/>
        <v>2.1082964288313581</v>
      </c>
    </row>
    <row r="730" spans="11:23">
      <c r="K730" s="130">
        <v>725</v>
      </c>
      <c r="L730" s="108">
        <v>-3.4738378188106864</v>
      </c>
      <c r="M730" s="107">
        <v>0.32910107044218329</v>
      </c>
      <c r="N730" s="96">
        <v>0.25124934137369243</v>
      </c>
      <c r="O730" s="96">
        <v>1.2359782713542102</v>
      </c>
      <c r="P730" s="132">
        <v>0.4907512544895557</v>
      </c>
      <c r="W730" s="115">
        <f t="shared" si="25"/>
        <v>0.4907512544895557</v>
      </c>
    </row>
    <row r="731" spans="11:23">
      <c r="K731" s="130">
        <v>726</v>
      </c>
      <c r="L731" s="108">
        <v>12.095172130237046</v>
      </c>
      <c r="M731" s="107">
        <v>0.3248667736963996</v>
      </c>
      <c r="N731" s="96">
        <v>0.26768976681679324</v>
      </c>
      <c r="O731" s="96">
        <v>1.2094816167999818</v>
      </c>
      <c r="P731" s="132">
        <v>1.0801715354980408</v>
      </c>
      <c r="W731" s="115">
        <f t="shared" si="25"/>
        <v>1.0801715354980408</v>
      </c>
    </row>
    <row r="732" spans="11:23">
      <c r="K732" s="130">
        <v>727</v>
      </c>
      <c r="L732" s="108">
        <v>-10.380607206210085</v>
      </c>
      <c r="M732" s="107">
        <v>0.33442820993080485</v>
      </c>
      <c r="N732" s="96">
        <v>0.3153823773630885</v>
      </c>
      <c r="O732" s="96">
        <v>1.3252197423146013</v>
      </c>
      <c r="P732" s="132">
        <v>8.6749866166351808</v>
      </c>
      <c r="W732" s="115">
        <f t="shared" si="25"/>
        <v>8.6749866166351808</v>
      </c>
    </row>
    <row r="733" spans="11:23">
      <c r="K733" s="130">
        <v>728</v>
      </c>
      <c r="L733" s="108">
        <v>-2.9055545510716261</v>
      </c>
      <c r="M733" s="107">
        <v>0.32693436363395439</v>
      </c>
      <c r="N733" s="96">
        <v>0.27365839281972187</v>
      </c>
      <c r="O733" s="96">
        <v>0.82943578066238599</v>
      </c>
      <c r="P733" s="132">
        <v>0.10899035671241444</v>
      </c>
      <c r="W733" s="115">
        <f t="shared" si="25"/>
        <v>0.10899035671241444</v>
      </c>
    </row>
    <row r="734" spans="11:23">
      <c r="K734" s="130">
        <v>729</v>
      </c>
      <c r="L734" s="108">
        <v>4.7583465976247483</v>
      </c>
      <c r="M734" s="107">
        <v>0.3248123511031123</v>
      </c>
      <c r="N734" s="96">
        <v>0.35012763660855811</v>
      </c>
      <c r="O734" s="96">
        <v>1.3480165889047595</v>
      </c>
      <c r="P734" s="132">
        <v>15.273647215065633</v>
      </c>
      <c r="W734" s="115">
        <f t="shared" si="25"/>
        <v>15.273647215065633</v>
      </c>
    </row>
    <row r="735" spans="11:23">
      <c r="K735" s="130">
        <v>730</v>
      </c>
      <c r="L735" s="108">
        <v>3.3278173420561599</v>
      </c>
      <c r="M735" s="107">
        <v>0.32515751761457923</v>
      </c>
      <c r="N735" s="96">
        <v>0.32218430674442644</v>
      </c>
      <c r="O735" s="96">
        <v>1.2912523821510724</v>
      </c>
      <c r="P735" s="132">
        <v>9.835008736548156</v>
      </c>
      <c r="W735" s="115">
        <f t="shared" si="25"/>
        <v>9.835008736548156</v>
      </c>
    </row>
    <row r="736" spans="11:23">
      <c r="K736" s="130">
        <v>731</v>
      </c>
      <c r="L736" s="108">
        <v>3.4481268376926768</v>
      </c>
      <c r="M736" s="107">
        <v>0.31371630240563153</v>
      </c>
      <c r="N736" s="96">
        <v>0.25913235062435924</v>
      </c>
      <c r="O736" s="96">
        <v>1.0215792891963338</v>
      </c>
      <c r="P736" s="132">
        <v>0.21668462179671807</v>
      </c>
      <c r="W736" s="115">
        <f t="shared" si="25"/>
        <v>0.21668462179671807</v>
      </c>
    </row>
    <row r="737" spans="11:23">
      <c r="K737" s="130">
        <v>732</v>
      </c>
      <c r="L737" s="108">
        <v>4.372014576187742</v>
      </c>
      <c r="M737" s="107">
        <v>0.33055276674069239</v>
      </c>
      <c r="N737" s="96">
        <v>0.24084933169571324</v>
      </c>
      <c r="O737" s="96">
        <v>1.0128069300109763</v>
      </c>
      <c r="P737" s="132">
        <v>0.12596682248935395</v>
      </c>
      <c r="W737" s="115">
        <f t="shared" si="25"/>
        <v>0.12596682248935395</v>
      </c>
    </row>
    <row r="738" spans="11:23">
      <c r="K738" s="130">
        <v>733</v>
      </c>
      <c r="L738" s="108">
        <v>7.3083202749701774</v>
      </c>
      <c r="M738" s="107">
        <v>0.34023033256115814</v>
      </c>
      <c r="N738" s="96">
        <v>0.29799346828224138</v>
      </c>
      <c r="O738" s="96">
        <v>1.1827080843773055</v>
      </c>
      <c r="P738" s="132">
        <v>2.0291425254726292</v>
      </c>
      <c r="W738" s="115">
        <f t="shared" si="25"/>
        <v>2.0291425254726292</v>
      </c>
    </row>
    <row r="739" spans="11:23">
      <c r="K739" s="130">
        <v>734</v>
      </c>
      <c r="L739" s="108">
        <v>3.296089284613529</v>
      </c>
      <c r="M739" s="107">
        <v>0.31929102785941393</v>
      </c>
      <c r="N739" s="96">
        <v>0.28529290137036573</v>
      </c>
      <c r="O739" s="96">
        <v>1.3314446914966589</v>
      </c>
      <c r="P739" s="132">
        <v>6.5288821974945437</v>
      </c>
      <c r="W739" s="115">
        <f t="shared" si="25"/>
        <v>6.5288821974945437</v>
      </c>
    </row>
    <row r="740" spans="11:23">
      <c r="K740" s="130">
        <v>735</v>
      </c>
      <c r="L740" s="108">
        <v>0.25301544190999836</v>
      </c>
      <c r="M740" s="107">
        <v>0.3083704777534082</v>
      </c>
      <c r="N740" s="96">
        <v>0.30326438356203439</v>
      </c>
      <c r="O740" s="96">
        <v>1.2310892692572566</v>
      </c>
      <c r="P740" s="132">
        <v>7.7010278397461018</v>
      </c>
      <c r="W740" s="115">
        <f t="shared" si="25"/>
        <v>7.7010278397461018</v>
      </c>
    </row>
    <row r="741" spans="11:23">
      <c r="K741" s="130">
        <v>736</v>
      </c>
      <c r="L741" s="108">
        <v>9.8678112090503358</v>
      </c>
      <c r="M741" s="107">
        <v>0.33523024047721012</v>
      </c>
      <c r="N741" s="96">
        <v>0.30569172626242186</v>
      </c>
      <c r="O741" s="96">
        <v>1.2537337139576388</v>
      </c>
      <c r="P741" s="132">
        <v>5.3999713130039702</v>
      </c>
      <c r="W741" s="115">
        <f t="shared" si="25"/>
        <v>5.3999713130039702</v>
      </c>
    </row>
    <row r="742" spans="11:23">
      <c r="K742" s="130">
        <v>737</v>
      </c>
      <c r="L742" s="108">
        <v>5.0477724555121561</v>
      </c>
      <c r="M742" s="107">
        <v>0.34016033115589889</v>
      </c>
      <c r="N742" s="96">
        <v>0.24296219731570873</v>
      </c>
      <c r="O742" s="96">
        <v>1.1471174896161846</v>
      </c>
      <c r="P742" s="132">
        <v>0.17745400960616006</v>
      </c>
      <c r="W742" s="115">
        <f t="shared" si="25"/>
        <v>0.17745400960616006</v>
      </c>
    </row>
    <row r="743" spans="11:23">
      <c r="K743" s="130">
        <v>738</v>
      </c>
      <c r="L743" s="108">
        <v>1.529975033869988</v>
      </c>
      <c r="M743" s="107">
        <v>0.31017740184674003</v>
      </c>
      <c r="N743" s="96">
        <v>0.26351532588419452</v>
      </c>
      <c r="O743" s="96">
        <v>1.097290210190873</v>
      </c>
      <c r="P743" s="132">
        <v>0.45160570744895318</v>
      </c>
      <c r="W743" s="115">
        <f t="shared" si="25"/>
        <v>0.45160570744895318</v>
      </c>
    </row>
    <row r="744" spans="11:23">
      <c r="K744" s="130">
        <v>739</v>
      </c>
      <c r="L744" s="108">
        <v>-12.691044452446976</v>
      </c>
      <c r="M744" s="107">
        <v>0.32198568481142692</v>
      </c>
      <c r="N744" s="96">
        <v>0.29095300598781176</v>
      </c>
      <c r="O744" s="96">
        <v>1.368286378077165</v>
      </c>
      <c r="P744" s="132">
        <v>7.8695590268289557</v>
      </c>
      <c r="W744" s="115">
        <f t="shared" si="25"/>
        <v>7.8695590268289557</v>
      </c>
    </row>
    <row r="745" spans="11:23">
      <c r="K745" s="130">
        <v>740</v>
      </c>
      <c r="L745" s="108">
        <v>-1.7143945389441484</v>
      </c>
      <c r="M745" s="107">
        <v>0.32334094692938609</v>
      </c>
      <c r="N745" s="96">
        <v>0.31402493671442178</v>
      </c>
      <c r="O745" s="96">
        <v>1.0891393643452729</v>
      </c>
      <c r="P745" s="132">
        <v>2.8799884256578592</v>
      </c>
      <c r="W745" s="115">
        <f t="shared" si="25"/>
        <v>2.8799884256578592</v>
      </c>
    </row>
    <row r="746" spans="11:23">
      <c r="K746" s="130">
        <v>741</v>
      </c>
      <c r="L746" s="108">
        <v>-11.917483448960436</v>
      </c>
      <c r="M746" s="107">
        <v>0.31096579075356623</v>
      </c>
      <c r="N746" s="96">
        <v>0.30321788343252787</v>
      </c>
      <c r="O746" s="96">
        <v>1.223417864390469</v>
      </c>
      <c r="P746" s="132">
        <v>7.1427262176373123</v>
      </c>
      <c r="W746" s="115">
        <f t="shared" si="25"/>
        <v>7.1427262176373123</v>
      </c>
    </row>
    <row r="747" spans="11:23">
      <c r="K747" s="130">
        <v>742</v>
      </c>
      <c r="L747" s="108">
        <v>7.2326983874282247</v>
      </c>
      <c r="M747" s="107">
        <v>0.31775418248579729</v>
      </c>
      <c r="N747" s="96">
        <v>0.28036956564973442</v>
      </c>
      <c r="O747" s="96">
        <v>0.99373511152836524</v>
      </c>
      <c r="P747" s="132">
        <v>0.26849869562450002</v>
      </c>
      <c r="W747" s="115">
        <f t="shared" si="25"/>
        <v>0.26849869562450002</v>
      </c>
    </row>
    <row r="748" spans="11:23">
      <c r="K748" s="130">
        <v>743</v>
      </c>
      <c r="L748" s="108">
        <v>-3.8944239873078539</v>
      </c>
      <c r="M748" s="107">
        <v>0.335834734225186</v>
      </c>
      <c r="N748" s="96">
        <v>0.27025421226320401</v>
      </c>
      <c r="O748" s="96">
        <v>1.3781878573317083</v>
      </c>
      <c r="P748" s="132">
        <v>3.8812213367331343</v>
      </c>
      <c r="W748" s="115">
        <f t="shared" si="25"/>
        <v>3.8812213367331343</v>
      </c>
    </row>
    <row r="749" spans="11:23">
      <c r="K749" s="130">
        <v>744</v>
      </c>
      <c r="L749" s="108">
        <v>-7.4436077051513596</v>
      </c>
      <c r="M749" s="107">
        <v>0.36336889339291251</v>
      </c>
      <c r="N749" s="96">
        <v>0.26372266078428697</v>
      </c>
      <c r="O749" s="96">
        <v>1.3437556603981293</v>
      </c>
      <c r="P749" s="132">
        <v>0.71176242299937387</v>
      </c>
      <c r="W749" s="115">
        <f t="shared" si="25"/>
        <v>0.71176242299937387</v>
      </c>
    </row>
    <row r="750" spans="11:23">
      <c r="K750" s="130">
        <v>745</v>
      </c>
      <c r="L750" s="108">
        <v>3.3853341977543034</v>
      </c>
      <c r="M750" s="107">
        <v>0.33284217819519379</v>
      </c>
      <c r="N750" s="96">
        <v>0.2218291358012886</v>
      </c>
      <c r="O750" s="96">
        <v>1.1172169784604526</v>
      </c>
      <c r="P750" s="132">
        <v>0.12849440327717032</v>
      </c>
      <c r="W750" s="115">
        <f t="shared" si="25"/>
        <v>0.12849440327717032</v>
      </c>
    </row>
    <row r="751" spans="11:23">
      <c r="K751" s="130">
        <v>746</v>
      </c>
      <c r="L751" s="108">
        <v>11.722844602175311</v>
      </c>
      <c r="M751" s="107">
        <v>0.32741292161035057</v>
      </c>
      <c r="N751" s="96">
        <v>0.30718558868069051</v>
      </c>
      <c r="O751" s="96">
        <v>1.4684126811628624</v>
      </c>
      <c r="P751" s="132">
        <v>11.711661414701517</v>
      </c>
      <c r="W751" s="115">
        <f t="shared" si="25"/>
        <v>11.711661414701517</v>
      </c>
    </row>
    <row r="752" spans="11:23">
      <c r="K752" s="130">
        <v>747</v>
      </c>
      <c r="L752" s="108">
        <v>4.4101753159720483</v>
      </c>
      <c r="M752" s="107">
        <v>0.31916882896457588</v>
      </c>
      <c r="N752" s="96">
        <v>0.26571781140681616</v>
      </c>
      <c r="O752" s="96">
        <v>1.2938587365431622</v>
      </c>
      <c r="P752" s="132">
        <v>3.0693482828968763</v>
      </c>
      <c r="W752" s="115">
        <f t="shared" si="25"/>
        <v>3.0693482828968763</v>
      </c>
    </row>
    <row r="753" spans="11:23">
      <c r="K753" s="130">
        <v>748</v>
      </c>
      <c r="L753" s="108">
        <v>2.0430105153320377</v>
      </c>
      <c r="M753" s="107">
        <v>0.33186419956105673</v>
      </c>
      <c r="N753" s="96">
        <v>0.2755084679088588</v>
      </c>
      <c r="O753" s="96">
        <v>1.1345619595294425</v>
      </c>
      <c r="P753" s="132">
        <v>0.48389209199201244</v>
      </c>
      <c r="W753" s="115">
        <f t="shared" si="25"/>
        <v>0.48389209199201244</v>
      </c>
    </row>
    <row r="754" spans="11:23">
      <c r="K754" s="130">
        <v>749</v>
      </c>
      <c r="L754" s="108">
        <v>-1.2887250963953469</v>
      </c>
      <c r="M754" s="107">
        <v>0.31704203667773662</v>
      </c>
      <c r="N754" s="96">
        <v>0.27967367704405888</v>
      </c>
      <c r="O754" s="96">
        <v>1.6393983019203968</v>
      </c>
      <c r="P754" s="132">
        <v>12.246775795791205</v>
      </c>
      <c r="W754" s="115">
        <f t="shared" si="25"/>
        <v>12.246775795791205</v>
      </c>
    </row>
    <row r="755" spans="11:23">
      <c r="K755" s="130">
        <v>750</v>
      </c>
      <c r="L755" s="108">
        <v>6.1665096590095674</v>
      </c>
      <c r="M755" s="107">
        <v>0.33890097960157428</v>
      </c>
      <c r="N755" s="96">
        <v>0.29654258564255109</v>
      </c>
      <c r="O755" s="96">
        <v>1.7640974909271567</v>
      </c>
      <c r="P755" s="132">
        <v>14.630014741433808</v>
      </c>
      <c r="W755" s="115">
        <f t="shared" si="25"/>
        <v>14.630014741433808</v>
      </c>
    </row>
    <row r="756" spans="11:23">
      <c r="K756" s="130">
        <v>751</v>
      </c>
      <c r="L756" s="108">
        <v>15.447394540830285</v>
      </c>
      <c r="M756" s="107">
        <v>0.31526156516646403</v>
      </c>
      <c r="N756" s="96">
        <v>0.29353640122909541</v>
      </c>
      <c r="O756" s="96">
        <v>1.27578448170436</v>
      </c>
      <c r="P756" s="132">
        <v>6.7163747629987061</v>
      </c>
      <c r="W756" s="115">
        <f t="shared" si="25"/>
        <v>6.7163747629987061</v>
      </c>
    </row>
    <row r="757" spans="11:23">
      <c r="K757" s="130">
        <v>752</v>
      </c>
      <c r="L757" s="108">
        <v>9.1854377717334454</v>
      </c>
      <c r="M757" s="107">
        <v>0.33948042866835582</v>
      </c>
      <c r="N757" s="96">
        <v>0.30585388465215779</v>
      </c>
      <c r="O757" s="96">
        <v>1.350564049049267</v>
      </c>
      <c r="P757" s="132">
        <v>7.4606646700135357</v>
      </c>
      <c r="W757" s="115">
        <f t="shared" si="25"/>
        <v>7.4606646700135357</v>
      </c>
    </row>
    <row r="758" spans="11:23">
      <c r="K758" s="130">
        <v>753</v>
      </c>
      <c r="L758" s="108">
        <v>-12.967306726060499</v>
      </c>
      <c r="M758" s="107">
        <v>0.34372334921143216</v>
      </c>
      <c r="N758" s="96">
        <v>0.30643819709288622</v>
      </c>
      <c r="O758" s="96">
        <v>1.416295566367032</v>
      </c>
      <c r="P758" s="132">
        <v>8.6258719554693162</v>
      </c>
      <c r="W758" s="115">
        <f t="shared" si="25"/>
        <v>8.6258719554693162</v>
      </c>
    </row>
    <row r="759" spans="11:23">
      <c r="K759" s="130">
        <v>754</v>
      </c>
      <c r="L759" s="108">
        <v>4.0827450209440324</v>
      </c>
      <c r="M759" s="107">
        <v>0.32808652550664363</v>
      </c>
      <c r="N759" s="96">
        <v>0.32036702476830553</v>
      </c>
      <c r="O759" s="96">
        <v>1.3259100901771159</v>
      </c>
      <c r="P759" s="132">
        <v>10.130778013602596</v>
      </c>
      <c r="W759" s="115">
        <f t="shared" si="25"/>
        <v>10.130778013602596</v>
      </c>
    </row>
    <row r="760" spans="11:23">
      <c r="K760" s="130">
        <v>755</v>
      </c>
      <c r="L760" s="108">
        <v>-3.4695605874199167</v>
      </c>
      <c r="M760" s="107">
        <v>0.34248164683688592</v>
      </c>
      <c r="N760" s="96">
        <v>0.28731500470013671</v>
      </c>
      <c r="O760" s="96">
        <v>1.4017972803542968</v>
      </c>
      <c r="P760" s="132">
        <v>5.9159214259125594</v>
      </c>
      <c r="W760" s="115">
        <f t="shared" si="25"/>
        <v>5.9159214259125594</v>
      </c>
    </row>
    <row r="761" spans="11:23">
      <c r="K761" s="130">
        <v>756</v>
      </c>
      <c r="L761" s="108">
        <v>6.4947052768116009</v>
      </c>
      <c r="M761" s="107">
        <v>0.34259866216510138</v>
      </c>
      <c r="N761" s="96">
        <v>0.30760777825121821</v>
      </c>
      <c r="O761" s="96">
        <v>1.4051233239489547</v>
      </c>
      <c r="P761" s="132">
        <v>8.6483239676359123</v>
      </c>
      <c r="W761" s="115">
        <f t="shared" si="25"/>
        <v>8.6483239676359123</v>
      </c>
    </row>
    <row r="762" spans="11:23">
      <c r="K762" s="130">
        <v>757</v>
      </c>
      <c r="L762" s="108">
        <v>-0.31956665665313566</v>
      </c>
      <c r="M762" s="107">
        <v>0.32642813363304779</v>
      </c>
      <c r="N762" s="96">
        <v>0.29599405560879338</v>
      </c>
      <c r="O762" s="96">
        <v>1.0925932060261894</v>
      </c>
      <c r="P762" s="132">
        <v>1.0202657759570144</v>
      </c>
      <c r="W762" s="115">
        <f t="shared" si="25"/>
        <v>1.0202657759570144</v>
      </c>
    </row>
    <row r="763" spans="11:23">
      <c r="K763" s="130">
        <v>758</v>
      </c>
      <c r="L763" s="108">
        <v>12.741881125918908</v>
      </c>
      <c r="M763" s="107">
        <v>0.32037474223502554</v>
      </c>
      <c r="N763" s="96">
        <v>0.28494503696410439</v>
      </c>
      <c r="O763" s="96">
        <v>1.428294586824294</v>
      </c>
      <c r="P763" s="132">
        <v>8.5812372140480644</v>
      </c>
      <c r="W763" s="115">
        <f t="shared" si="25"/>
        <v>8.5812372140480644</v>
      </c>
    </row>
    <row r="764" spans="11:23">
      <c r="K764" s="130">
        <v>759</v>
      </c>
      <c r="L764" s="108">
        <v>6.1153683832980779</v>
      </c>
      <c r="M764" s="107">
        <v>0.31466288455373098</v>
      </c>
      <c r="N764" s="96">
        <v>0.25179108650043142</v>
      </c>
      <c r="O764" s="96">
        <v>1.1691509374722131</v>
      </c>
      <c r="P764" s="132">
        <v>0.46154238919457996</v>
      </c>
      <c r="W764" s="115">
        <f t="shared" si="25"/>
        <v>0.46154238919457996</v>
      </c>
    </row>
    <row r="765" spans="11:23">
      <c r="K765" s="130">
        <v>760</v>
      </c>
      <c r="L765" s="108">
        <v>-3.2699698507432511</v>
      </c>
      <c r="M765" s="107">
        <v>0.31396946195518644</v>
      </c>
      <c r="N765" s="96">
        <v>0.28576598769120742</v>
      </c>
      <c r="O765" s="96">
        <v>1.1472643122922519</v>
      </c>
      <c r="P765" s="132">
        <v>2.31732582345502</v>
      </c>
      <c r="W765" s="115">
        <f t="shared" si="25"/>
        <v>2.31732582345502</v>
      </c>
    </row>
    <row r="766" spans="11:23">
      <c r="K766" s="130">
        <v>761</v>
      </c>
      <c r="L766" s="108">
        <v>2.8407284311142416</v>
      </c>
      <c r="M766" s="107">
        <v>0.33258629593907635</v>
      </c>
      <c r="N766" s="96">
        <v>0.31656541795377569</v>
      </c>
      <c r="O766" s="96">
        <v>1.4600058510099969</v>
      </c>
      <c r="P766" s="132">
        <v>12.231501053310303</v>
      </c>
      <c r="W766" s="115">
        <f t="shared" si="25"/>
        <v>12.231501053310303</v>
      </c>
    </row>
    <row r="767" spans="11:23">
      <c r="K767" s="130">
        <v>762</v>
      </c>
      <c r="L767" s="108">
        <v>1.203371667647265</v>
      </c>
      <c r="M767" s="107">
        <v>0.32430059350192125</v>
      </c>
      <c r="N767" s="96">
        <v>0.23763925699520178</v>
      </c>
      <c r="O767" s="96">
        <v>0.93581335964796497</v>
      </c>
      <c r="P767" s="132">
        <v>0.10664026476626895</v>
      </c>
      <c r="W767" s="115">
        <f t="shared" si="25"/>
        <v>0.10664026476626895</v>
      </c>
    </row>
    <row r="768" spans="11:23">
      <c r="K768" s="130">
        <v>763</v>
      </c>
      <c r="L768" s="108">
        <v>-7.1834977033554539</v>
      </c>
      <c r="M768" s="107">
        <v>0.34188282832357786</v>
      </c>
      <c r="N768" s="96">
        <v>0.30936276674104013</v>
      </c>
      <c r="O768" s="96">
        <v>1.2671320077692385</v>
      </c>
      <c r="P768" s="132">
        <v>5.4910858749870641</v>
      </c>
      <c r="W768" s="115">
        <f t="shared" si="25"/>
        <v>5.4910858749870641</v>
      </c>
    </row>
    <row r="769" spans="11:23">
      <c r="K769" s="130">
        <v>764</v>
      </c>
      <c r="L769" s="108">
        <v>-6.1697132917127169</v>
      </c>
      <c r="M769" s="107">
        <v>0.32576639576299665</v>
      </c>
      <c r="N769" s="96">
        <v>0.30988647553421728</v>
      </c>
      <c r="O769" s="96">
        <v>1.348827149329634</v>
      </c>
      <c r="P769" s="132">
        <v>9.5499485636691457</v>
      </c>
      <c r="W769" s="115">
        <f t="shared" si="25"/>
        <v>9.5499485636691457</v>
      </c>
    </row>
    <row r="770" spans="11:23">
      <c r="K770" s="130">
        <v>765</v>
      </c>
      <c r="L770" s="108">
        <v>-3.6957110326781928</v>
      </c>
      <c r="M770" s="107">
        <v>0.30776513628887608</v>
      </c>
      <c r="N770" s="96">
        <v>0.22652185491146637</v>
      </c>
      <c r="O770" s="96">
        <v>1.2939855584919973</v>
      </c>
      <c r="P770" s="132">
        <v>0.56431381926639201</v>
      </c>
      <c r="W770" s="115">
        <f t="shared" si="25"/>
        <v>0.56431381926639201</v>
      </c>
    </row>
    <row r="771" spans="11:23">
      <c r="K771" s="130">
        <v>766</v>
      </c>
      <c r="L771" s="108">
        <v>-6.6344397183249262</v>
      </c>
      <c r="M771" s="107">
        <v>0.32058686643403889</v>
      </c>
      <c r="N771" s="96">
        <v>0.28867768238981567</v>
      </c>
      <c r="O771" s="96">
        <v>1.2574786420782584</v>
      </c>
      <c r="P771" s="132">
        <v>4.9500268584340068</v>
      </c>
      <c r="W771" s="115">
        <f t="shared" si="25"/>
        <v>4.9500268584340068</v>
      </c>
    </row>
    <row r="772" spans="11:23">
      <c r="K772" s="130">
        <v>767</v>
      </c>
      <c r="L772" s="108">
        <v>-3.3293957415214237</v>
      </c>
      <c r="M772" s="107">
        <v>0.32619741479654668</v>
      </c>
      <c r="N772" s="96">
        <v>0.3237295504805785</v>
      </c>
      <c r="O772" s="96">
        <v>1.0634910168974727</v>
      </c>
      <c r="P772" s="132">
        <v>2.8584958344072695</v>
      </c>
      <c r="W772" s="115">
        <f t="shared" si="25"/>
        <v>2.8584958344072695</v>
      </c>
    </row>
    <row r="773" spans="11:23">
      <c r="K773" s="130">
        <v>768</v>
      </c>
      <c r="L773" s="108">
        <v>-2.6926177161832432E-2</v>
      </c>
      <c r="M773" s="107">
        <v>0.31248006544241913</v>
      </c>
      <c r="N773" s="96">
        <v>0.31993724099820808</v>
      </c>
      <c r="O773" s="96">
        <v>1.1340358373399582</v>
      </c>
      <c r="P773" s="132">
        <v>6.4942012301456558</v>
      </c>
      <c r="W773" s="115">
        <f t="shared" si="25"/>
        <v>6.4942012301456558</v>
      </c>
    </row>
    <row r="774" spans="11:23">
      <c r="K774" s="130">
        <v>769</v>
      </c>
      <c r="L774" s="108">
        <v>-8.0112251568802861E-2</v>
      </c>
      <c r="M774" s="107">
        <v>0.34126351942309396</v>
      </c>
      <c r="N774" s="96">
        <v>0.30660777139152662</v>
      </c>
      <c r="O774" s="96">
        <v>1.5794651390952534</v>
      </c>
      <c r="P774" s="132">
        <v>12.328579519934854</v>
      </c>
      <c r="W774" s="115">
        <f t="shared" ref="W774:W837" si="26">P774</f>
        <v>12.328579519934854</v>
      </c>
    </row>
    <row r="775" spans="11:23">
      <c r="K775" s="130">
        <v>770</v>
      </c>
      <c r="L775" s="108">
        <v>-7.5522445044043085</v>
      </c>
      <c r="M775" s="107">
        <v>0.31479498065943462</v>
      </c>
      <c r="N775" s="96">
        <v>0.26137243927671422</v>
      </c>
      <c r="O775" s="96">
        <v>1.7130402445728421</v>
      </c>
      <c r="P775" s="132">
        <v>11.066010271768169</v>
      </c>
      <c r="W775" s="115">
        <f t="shared" si="26"/>
        <v>11.066010271768169</v>
      </c>
    </row>
    <row r="776" spans="11:23">
      <c r="K776" s="130">
        <v>771</v>
      </c>
      <c r="L776" s="108">
        <v>4.9837527305622684</v>
      </c>
      <c r="M776" s="107">
        <v>0.32956498150107488</v>
      </c>
      <c r="N776" s="96">
        <v>0.3029209988805594</v>
      </c>
      <c r="O776" s="96">
        <v>1.0983115716129779</v>
      </c>
      <c r="P776" s="132">
        <v>1.4028800032102227</v>
      </c>
      <c r="W776" s="115">
        <f t="shared" si="26"/>
        <v>1.4028800032102227</v>
      </c>
    </row>
    <row r="777" spans="11:23">
      <c r="K777" s="130">
        <v>772</v>
      </c>
      <c r="L777" s="108">
        <v>-8.6271571361532189</v>
      </c>
      <c r="M777" s="107">
        <v>0.31542156639438623</v>
      </c>
      <c r="N777" s="96">
        <v>0.28273751286694715</v>
      </c>
      <c r="O777" s="96">
        <v>1.2945028170230601</v>
      </c>
      <c r="P777" s="132">
        <v>5.7134430616734857</v>
      </c>
      <c r="W777" s="115">
        <f t="shared" si="26"/>
        <v>5.7134430616734857</v>
      </c>
    </row>
    <row r="778" spans="11:23">
      <c r="K778" s="130">
        <v>773</v>
      </c>
      <c r="L778" s="108">
        <v>8.6156557507498164</v>
      </c>
      <c r="M778" s="107">
        <v>0.32433190437972104</v>
      </c>
      <c r="N778" s="96">
        <v>0.2550896019687533</v>
      </c>
      <c r="O778" s="96">
        <v>1.1956224414425296</v>
      </c>
      <c r="P778" s="132">
        <v>0.47817958036579133</v>
      </c>
      <c r="W778" s="115">
        <f t="shared" si="26"/>
        <v>0.47817958036579133</v>
      </c>
    </row>
    <row r="779" spans="11:23">
      <c r="K779" s="130">
        <v>774</v>
      </c>
      <c r="L779" s="108">
        <v>5.2146642600582469</v>
      </c>
      <c r="M779" s="107">
        <v>0.3264656872056883</v>
      </c>
      <c r="N779" s="96">
        <v>0.27592584276712806</v>
      </c>
      <c r="O779" s="96">
        <v>1.2367116063811738</v>
      </c>
      <c r="P779" s="132">
        <v>2.2240907032696042</v>
      </c>
      <c r="W779" s="115">
        <f t="shared" si="26"/>
        <v>2.2240907032696042</v>
      </c>
    </row>
    <row r="780" spans="11:23">
      <c r="K780" s="130">
        <v>775</v>
      </c>
      <c r="L780" s="108">
        <v>2.9842719278806289</v>
      </c>
      <c r="M780" s="107">
        <v>0.3468249831384585</v>
      </c>
      <c r="N780" s="96">
        <v>0.29046379959445723</v>
      </c>
      <c r="O780" s="96">
        <v>1.5783709817886069</v>
      </c>
      <c r="P780" s="132">
        <v>9.5187889738722316</v>
      </c>
      <c r="W780" s="115">
        <f t="shared" si="26"/>
        <v>9.5187889738722316</v>
      </c>
    </row>
    <row r="781" spans="11:23">
      <c r="K781" s="130">
        <v>776</v>
      </c>
      <c r="L781" s="108">
        <v>-17.338322413526299</v>
      </c>
      <c r="M781" s="107">
        <v>0.3239651308562575</v>
      </c>
      <c r="N781" s="96">
        <v>0.26969379077046701</v>
      </c>
      <c r="O781" s="96">
        <v>1.3275228152827723</v>
      </c>
      <c r="P781" s="132">
        <v>3.8606451818542102</v>
      </c>
      <c r="W781" s="115">
        <f t="shared" si="26"/>
        <v>3.8606451818542102</v>
      </c>
    </row>
    <row r="782" spans="11:23">
      <c r="K782" s="130">
        <v>777</v>
      </c>
      <c r="L782" s="108">
        <v>-6.8297200893857015</v>
      </c>
      <c r="M782" s="107">
        <v>0.319569203034341</v>
      </c>
      <c r="N782" s="96">
        <v>0.26901902858574733</v>
      </c>
      <c r="O782" s="96">
        <v>1.0755467285238325</v>
      </c>
      <c r="P782" s="132">
        <v>0.33774818455091854</v>
      </c>
      <c r="W782" s="115">
        <f t="shared" si="26"/>
        <v>0.33774818455091854</v>
      </c>
    </row>
    <row r="783" spans="11:23">
      <c r="K783" s="130">
        <v>778</v>
      </c>
      <c r="L783" s="108">
        <v>-6.5733745721086558</v>
      </c>
      <c r="M783" s="107">
        <v>0.31689904139663044</v>
      </c>
      <c r="N783" s="96">
        <v>0.26475339639174034</v>
      </c>
      <c r="O783" s="96">
        <v>1.2785857213139709</v>
      </c>
      <c r="P783" s="132">
        <v>2.824940866547681</v>
      </c>
      <c r="W783" s="115">
        <f t="shared" si="26"/>
        <v>2.824940866547681</v>
      </c>
    </row>
    <row r="784" spans="11:23">
      <c r="K784" s="130">
        <v>779</v>
      </c>
      <c r="L784" s="108">
        <v>-8.3122433393240751</v>
      </c>
      <c r="M784" s="107">
        <v>0.31758484564398837</v>
      </c>
      <c r="N784" s="96">
        <v>0.28965619011091437</v>
      </c>
      <c r="O784" s="96">
        <v>1.4397925377099594</v>
      </c>
      <c r="P784" s="132">
        <v>9.8019608351879466</v>
      </c>
      <c r="W784" s="115">
        <f t="shared" si="26"/>
        <v>9.8019608351879466</v>
      </c>
    </row>
    <row r="785" spans="11:23">
      <c r="K785" s="130">
        <v>780</v>
      </c>
      <c r="L785" s="108">
        <v>13.280607494735323</v>
      </c>
      <c r="M785" s="107">
        <v>0.30694760398078141</v>
      </c>
      <c r="N785" s="96">
        <v>0.2981325941559877</v>
      </c>
      <c r="O785" s="96">
        <v>0.91000581265648628</v>
      </c>
      <c r="P785" s="132">
        <v>0.29138028418875989</v>
      </c>
      <c r="W785" s="115">
        <f t="shared" si="26"/>
        <v>0.29138028418875989</v>
      </c>
    </row>
    <row r="786" spans="11:23">
      <c r="K786" s="130">
        <v>781</v>
      </c>
      <c r="L786" s="108">
        <v>5.9943068185578259</v>
      </c>
      <c r="M786" s="107">
        <v>0.32206989482636883</v>
      </c>
      <c r="N786" s="96">
        <v>0.27006236148002793</v>
      </c>
      <c r="O786" s="96">
        <v>1.0640830694913592</v>
      </c>
      <c r="P786" s="132">
        <v>0.29967397460798029</v>
      </c>
      <c r="W786" s="115">
        <f t="shared" si="26"/>
        <v>0.29967397460798029</v>
      </c>
    </row>
    <row r="787" spans="11:23">
      <c r="K787" s="130">
        <v>782</v>
      </c>
      <c r="L787" s="108">
        <v>-5.380085424662056</v>
      </c>
      <c r="M787" s="107">
        <v>0.32701448638271213</v>
      </c>
      <c r="N787" s="96">
        <v>0.26605176368242656</v>
      </c>
      <c r="O787" s="96">
        <v>1.435454200759859</v>
      </c>
      <c r="P787" s="132">
        <v>5.4564189549898421</v>
      </c>
      <c r="W787" s="115">
        <f t="shared" si="26"/>
        <v>5.4564189549898421</v>
      </c>
    </row>
    <row r="788" spans="11:23">
      <c r="K788" s="130">
        <v>783</v>
      </c>
      <c r="L788" s="108">
        <v>-6.2057723186807916</v>
      </c>
      <c r="M788" s="107">
        <v>0.34148582408456502</v>
      </c>
      <c r="N788" s="96">
        <v>0.27076729936928912</v>
      </c>
      <c r="O788" s="96">
        <v>0.66432421023467936</v>
      </c>
      <c r="P788" s="132">
        <v>7.6936936532781899E-2</v>
      </c>
      <c r="W788" s="115">
        <f t="shared" si="26"/>
        <v>7.6936936532781899E-2</v>
      </c>
    </row>
    <row r="789" spans="11:23">
      <c r="K789" s="130">
        <v>784</v>
      </c>
      <c r="L789" s="108">
        <v>-7.5620312063669335</v>
      </c>
      <c r="M789" s="107">
        <v>0.32127297751981565</v>
      </c>
      <c r="N789" s="96">
        <v>0.32596876906870492</v>
      </c>
      <c r="O789" s="96">
        <v>1.3110368347519405</v>
      </c>
      <c r="P789" s="132">
        <v>11.372536106621705</v>
      </c>
      <c r="W789" s="115">
        <f t="shared" si="26"/>
        <v>11.372536106621705</v>
      </c>
    </row>
    <row r="790" spans="11:23">
      <c r="K790" s="130">
        <v>785</v>
      </c>
      <c r="L790" s="108">
        <v>6.3715686422673192</v>
      </c>
      <c r="M790" s="107">
        <v>0.32643334526985524</v>
      </c>
      <c r="N790" s="96">
        <v>0.30350640480767155</v>
      </c>
      <c r="O790" s="96">
        <v>1.3374990645599143</v>
      </c>
      <c r="P790" s="132">
        <v>8.3197428743759918</v>
      </c>
      <c r="W790" s="115">
        <f t="shared" si="26"/>
        <v>8.3197428743759918</v>
      </c>
    </row>
    <row r="791" spans="11:23">
      <c r="K791" s="130">
        <v>786</v>
      </c>
      <c r="L791" s="108">
        <v>-5.0193579741088836</v>
      </c>
      <c r="M791" s="107">
        <v>0.33784112433657421</v>
      </c>
      <c r="N791" s="96">
        <v>0.26593120685211025</v>
      </c>
      <c r="O791" s="96">
        <v>1.296174225106832</v>
      </c>
      <c r="P791" s="132">
        <v>1.5104014109039539</v>
      </c>
      <c r="W791" s="115">
        <f t="shared" si="26"/>
        <v>1.5104014109039539</v>
      </c>
    </row>
    <row r="792" spans="11:23">
      <c r="K792" s="130">
        <v>787</v>
      </c>
      <c r="L792" s="108">
        <v>-1.1515012049464204</v>
      </c>
      <c r="M792" s="107">
        <v>0.32254446432216671</v>
      </c>
      <c r="N792" s="96">
        <v>0.27490902173277232</v>
      </c>
      <c r="O792" s="96">
        <v>1.0154065170742963</v>
      </c>
      <c r="P792" s="132">
        <v>0.24456318372846428</v>
      </c>
      <c r="W792" s="115">
        <f t="shared" si="26"/>
        <v>0.24456318372846428</v>
      </c>
    </row>
    <row r="793" spans="11:23">
      <c r="K793" s="130">
        <v>788</v>
      </c>
      <c r="L793" s="108">
        <v>-6.37715443733972</v>
      </c>
      <c r="M793" s="107">
        <v>0.33443321814565491</v>
      </c>
      <c r="N793" s="96">
        <v>0.27186478006344605</v>
      </c>
      <c r="O793" s="96">
        <v>1.3604826162103296</v>
      </c>
      <c r="P793" s="132">
        <v>3.8279268733267506</v>
      </c>
      <c r="W793" s="115">
        <f t="shared" si="26"/>
        <v>3.8279268733267506</v>
      </c>
    </row>
    <row r="794" spans="11:23">
      <c r="K794" s="130">
        <v>789</v>
      </c>
      <c r="L794" s="108">
        <v>-13.556296314886819</v>
      </c>
      <c r="M794" s="107">
        <v>0.3205480686258298</v>
      </c>
      <c r="N794" s="96">
        <v>0.29847222730669759</v>
      </c>
      <c r="O794" s="96">
        <v>1.5602083717496491</v>
      </c>
      <c r="P794" s="132">
        <v>13.123137273200829</v>
      </c>
      <c r="W794" s="115">
        <f t="shared" si="26"/>
        <v>13.123137273200829</v>
      </c>
    </row>
    <row r="795" spans="11:23">
      <c r="K795" s="130">
        <v>790</v>
      </c>
      <c r="L795" s="108">
        <v>-5.151128878679426</v>
      </c>
      <c r="M795" s="107">
        <v>0.32133981636822756</v>
      </c>
      <c r="N795" s="96">
        <v>0.29255089530470535</v>
      </c>
      <c r="O795" s="96">
        <v>1.4553202118800779</v>
      </c>
      <c r="P795" s="132">
        <v>10.101746221445923</v>
      </c>
      <c r="W795" s="115">
        <f t="shared" si="26"/>
        <v>10.101746221445923</v>
      </c>
    </row>
    <row r="796" spans="11:23">
      <c r="K796" s="130">
        <v>791</v>
      </c>
      <c r="L796" s="108">
        <v>2.0013796660522298</v>
      </c>
      <c r="M796" s="107">
        <v>0.31409970493282818</v>
      </c>
      <c r="N796" s="96">
        <v>0.30520711395424471</v>
      </c>
      <c r="O796" s="96">
        <v>1.158525120383838</v>
      </c>
      <c r="P796" s="132">
        <v>5.0803056446185915</v>
      </c>
      <c r="W796" s="115">
        <f t="shared" si="26"/>
        <v>5.0803056446185915</v>
      </c>
    </row>
    <row r="797" spans="11:23">
      <c r="K797" s="130">
        <v>792</v>
      </c>
      <c r="L797" s="108">
        <v>4.533843151532583</v>
      </c>
      <c r="M797" s="107">
        <v>0.3250820303499653</v>
      </c>
      <c r="N797" s="96">
        <v>0.32189485634668208</v>
      </c>
      <c r="O797" s="96">
        <v>1.6474987016801066</v>
      </c>
      <c r="P797" s="132">
        <v>18.196244361498245</v>
      </c>
      <c r="W797" s="115">
        <f t="shared" si="26"/>
        <v>18.196244361498245</v>
      </c>
    </row>
    <row r="798" spans="11:23">
      <c r="K798" s="130">
        <v>793</v>
      </c>
      <c r="L798" s="108">
        <v>1.0648016364155837</v>
      </c>
      <c r="M798" s="107">
        <v>0.31494720407375126</v>
      </c>
      <c r="N798" s="96">
        <v>0.29179500031565692</v>
      </c>
      <c r="O798" s="96">
        <v>1.2201382619643668</v>
      </c>
      <c r="P798" s="132">
        <v>5.0047815573107544</v>
      </c>
      <c r="W798" s="115">
        <f t="shared" si="26"/>
        <v>5.0047815573107544</v>
      </c>
    </row>
    <row r="799" spans="11:23">
      <c r="K799" s="130">
        <v>794</v>
      </c>
      <c r="L799" s="108">
        <v>-5.0283890901394139</v>
      </c>
      <c r="M799" s="107">
        <v>0.34191885964794333</v>
      </c>
      <c r="N799" s="96">
        <v>0.28288677102453552</v>
      </c>
      <c r="O799" s="96">
        <v>1.6510325093252087</v>
      </c>
      <c r="P799" s="132">
        <v>10.29373780550079</v>
      </c>
      <c r="W799" s="115">
        <f t="shared" si="26"/>
        <v>10.29373780550079</v>
      </c>
    </row>
    <row r="800" spans="11:23">
      <c r="K800" s="130">
        <v>795</v>
      </c>
      <c r="L800" s="108">
        <v>1.9724910140435175</v>
      </c>
      <c r="M800" s="107">
        <v>0.3209920002157261</v>
      </c>
      <c r="N800" s="96">
        <v>0.30749080007289897</v>
      </c>
      <c r="O800" s="96">
        <v>1.0833683307167108</v>
      </c>
      <c r="P800" s="132">
        <v>2.2185422764138365</v>
      </c>
      <c r="W800" s="115">
        <f t="shared" si="26"/>
        <v>2.2185422764138365</v>
      </c>
    </row>
    <row r="801" spans="11:23">
      <c r="K801" s="130">
        <v>796</v>
      </c>
      <c r="L801" s="108">
        <v>0.83150343476182398</v>
      </c>
      <c r="M801" s="107">
        <v>0.31292717742571285</v>
      </c>
      <c r="N801" s="96">
        <v>0.32038486574872821</v>
      </c>
      <c r="O801" s="96">
        <v>1.3471065238953508</v>
      </c>
      <c r="P801" s="132">
        <v>12.573110952953401</v>
      </c>
      <c r="W801" s="115">
        <f t="shared" si="26"/>
        <v>12.573110952953401</v>
      </c>
    </row>
    <row r="802" spans="11:23">
      <c r="K802" s="130">
        <v>797</v>
      </c>
      <c r="L802" s="108">
        <v>5.3971802682801702</v>
      </c>
      <c r="M802" s="107">
        <v>0.33540751288657744</v>
      </c>
      <c r="N802" s="96">
        <v>0.25702633568343491</v>
      </c>
      <c r="O802" s="96">
        <v>1.1468585840077143</v>
      </c>
      <c r="P802" s="132">
        <v>0.26124516794136304</v>
      </c>
      <c r="W802" s="115">
        <f t="shared" si="26"/>
        <v>0.26124516794136304</v>
      </c>
    </row>
    <row r="803" spans="11:23">
      <c r="K803" s="130">
        <v>798</v>
      </c>
      <c r="L803" s="108">
        <v>-5.5939942936242035</v>
      </c>
      <c r="M803" s="107">
        <v>0.31407721824027429</v>
      </c>
      <c r="N803" s="96">
        <v>0.22316028934537543</v>
      </c>
      <c r="O803" s="96">
        <v>1.4533378328197357</v>
      </c>
      <c r="P803" s="132">
        <v>1.6718781052392411</v>
      </c>
      <c r="W803" s="115">
        <f t="shared" si="26"/>
        <v>1.6718781052392411</v>
      </c>
    </row>
    <row r="804" spans="11:23">
      <c r="K804" s="130">
        <v>799</v>
      </c>
      <c r="L804" s="108">
        <v>10.339033315350182</v>
      </c>
      <c r="M804" s="107">
        <v>0.31013660991935549</v>
      </c>
      <c r="N804" s="96">
        <v>0.27068415416110159</v>
      </c>
      <c r="O804" s="96">
        <v>1.2817758389859812</v>
      </c>
      <c r="P804" s="132">
        <v>4.3820283275008238</v>
      </c>
      <c r="W804" s="115">
        <f t="shared" si="26"/>
        <v>4.3820283275008238</v>
      </c>
    </row>
    <row r="805" spans="11:23">
      <c r="K805" s="130">
        <v>800</v>
      </c>
      <c r="L805" s="108">
        <v>2.9008000242795702</v>
      </c>
      <c r="M805" s="107">
        <v>0.31026850668426698</v>
      </c>
      <c r="N805" s="96">
        <v>0.26265172772872747</v>
      </c>
      <c r="O805" s="96">
        <v>1.1936531148436882</v>
      </c>
      <c r="P805" s="132">
        <v>1.37207715118478</v>
      </c>
      <c r="W805" s="115">
        <f t="shared" si="26"/>
        <v>1.37207715118478</v>
      </c>
    </row>
    <row r="806" spans="11:23">
      <c r="K806" s="130">
        <v>801</v>
      </c>
      <c r="L806" s="108">
        <v>-2.278937277981036</v>
      </c>
      <c r="M806" s="107">
        <v>0.32347225343448294</v>
      </c>
      <c r="N806" s="96">
        <v>0.28188565382683262</v>
      </c>
      <c r="O806" s="96">
        <v>0.96183010791930812</v>
      </c>
      <c r="P806" s="132">
        <v>0.20510038757986634</v>
      </c>
      <c r="W806" s="115">
        <f t="shared" si="26"/>
        <v>0.20510038757986634</v>
      </c>
    </row>
    <row r="807" spans="11:23">
      <c r="K807" s="130">
        <v>802</v>
      </c>
      <c r="L807" s="108">
        <v>15.462901884014716</v>
      </c>
      <c r="M807" s="107">
        <v>0.34030726698163744</v>
      </c>
      <c r="N807" s="96">
        <v>0.29534166567024783</v>
      </c>
      <c r="O807" s="96">
        <v>1.3051259184438049</v>
      </c>
      <c r="P807" s="132">
        <v>4.8683205385523083</v>
      </c>
      <c r="W807" s="115">
        <f t="shared" si="26"/>
        <v>4.8683205385523083</v>
      </c>
    </row>
    <row r="808" spans="11:23">
      <c r="K808" s="130">
        <v>803</v>
      </c>
      <c r="L808" s="108">
        <v>-11.275009169672586</v>
      </c>
      <c r="M808" s="107">
        <v>0.31817832522812634</v>
      </c>
      <c r="N808" s="96">
        <v>0.30167560315705433</v>
      </c>
      <c r="O808" s="96">
        <v>1.373409542236353</v>
      </c>
      <c r="P808" s="132">
        <v>9.9190031094596947</v>
      </c>
      <c r="W808" s="115">
        <f t="shared" si="26"/>
        <v>9.9190031094596947</v>
      </c>
    </row>
    <row r="809" spans="11:23">
      <c r="K809" s="130">
        <v>804</v>
      </c>
      <c r="L809" s="108">
        <v>0.70062944662675397</v>
      </c>
      <c r="M809" s="107">
        <v>0.32883605754332823</v>
      </c>
      <c r="N809" s="96">
        <v>0.30747025909102454</v>
      </c>
      <c r="O809" s="96">
        <v>1.1458451361097726</v>
      </c>
      <c r="P809" s="132">
        <v>3.2305810716283094</v>
      </c>
      <c r="W809" s="115">
        <f t="shared" si="26"/>
        <v>3.2305810716283094</v>
      </c>
    </row>
    <row r="810" spans="11:23">
      <c r="K810" s="130">
        <v>805</v>
      </c>
      <c r="L810" s="108">
        <v>17.651220157851888</v>
      </c>
      <c r="M810" s="107">
        <v>0.32083897988969751</v>
      </c>
      <c r="N810" s="96">
        <v>0.30953723613317241</v>
      </c>
      <c r="O810" s="96">
        <v>1.2112739066275253</v>
      </c>
      <c r="P810" s="132">
        <v>6.4097265930917606</v>
      </c>
      <c r="W810" s="115">
        <f t="shared" si="26"/>
        <v>6.4097265930917606</v>
      </c>
    </row>
    <row r="811" spans="11:23">
      <c r="K811" s="130">
        <v>806</v>
      </c>
      <c r="L811" s="108">
        <v>3.7552704242647796</v>
      </c>
      <c r="M811" s="107">
        <v>0.32214319708585137</v>
      </c>
      <c r="N811" s="96">
        <v>0.27448216250185176</v>
      </c>
      <c r="O811" s="96">
        <v>1.0352165792457202</v>
      </c>
      <c r="P811" s="132">
        <v>0.27637090223120242</v>
      </c>
      <c r="W811" s="115">
        <f t="shared" si="26"/>
        <v>0.27637090223120242</v>
      </c>
    </row>
    <row r="812" spans="11:23">
      <c r="K812" s="130">
        <v>807</v>
      </c>
      <c r="L812" s="108">
        <v>-10.272788459426677</v>
      </c>
      <c r="M812" s="107">
        <v>0.29826423844676281</v>
      </c>
      <c r="N812" s="96">
        <v>0.27087093065698559</v>
      </c>
      <c r="O812" s="96">
        <v>1.0677238751078426</v>
      </c>
      <c r="P812" s="132">
        <v>0.75827240557341391</v>
      </c>
      <c r="W812" s="115">
        <f t="shared" si="26"/>
        <v>0.75827240557341391</v>
      </c>
    </row>
    <row r="813" spans="11:23">
      <c r="K813" s="130">
        <v>808</v>
      </c>
      <c r="L813" s="108">
        <v>6.6172546810664432</v>
      </c>
      <c r="M813" s="107">
        <v>0.33684321367925668</v>
      </c>
      <c r="N813" s="96">
        <v>0.30849805455512075</v>
      </c>
      <c r="O813" s="96">
        <v>1.3818332065394854</v>
      </c>
      <c r="P813" s="132">
        <v>8.8658804245082159</v>
      </c>
      <c r="W813" s="115">
        <f t="shared" si="26"/>
        <v>8.8658804245082159</v>
      </c>
    </row>
    <row r="814" spans="11:23">
      <c r="K814" s="130">
        <v>809</v>
      </c>
      <c r="L814" s="108">
        <v>6.1647111863333768</v>
      </c>
      <c r="M814" s="107">
        <v>0.33554902700162781</v>
      </c>
      <c r="N814" s="96">
        <v>0.29624848063200626</v>
      </c>
      <c r="O814" s="96">
        <v>1.4068597547010389</v>
      </c>
      <c r="P814" s="132">
        <v>7.9479498866706759</v>
      </c>
      <c r="W814" s="115">
        <f t="shared" si="26"/>
        <v>7.9479498866706759</v>
      </c>
    </row>
    <row r="815" spans="11:23">
      <c r="K815" s="130">
        <v>810</v>
      </c>
      <c r="L815" s="108">
        <v>9.0920662669284269</v>
      </c>
      <c r="M815" s="107">
        <v>0.32739602897878417</v>
      </c>
      <c r="N815" s="96">
        <v>0.28277293994066166</v>
      </c>
      <c r="O815" s="96">
        <v>1.1927208371413165</v>
      </c>
      <c r="P815" s="132">
        <v>1.8528231521727347</v>
      </c>
      <c r="W815" s="115">
        <f t="shared" si="26"/>
        <v>1.8528231521727347</v>
      </c>
    </row>
    <row r="816" spans="11:23">
      <c r="K816" s="130">
        <v>811</v>
      </c>
      <c r="L816" s="108">
        <v>5.4194966137418579</v>
      </c>
      <c r="M816" s="107">
        <v>0.3477932971908404</v>
      </c>
      <c r="N816" s="96">
        <v>0.25862774844075492</v>
      </c>
      <c r="O816" s="96">
        <v>1.1985351852783985</v>
      </c>
      <c r="P816" s="132">
        <v>0.28057324709719578</v>
      </c>
      <c r="W816" s="115">
        <f t="shared" si="26"/>
        <v>0.28057324709719578</v>
      </c>
    </row>
    <row r="817" spans="11:23">
      <c r="K817" s="130">
        <v>812</v>
      </c>
      <c r="L817" s="108">
        <v>0.63557436151295221</v>
      </c>
      <c r="M817" s="107">
        <v>0.34221690733651799</v>
      </c>
      <c r="N817" s="96">
        <v>0.32439426116329761</v>
      </c>
      <c r="O817" s="96">
        <v>1.3232730607270551</v>
      </c>
      <c r="P817" s="132">
        <v>8.9174981246030534</v>
      </c>
      <c r="W817" s="115">
        <f t="shared" si="26"/>
        <v>8.9174981246030534</v>
      </c>
    </row>
    <row r="818" spans="11:23">
      <c r="K818" s="130">
        <v>813</v>
      </c>
      <c r="L818" s="108">
        <v>0.44353923507654858</v>
      </c>
      <c r="M818" s="107">
        <v>0.32513075142811215</v>
      </c>
      <c r="N818" s="96">
        <v>0.26064876717421709</v>
      </c>
      <c r="O818" s="96">
        <v>1.3116239176210689</v>
      </c>
      <c r="P818" s="132">
        <v>2.2959185166744525</v>
      </c>
      <c r="W818" s="115">
        <f t="shared" si="26"/>
        <v>2.2959185166744525</v>
      </c>
    </row>
    <row r="819" spans="11:23">
      <c r="K819" s="130">
        <v>814</v>
      </c>
      <c r="L819" s="108">
        <v>-6.2705829852376613</v>
      </c>
      <c r="M819" s="107">
        <v>0.33548591506129666</v>
      </c>
      <c r="N819" s="96">
        <v>0.32226976717595163</v>
      </c>
      <c r="O819" s="96">
        <v>1.3640088795628069</v>
      </c>
      <c r="P819" s="132">
        <v>10.454817046753647</v>
      </c>
      <c r="W819" s="115">
        <f t="shared" si="26"/>
        <v>10.454817046753647</v>
      </c>
    </row>
    <row r="820" spans="11:23">
      <c r="K820" s="130">
        <v>815</v>
      </c>
      <c r="L820" s="108">
        <v>-5.6905112910479447</v>
      </c>
      <c r="M820" s="107">
        <v>0.33724893577386095</v>
      </c>
      <c r="N820" s="96">
        <v>0.28965317954360353</v>
      </c>
      <c r="O820" s="96">
        <v>1.215040067175597</v>
      </c>
      <c r="P820" s="132">
        <v>2.2108598879228878</v>
      </c>
      <c r="W820" s="115">
        <f t="shared" si="26"/>
        <v>2.2108598879228878</v>
      </c>
    </row>
    <row r="821" spans="11:23">
      <c r="K821" s="130">
        <v>816</v>
      </c>
      <c r="L821" s="108">
        <v>1.3289230430025851</v>
      </c>
      <c r="M821" s="107">
        <v>0.33676483177953948</v>
      </c>
      <c r="N821" s="96">
        <v>0.2538605427953014</v>
      </c>
      <c r="O821" s="96">
        <v>1.4363250697276719</v>
      </c>
      <c r="P821" s="132">
        <v>2.9851107945546653</v>
      </c>
      <c r="W821" s="115">
        <f t="shared" si="26"/>
        <v>2.9851107945546653</v>
      </c>
    </row>
    <row r="822" spans="11:23">
      <c r="K822" s="130">
        <v>817</v>
      </c>
      <c r="L822" s="108">
        <v>14.995023791117616</v>
      </c>
      <c r="M822" s="107">
        <v>0.31849155948438385</v>
      </c>
      <c r="N822" s="96">
        <v>0.28576174341133365</v>
      </c>
      <c r="O822" s="96">
        <v>0.98697474523493589</v>
      </c>
      <c r="P822" s="132">
        <v>0.28685104796982897</v>
      </c>
      <c r="W822" s="115">
        <f t="shared" si="26"/>
        <v>0.28685104796982897</v>
      </c>
    </row>
    <row r="823" spans="11:23">
      <c r="K823" s="130">
        <v>818</v>
      </c>
      <c r="L823" s="108">
        <v>-1.0984003430812155</v>
      </c>
      <c r="M823" s="107">
        <v>0.2911713771597072</v>
      </c>
      <c r="N823" s="96">
        <v>0.26787301446302536</v>
      </c>
      <c r="O823" s="96">
        <v>1.0398359828241535</v>
      </c>
      <c r="P823" s="132">
        <v>0.6404947245171847</v>
      </c>
      <c r="W823" s="115">
        <f t="shared" si="26"/>
        <v>0.6404947245171847</v>
      </c>
    </row>
    <row r="824" spans="11:23">
      <c r="K824" s="130">
        <v>819</v>
      </c>
      <c r="L824" s="108">
        <v>3.2081756618505346</v>
      </c>
      <c r="M824" s="107">
        <v>0.34016261765183514</v>
      </c>
      <c r="N824" s="96">
        <v>0.29981971011140851</v>
      </c>
      <c r="O824" s="96">
        <v>1.1100269234953624</v>
      </c>
      <c r="P824" s="132">
        <v>0.81262815258561116</v>
      </c>
      <c r="W824" s="115">
        <f t="shared" si="26"/>
        <v>0.81262815258561116</v>
      </c>
    </row>
    <row r="825" spans="11:23">
      <c r="K825" s="130">
        <v>820</v>
      </c>
      <c r="L825" s="108">
        <v>-0.36728144922940831</v>
      </c>
      <c r="M825" s="107">
        <v>0.3230048861900805</v>
      </c>
      <c r="N825" s="96">
        <v>0.25782131114751228</v>
      </c>
      <c r="O825" s="96">
        <v>1.2915382327355591</v>
      </c>
      <c r="P825" s="132">
        <v>1.7718409705956619</v>
      </c>
      <c r="W825" s="115">
        <f t="shared" si="26"/>
        <v>1.7718409705956619</v>
      </c>
    </row>
    <row r="826" spans="11:23">
      <c r="K826" s="130">
        <v>821</v>
      </c>
      <c r="L826" s="108">
        <v>12.870502292520051</v>
      </c>
      <c r="M826" s="107">
        <v>0.33468504433886803</v>
      </c>
      <c r="N826" s="96">
        <v>0.26835858859203526</v>
      </c>
      <c r="O826" s="96">
        <v>1.0550455625736586</v>
      </c>
      <c r="P826" s="132">
        <v>0.20948250934293192</v>
      </c>
      <c r="W826" s="115">
        <f t="shared" si="26"/>
        <v>0.20948250934293192</v>
      </c>
    </row>
    <row r="827" spans="11:23">
      <c r="K827" s="130">
        <v>822</v>
      </c>
      <c r="L827" s="108">
        <v>-6.5856424465767462</v>
      </c>
      <c r="M827" s="107">
        <v>0.33049192617827927</v>
      </c>
      <c r="N827" s="96">
        <v>0.1868291712317362</v>
      </c>
      <c r="O827" s="96">
        <v>1.4724941322462657</v>
      </c>
      <c r="P827" s="132">
        <v>0.19371309087310737</v>
      </c>
      <c r="W827" s="115">
        <f t="shared" si="26"/>
        <v>0.19371309087310737</v>
      </c>
    </row>
    <row r="828" spans="11:23">
      <c r="K828" s="130">
        <v>823</v>
      </c>
      <c r="L828" s="108">
        <v>-1.0038039216293817</v>
      </c>
      <c r="M828" s="107">
        <v>0.32198129613519488</v>
      </c>
      <c r="N828" s="96">
        <v>0.30886031479818749</v>
      </c>
      <c r="O828" s="96">
        <v>1.2136451907954069</v>
      </c>
      <c r="P828" s="132">
        <v>6.2471822344612926</v>
      </c>
      <c r="W828" s="115">
        <f t="shared" si="26"/>
        <v>6.2471822344612926</v>
      </c>
    </row>
    <row r="829" spans="11:23">
      <c r="K829" s="130">
        <v>824</v>
      </c>
      <c r="L829" s="108">
        <v>-6.0310021894634547</v>
      </c>
      <c r="M829" s="107">
        <v>0.33753841547150126</v>
      </c>
      <c r="N829" s="96">
        <v>0.32634873989071411</v>
      </c>
      <c r="O829" s="96">
        <v>1.2231519994486473</v>
      </c>
      <c r="P829" s="132">
        <v>6.9526731884252104</v>
      </c>
      <c r="W829" s="115">
        <f t="shared" si="26"/>
        <v>6.9526731884252104</v>
      </c>
    </row>
    <row r="830" spans="11:23">
      <c r="K830" s="130">
        <v>825</v>
      </c>
      <c r="L830" s="108">
        <v>-2.6917043568384327</v>
      </c>
      <c r="M830" s="107">
        <v>0.32714888272689113</v>
      </c>
      <c r="N830" s="96">
        <v>0.32454989978178755</v>
      </c>
      <c r="O830" s="96">
        <v>1.1576125901959839</v>
      </c>
      <c r="P830" s="132">
        <v>5.9770097945082599</v>
      </c>
      <c r="W830" s="115">
        <f t="shared" si="26"/>
        <v>5.9770097945082599</v>
      </c>
    </row>
    <row r="831" spans="11:23">
      <c r="K831" s="130">
        <v>826</v>
      </c>
      <c r="L831" s="108">
        <v>-5.8153306553295341</v>
      </c>
      <c r="M831" s="107">
        <v>0.34247523335078539</v>
      </c>
      <c r="N831" s="96">
        <v>0.31825968694992152</v>
      </c>
      <c r="O831" s="96">
        <v>1.4217031436893202</v>
      </c>
      <c r="P831" s="132">
        <v>10.472617528369065</v>
      </c>
      <c r="W831" s="115">
        <f t="shared" si="26"/>
        <v>10.472617528369065</v>
      </c>
    </row>
    <row r="832" spans="11:23">
      <c r="K832" s="130">
        <v>827</v>
      </c>
      <c r="L832" s="108">
        <v>0.3079092928843829</v>
      </c>
      <c r="M832" s="107">
        <v>0.32379598834310364</v>
      </c>
      <c r="N832" s="96">
        <v>0.27934648483933522</v>
      </c>
      <c r="O832" s="96">
        <v>1.1638522674223093</v>
      </c>
      <c r="P832" s="132">
        <v>1.2452203810853599</v>
      </c>
      <c r="W832" s="115">
        <f t="shared" si="26"/>
        <v>1.2452203810853599</v>
      </c>
    </row>
    <row r="833" spans="11:23">
      <c r="K833" s="130">
        <v>828</v>
      </c>
      <c r="L833" s="108">
        <v>-6.0254397566989359</v>
      </c>
      <c r="M833" s="107">
        <v>0.34779304670703576</v>
      </c>
      <c r="N833" s="96">
        <v>0.2933679315425452</v>
      </c>
      <c r="O833" s="96">
        <v>1.0412188006567342</v>
      </c>
      <c r="P833" s="132">
        <v>0.25456808823525851</v>
      </c>
      <c r="W833" s="115">
        <f t="shared" si="26"/>
        <v>0.25456808823525851</v>
      </c>
    </row>
    <row r="834" spans="11:23">
      <c r="K834" s="130">
        <v>829</v>
      </c>
      <c r="L834" s="108">
        <v>-7.6723277329787614</v>
      </c>
      <c r="M834" s="107">
        <v>0.33392356107311649</v>
      </c>
      <c r="N834" s="96">
        <v>0.28197453413938584</v>
      </c>
      <c r="O834" s="96">
        <v>1.3285990866451085</v>
      </c>
      <c r="P834" s="132">
        <v>4.416867207490383</v>
      </c>
      <c r="W834" s="115">
        <f t="shared" si="26"/>
        <v>4.416867207490383</v>
      </c>
    </row>
    <row r="835" spans="11:23">
      <c r="K835" s="130">
        <v>830</v>
      </c>
      <c r="L835" s="108">
        <v>-8.8257445088013107</v>
      </c>
      <c r="M835" s="107">
        <v>0.33369325956302309</v>
      </c>
      <c r="N835" s="96">
        <v>0.28033431114552698</v>
      </c>
      <c r="O835" s="96">
        <v>1.2380885075950652</v>
      </c>
      <c r="P835" s="132">
        <v>2.0785382996530912</v>
      </c>
      <c r="W835" s="115">
        <f t="shared" si="26"/>
        <v>2.0785382996530912</v>
      </c>
    </row>
    <row r="836" spans="11:23">
      <c r="K836" s="130">
        <v>831</v>
      </c>
      <c r="L836" s="108">
        <v>-6.8514076338997212</v>
      </c>
      <c r="M836" s="107">
        <v>0.33808949677372557</v>
      </c>
      <c r="N836" s="96">
        <v>0.29983736261884053</v>
      </c>
      <c r="O836" s="96">
        <v>1.4409279571990889</v>
      </c>
      <c r="P836" s="132">
        <v>8.9106515721912576</v>
      </c>
      <c r="W836" s="115">
        <f t="shared" si="26"/>
        <v>8.9106515721912576</v>
      </c>
    </row>
    <row r="837" spans="11:23">
      <c r="K837" s="130">
        <v>832</v>
      </c>
      <c r="L837" s="108">
        <v>10.170439855984377</v>
      </c>
      <c r="M837" s="107">
        <v>0.32289125264364976</v>
      </c>
      <c r="N837" s="96">
        <v>0.26427618267798947</v>
      </c>
      <c r="O837" s="96">
        <v>1.039106260592888</v>
      </c>
      <c r="P837" s="132">
        <v>0.22112376342597995</v>
      </c>
      <c r="W837" s="115">
        <f t="shared" si="26"/>
        <v>0.22112376342597995</v>
      </c>
    </row>
    <row r="838" spans="11:23">
      <c r="K838" s="130">
        <v>833</v>
      </c>
      <c r="L838" s="108">
        <v>-5.0779038867187607</v>
      </c>
      <c r="M838" s="107">
        <v>0.31347026703446623</v>
      </c>
      <c r="N838" s="96">
        <v>0.28447370103017405</v>
      </c>
      <c r="O838" s="96">
        <v>1.3958735060638729</v>
      </c>
      <c r="P838" s="132">
        <v>8.5981653254930652</v>
      </c>
      <c r="W838" s="115">
        <f t="shared" ref="W838:W901" si="27">P838</f>
        <v>8.5981653254930652</v>
      </c>
    </row>
    <row r="839" spans="11:23">
      <c r="K839" s="130">
        <v>834</v>
      </c>
      <c r="L839" s="108">
        <v>-7.7427587005721534</v>
      </c>
      <c r="M839" s="107">
        <v>0.33057694895966716</v>
      </c>
      <c r="N839" s="96">
        <v>0.29425764785488306</v>
      </c>
      <c r="O839" s="96">
        <v>1.1247332523182711</v>
      </c>
      <c r="P839" s="132">
        <v>1.200745212854186</v>
      </c>
      <c r="W839" s="115">
        <f t="shared" si="27"/>
        <v>1.200745212854186</v>
      </c>
    </row>
    <row r="840" spans="11:23">
      <c r="K840" s="130">
        <v>835</v>
      </c>
      <c r="L840" s="108">
        <v>1.6393550498316076</v>
      </c>
      <c r="M840" s="107">
        <v>0.34566266524050038</v>
      </c>
      <c r="N840" s="96">
        <v>0.27251102331771665</v>
      </c>
      <c r="O840" s="96">
        <v>1.0538090579947592</v>
      </c>
      <c r="P840" s="132">
        <v>0.18713084874976268</v>
      </c>
      <c r="W840" s="115">
        <f t="shared" si="27"/>
        <v>0.18713084874976268</v>
      </c>
    </row>
    <row r="841" spans="11:23">
      <c r="K841" s="130">
        <v>836</v>
      </c>
      <c r="L841" s="108">
        <v>-5.2741518312144482</v>
      </c>
      <c r="M841" s="107">
        <v>0.33450266079020186</v>
      </c>
      <c r="N841" s="96">
        <v>0.29290450071590163</v>
      </c>
      <c r="O841" s="96">
        <v>0.91015472305612077</v>
      </c>
      <c r="P841" s="132">
        <v>0.16072847918178559</v>
      </c>
      <c r="W841" s="115">
        <f t="shared" si="27"/>
        <v>0.16072847918178559</v>
      </c>
    </row>
    <row r="842" spans="11:23">
      <c r="K842" s="130">
        <v>837</v>
      </c>
      <c r="L842" s="108">
        <v>-10.732444477759881</v>
      </c>
      <c r="M842" s="107">
        <v>0.32303910882063969</v>
      </c>
      <c r="N842" s="96">
        <v>0.30851215476390442</v>
      </c>
      <c r="O842" s="96">
        <v>1.141757161591259</v>
      </c>
      <c r="P842" s="132">
        <v>3.8989183237634957</v>
      </c>
      <c r="W842" s="115">
        <f t="shared" si="27"/>
        <v>3.8989183237634957</v>
      </c>
    </row>
    <row r="843" spans="11:23">
      <c r="K843" s="130">
        <v>838</v>
      </c>
      <c r="L843" s="108">
        <v>-1.6194824927980145</v>
      </c>
      <c r="M843" s="107">
        <v>0.3249724463123741</v>
      </c>
      <c r="N843" s="96">
        <v>0.32178570821378161</v>
      </c>
      <c r="O843" s="96">
        <v>0.86500711747512282</v>
      </c>
      <c r="P843" s="132">
        <v>0.22982814575795882</v>
      </c>
      <c r="W843" s="115">
        <f t="shared" si="27"/>
        <v>0.22982814575795882</v>
      </c>
    </row>
    <row r="844" spans="11:23">
      <c r="K844" s="130">
        <v>839</v>
      </c>
      <c r="L844" s="108">
        <v>-2.3558816892561247</v>
      </c>
      <c r="M844" s="107">
        <v>0.33827139628003539</v>
      </c>
      <c r="N844" s="96">
        <v>0.29622272444210362</v>
      </c>
      <c r="O844" s="96">
        <v>1.2509729050591321</v>
      </c>
      <c r="P844" s="132">
        <v>3.7939632987567471</v>
      </c>
      <c r="W844" s="115">
        <f t="shared" si="27"/>
        <v>3.7939632987567471</v>
      </c>
    </row>
    <row r="845" spans="11:23">
      <c r="K845" s="130">
        <v>840</v>
      </c>
      <c r="L845" s="108">
        <v>-5.9891655225879816</v>
      </c>
      <c r="M845" s="107">
        <v>0.31986262126750065</v>
      </c>
      <c r="N845" s="96">
        <v>0.28696498245455865</v>
      </c>
      <c r="O845" s="96">
        <v>0.99094915232545877</v>
      </c>
      <c r="P845" s="132">
        <v>0.29410420613227156</v>
      </c>
      <c r="W845" s="115">
        <f t="shared" si="27"/>
        <v>0.29410420613227156</v>
      </c>
    </row>
    <row r="846" spans="11:23">
      <c r="K846" s="130">
        <v>841</v>
      </c>
      <c r="L846" s="108">
        <v>4.5648391842824765</v>
      </c>
      <c r="M846" s="107">
        <v>0.34879838320727963</v>
      </c>
      <c r="N846" s="96">
        <v>0.23408826452680975</v>
      </c>
      <c r="O846" s="96">
        <v>1.2377118603042176</v>
      </c>
      <c r="P846" s="132">
        <v>0.18531280126755462</v>
      </c>
      <c r="W846" s="115">
        <f t="shared" si="27"/>
        <v>0.18531280126755462</v>
      </c>
    </row>
    <row r="847" spans="11:23">
      <c r="K847" s="130">
        <v>842</v>
      </c>
      <c r="L847" s="108">
        <v>6.2944658844096342</v>
      </c>
      <c r="M847" s="107">
        <v>0.32906877199580681</v>
      </c>
      <c r="N847" s="96">
        <v>0.25916605968701412</v>
      </c>
      <c r="O847" s="96">
        <v>1.0420194945555403</v>
      </c>
      <c r="P847" s="132">
        <v>0.18326327941347206</v>
      </c>
      <c r="W847" s="115">
        <f t="shared" si="27"/>
        <v>0.18326327941347206</v>
      </c>
    </row>
    <row r="848" spans="11:23">
      <c r="K848" s="130">
        <v>843</v>
      </c>
      <c r="L848" s="108">
        <v>1.0109954236994918</v>
      </c>
      <c r="M848" s="107">
        <v>0.32076071499430509</v>
      </c>
      <c r="N848" s="96">
        <v>0.28380490077453102</v>
      </c>
      <c r="O848" s="96">
        <v>1.2158862500110099</v>
      </c>
      <c r="P848" s="132">
        <v>3.1982155336685816</v>
      </c>
      <c r="W848" s="115">
        <f t="shared" si="27"/>
        <v>3.1982155336685816</v>
      </c>
    </row>
    <row r="849" spans="11:23">
      <c r="K849" s="130">
        <v>844</v>
      </c>
      <c r="L849" s="108">
        <v>5.225023420104014</v>
      </c>
      <c r="M849" s="107">
        <v>0.33917693675483146</v>
      </c>
      <c r="N849" s="96">
        <v>0.34331781508618908</v>
      </c>
      <c r="O849" s="96">
        <v>1.1585628388023801</v>
      </c>
      <c r="P849" s="132">
        <v>6.95872128159826</v>
      </c>
      <c r="W849" s="115">
        <f t="shared" si="27"/>
        <v>6.95872128159826</v>
      </c>
    </row>
    <row r="850" spans="11:23">
      <c r="K850" s="130">
        <v>845</v>
      </c>
      <c r="L850" s="108">
        <v>-12.010338669011267</v>
      </c>
      <c r="M850" s="107">
        <v>0.33096999844079605</v>
      </c>
      <c r="N850" s="96">
        <v>0.2962173424281479</v>
      </c>
      <c r="O850" s="96">
        <v>1.5324457910633853</v>
      </c>
      <c r="P850" s="132">
        <v>11.095117693718256</v>
      </c>
      <c r="W850" s="115">
        <f t="shared" si="27"/>
        <v>11.095117693718256</v>
      </c>
    </row>
    <row r="851" spans="11:23">
      <c r="K851" s="130">
        <v>846</v>
      </c>
      <c r="L851" s="108">
        <v>-6.9999877667803005</v>
      </c>
      <c r="M851" s="107">
        <v>0.30553121539030609</v>
      </c>
      <c r="N851" s="96">
        <v>0.36055311149590696</v>
      </c>
      <c r="O851" s="96">
        <v>1.3249601068915748</v>
      </c>
      <c r="P851" s="132">
        <v>19.015323422045018</v>
      </c>
      <c r="W851" s="115">
        <f t="shared" si="27"/>
        <v>19.015323422045018</v>
      </c>
    </row>
    <row r="852" spans="11:23">
      <c r="K852" s="130">
        <v>847</v>
      </c>
      <c r="L852" s="108">
        <v>-2.3236538203066686</v>
      </c>
      <c r="M852" s="107">
        <v>0.34035037928226725</v>
      </c>
      <c r="N852" s="96">
        <v>0.3134800265559311</v>
      </c>
      <c r="O852" s="96">
        <v>0.9070415507575148</v>
      </c>
      <c r="P852" s="132">
        <v>0.19477913141588477</v>
      </c>
      <c r="W852" s="115">
        <f t="shared" si="27"/>
        <v>0.19477913141588477</v>
      </c>
    </row>
    <row r="853" spans="11:23">
      <c r="K853" s="130">
        <v>848</v>
      </c>
      <c r="L853" s="108">
        <v>-9.5328370204761121</v>
      </c>
      <c r="M853" s="107">
        <v>0.3254538969030531</v>
      </c>
      <c r="N853" s="96">
        <v>0.28629445485218213</v>
      </c>
      <c r="O853" s="96">
        <v>1.3981112759493721</v>
      </c>
      <c r="P853" s="132">
        <v>7.527520155165476</v>
      </c>
      <c r="W853" s="115">
        <f t="shared" si="27"/>
        <v>7.527520155165476</v>
      </c>
    </row>
    <row r="854" spans="11:23">
      <c r="K854" s="130">
        <v>849</v>
      </c>
      <c r="L854" s="108">
        <v>7.075701247606089</v>
      </c>
      <c r="M854" s="107">
        <v>0.35561407615484514</v>
      </c>
      <c r="N854" s="96">
        <v>0.32219191070329145</v>
      </c>
      <c r="O854" s="96">
        <v>1.0417532844592678</v>
      </c>
      <c r="P854" s="132">
        <v>0.48148088748466467</v>
      </c>
      <c r="W854" s="115">
        <f t="shared" si="27"/>
        <v>0.48148088748466467</v>
      </c>
    </row>
    <row r="855" spans="11:23">
      <c r="K855" s="130">
        <v>850</v>
      </c>
      <c r="L855" s="108">
        <v>-1.4560846262663345</v>
      </c>
      <c r="M855" s="107">
        <v>0.32593777252996575</v>
      </c>
      <c r="N855" s="96">
        <v>0.36119254660655531</v>
      </c>
      <c r="O855" s="96">
        <v>1.2193335790622239</v>
      </c>
      <c r="P855" s="132">
        <v>13.060808300366793</v>
      </c>
      <c r="W855" s="115">
        <f t="shared" si="27"/>
        <v>13.060808300366793</v>
      </c>
    </row>
    <row r="856" spans="11:23">
      <c r="K856" s="130">
        <v>851</v>
      </c>
      <c r="L856" s="108">
        <v>6.2305884916064596</v>
      </c>
      <c r="M856" s="107">
        <v>0.31943602591180875</v>
      </c>
      <c r="N856" s="96">
        <v>0.30473395804142617</v>
      </c>
      <c r="O856" s="96">
        <v>1.3745205888384602</v>
      </c>
      <c r="P856" s="132">
        <v>10.218712210350377</v>
      </c>
      <c r="W856" s="115">
        <f t="shared" si="27"/>
        <v>10.218712210350377</v>
      </c>
    </row>
    <row r="857" spans="11:23">
      <c r="K857" s="130">
        <v>852</v>
      </c>
      <c r="L857" s="108">
        <v>11.363595563515918</v>
      </c>
      <c r="M857" s="107">
        <v>0.32246790081080567</v>
      </c>
      <c r="N857" s="96">
        <v>0.31971041769475261</v>
      </c>
      <c r="O857" s="96">
        <v>1.2516842929412417</v>
      </c>
      <c r="P857" s="132">
        <v>8.7482719596810607</v>
      </c>
      <c r="W857" s="115">
        <f t="shared" si="27"/>
        <v>8.7482719596810607</v>
      </c>
    </row>
    <row r="858" spans="11:23">
      <c r="K858" s="130">
        <v>853</v>
      </c>
      <c r="L858" s="108">
        <v>-7.7885946568155031</v>
      </c>
      <c r="M858" s="107">
        <v>0.32379911754105783</v>
      </c>
      <c r="N858" s="96">
        <v>0.29937350208221741</v>
      </c>
      <c r="O858" s="96">
        <v>0.90457907316077368</v>
      </c>
      <c r="P858" s="132">
        <v>0.20294988356033572</v>
      </c>
      <c r="W858" s="115">
        <f t="shared" si="27"/>
        <v>0.20294988356033572</v>
      </c>
    </row>
    <row r="859" spans="11:23">
      <c r="K859" s="130">
        <v>854</v>
      </c>
      <c r="L859" s="108">
        <v>-6.65782314789731</v>
      </c>
      <c r="M859" s="107">
        <v>0.34044956247551239</v>
      </c>
      <c r="N859" s="96">
        <v>0.32072088829069328</v>
      </c>
      <c r="O859" s="96">
        <v>1.0154584999761997</v>
      </c>
      <c r="P859" s="132">
        <v>0.59056392480990394</v>
      </c>
      <c r="W859" s="115">
        <f t="shared" si="27"/>
        <v>0.59056392480990394</v>
      </c>
    </row>
    <row r="860" spans="11:23">
      <c r="K860" s="130">
        <v>855</v>
      </c>
      <c r="L860" s="108">
        <v>-7.0367332349535756</v>
      </c>
      <c r="M860" s="107">
        <v>0.31954284323881871</v>
      </c>
      <c r="N860" s="96">
        <v>0.27227621224197346</v>
      </c>
      <c r="O860" s="96">
        <v>1.2328437309007167</v>
      </c>
      <c r="P860" s="132">
        <v>2.3778069161706652</v>
      </c>
      <c r="W860" s="115">
        <f t="shared" si="27"/>
        <v>2.3778069161706652</v>
      </c>
    </row>
    <row r="861" spans="11:23">
      <c r="K861" s="130">
        <v>856</v>
      </c>
      <c r="L861" s="108">
        <v>-2.4471335105358212</v>
      </c>
      <c r="M861" s="107">
        <v>0.32075161254192708</v>
      </c>
      <c r="N861" s="96">
        <v>0.32045369686282543</v>
      </c>
      <c r="O861" s="96">
        <v>1.4208612607910021</v>
      </c>
      <c r="P861" s="132">
        <v>13.325313455987361</v>
      </c>
      <c r="W861" s="115">
        <f t="shared" si="27"/>
        <v>13.325313455987361</v>
      </c>
    </row>
    <row r="862" spans="11:23">
      <c r="K862" s="130">
        <v>857</v>
      </c>
      <c r="L862" s="108">
        <v>-8.9833869800298345</v>
      </c>
      <c r="M862" s="107">
        <v>0.3405841162177955</v>
      </c>
      <c r="N862" s="96">
        <v>0.27628586661330906</v>
      </c>
      <c r="O862" s="96">
        <v>1.4280784335285324</v>
      </c>
      <c r="P862" s="132">
        <v>5.2610504868440211</v>
      </c>
      <c r="W862" s="115">
        <f t="shared" si="27"/>
        <v>5.2610504868440211</v>
      </c>
    </row>
    <row r="863" spans="11:23">
      <c r="K863" s="130">
        <v>858</v>
      </c>
      <c r="L863" s="108">
        <v>1.2823585787181402</v>
      </c>
      <c r="M863" s="107">
        <v>0.33788727270703928</v>
      </c>
      <c r="N863" s="96">
        <v>0.32446137923918056</v>
      </c>
      <c r="O863" s="96">
        <v>1.152092004369057</v>
      </c>
      <c r="P863" s="132">
        <v>4.4840361439721157</v>
      </c>
      <c r="W863" s="115">
        <f t="shared" si="27"/>
        <v>4.4840361439721157</v>
      </c>
    </row>
    <row r="864" spans="11:23">
      <c r="K864" s="130">
        <v>859</v>
      </c>
      <c r="L864" s="108">
        <v>-7.427071318693292</v>
      </c>
      <c r="M864" s="107">
        <v>0.32468274877821723</v>
      </c>
      <c r="N864" s="96">
        <v>0.2499100295019166</v>
      </c>
      <c r="O864" s="96">
        <v>1.0870703319038129</v>
      </c>
      <c r="P864" s="132">
        <v>0.20236389751067857</v>
      </c>
      <c r="W864" s="115">
        <f t="shared" si="27"/>
        <v>0.20236389751067857</v>
      </c>
    </row>
    <row r="865" spans="11:23">
      <c r="K865" s="130">
        <v>860</v>
      </c>
      <c r="L865" s="108">
        <v>-6.6755400244613261</v>
      </c>
      <c r="M865" s="107">
        <v>0.32128414522515636</v>
      </c>
      <c r="N865" s="96">
        <v>0.26887488407714494</v>
      </c>
      <c r="O865" s="96">
        <v>1.3695177737786903</v>
      </c>
      <c r="P865" s="132">
        <v>4.998679118700788</v>
      </c>
      <c r="W865" s="115">
        <f t="shared" si="27"/>
        <v>4.998679118700788</v>
      </c>
    </row>
    <row r="866" spans="11:23">
      <c r="K866" s="130">
        <v>861</v>
      </c>
      <c r="L866" s="108">
        <v>2.3229277129399044</v>
      </c>
      <c r="M866" s="107">
        <v>0.33981698807966787</v>
      </c>
      <c r="N866" s="96">
        <v>0.28673643294077539</v>
      </c>
      <c r="O866" s="96">
        <v>1.2772413616670131</v>
      </c>
      <c r="P866" s="132">
        <v>3.1569752259045534</v>
      </c>
      <c r="W866" s="115">
        <f t="shared" si="27"/>
        <v>3.1569752259045534</v>
      </c>
    </row>
    <row r="867" spans="11:23">
      <c r="K867" s="130">
        <v>862</v>
      </c>
      <c r="L867" s="108">
        <v>-6.3399063769062316</v>
      </c>
      <c r="M867" s="107">
        <v>0.3304660731252429</v>
      </c>
      <c r="N867" s="96">
        <v>0.32020859984004285</v>
      </c>
      <c r="O867" s="96">
        <v>1.4465254820661617</v>
      </c>
      <c r="P867" s="132">
        <v>12.689797563042049</v>
      </c>
      <c r="W867" s="115">
        <f t="shared" si="27"/>
        <v>12.689797563042049</v>
      </c>
    </row>
    <row r="868" spans="11:23">
      <c r="K868" s="130">
        <v>863</v>
      </c>
      <c r="L868" s="108">
        <v>-7.1029584033995912</v>
      </c>
      <c r="M868" s="107">
        <v>0.32175507684061733</v>
      </c>
      <c r="N868" s="96">
        <v>0.31271779726748516</v>
      </c>
      <c r="O868" s="96">
        <v>1.1908458959074171</v>
      </c>
      <c r="P868" s="132">
        <v>6.1148341341078076</v>
      </c>
      <c r="W868" s="115">
        <f t="shared" si="27"/>
        <v>6.1148341341078076</v>
      </c>
    </row>
    <row r="869" spans="11:23">
      <c r="K869" s="130">
        <v>864</v>
      </c>
      <c r="L869" s="108">
        <v>-3.5396277979200876</v>
      </c>
      <c r="M869" s="107">
        <v>0.33705839897008572</v>
      </c>
      <c r="N869" s="96">
        <v>0.31226317202342124</v>
      </c>
      <c r="O869" s="96">
        <v>0.99470544624452983</v>
      </c>
      <c r="P869" s="132">
        <v>0.3842870075860948</v>
      </c>
      <c r="W869" s="115">
        <f t="shared" si="27"/>
        <v>0.3842870075860948</v>
      </c>
    </row>
    <row r="870" spans="11:23">
      <c r="K870" s="130">
        <v>865</v>
      </c>
      <c r="L870" s="108">
        <v>7.7996806611396519</v>
      </c>
      <c r="M870" s="107">
        <v>0.30416170458298225</v>
      </c>
      <c r="N870" s="96">
        <v>0.31848864974643021</v>
      </c>
      <c r="O870" s="96">
        <v>1.2326544177533463</v>
      </c>
      <c r="P870" s="132">
        <v>10.453111643347217</v>
      </c>
      <c r="W870" s="115">
        <f t="shared" si="27"/>
        <v>10.453111643347217</v>
      </c>
    </row>
    <row r="871" spans="11:23">
      <c r="K871" s="130">
        <v>866</v>
      </c>
      <c r="L871" s="108">
        <v>-1.1397469009560219</v>
      </c>
      <c r="M871" s="107">
        <v>0.31687198132665384</v>
      </c>
      <c r="N871" s="96">
        <v>0.28458351267606685</v>
      </c>
      <c r="O871" s="96">
        <v>1.3499007795030065</v>
      </c>
      <c r="P871" s="132">
        <v>7.155487257629713</v>
      </c>
      <c r="W871" s="115">
        <f t="shared" si="27"/>
        <v>7.155487257629713</v>
      </c>
    </row>
    <row r="872" spans="11:23">
      <c r="K872" s="130">
        <v>867</v>
      </c>
      <c r="L872" s="108">
        <v>5.2711221550074665</v>
      </c>
      <c r="M872" s="107">
        <v>0.33170304539538809</v>
      </c>
      <c r="N872" s="96">
        <v>0.29667415760093108</v>
      </c>
      <c r="O872" s="96">
        <v>0.96026281820813086</v>
      </c>
      <c r="P872" s="132">
        <v>0.22953621784601405</v>
      </c>
      <c r="W872" s="115">
        <f t="shared" si="27"/>
        <v>0.22953621784601405</v>
      </c>
    </row>
    <row r="873" spans="11:23">
      <c r="K873" s="130">
        <v>868</v>
      </c>
      <c r="L873" s="108">
        <v>5.2974505435023254</v>
      </c>
      <c r="M873" s="107">
        <v>0.32451398342576304</v>
      </c>
      <c r="N873" s="96">
        <v>0.23431921293439056</v>
      </c>
      <c r="O873" s="96">
        <v>1.3899308901975942</v>
      </c>
      <c r="P873" s="132">
        <v>1.1299051338146957</v>
      </c>
      <c r="W873" s="115">
        <f t="shared" si="27"/>
        <v>1.1299051338146957</v>
      </c>
    </row>
    <row r="874" spans="11:23">
      <c r="K874" s="130">
        <v>869</v>
      </c>
      <c r="L874" s="108">
        <v>7.3312554382037485</v>
      </c>
      <c r="M874" s="107">
        <v>0.31931394815861097</v>
      </c>
      <c r="N874" s="96">
        <v>0.27706772654665812</v>
      </c>
      <c r="O874" s="96">
        <v>1.3160985063566959</v>
      </c>
      <c r="P874" s="132">
        <v>5.0480616614079832</v>
      </c>
      <c r="W874" s="115">
        <f t="shared" si="27"/>
        <v>5.0480616614079832</v>
      </c>
    </row>
    <row r="875" spans="11:23">
      <c r="K875" s="130">
        <v>870</v>
      </c>
      <c r="L875" s="108">
        <v>-14.517951028339242</v>
      </c>
      <c r="M875" s="107">
        <v>0.33912125359114065</v>
      </c>
      <c r="N875" s="96">
        <v>0.32036201834869837</v>
      </c>
      <c r="O875" s="96">
        <v>1.0658095629855562</v>
      </c>
      <c r="P875" s="132">
        <v>1.3560683094572195</v>
      </c>
      <c r="W875" s="115">
        <f t="shared" si="27"/>
        <v>1.3560683094572195</v>
      </c>
    </row>
    <row r="876" spans="11:23">
      <c r="K876" s="130">
        <v>871</v>
      </c>
      <c r="L876" s="108">
        <v>-2.5108703232969711</v>
      </c>
      <c r="M876" s="107">
        <v>0.33803432618189933</v>
      </c>
      <c r="N876" s="96">
        <v>0.30832409200250649</v>
      </c>
      <c r="O876" s="96">
        <v>0.93765349961985633</v>
      </c>
      <c r="P876" s="132">
        <v>0.22123153628551875</v>
      </c>
      <c r="W876" s="115">
        <f t="shared" si="27"/>
        <v>0.22123153628551875</v>
      </c>
    </row>
    <row r="877" spans="11:23">
      <c r="K877" s="130">
        <v>872</v>
      </c>
      <c r="L877" s="108">
        <v>1.5554800365241608</v>
      </c>
      <c r="M877" s="107">
        <v>0.33557077687006653</v>
      </c>
      <c r="N877" s="96">
        <v>0.34105568932573388</v>
      </c>
      <c r="O877" s="96">
        <v>1.1420894797483283</v>
      </c>
      <c r="P877" s="132">
        <v>6.5715562591053303</v>
      </c>
      <c r="W877" s="115">
        <f t="shared" si="27"/>
        <v>6.5715562591053303</v>
      </c>
    </row>
    <row r="878" spans="11:23">
      <c r="K878" s="130">
        <v>873</v>
      </c>
      <c r="L878" s="108">
        <v>-7.5551446631836221</v>
      </c>
      <c r="M878" s="107">
        <v>0.31921684664756356</v>
      </c>
      <c r="N878" s="96">
        <v>0.29969801003495461</v>
      </c>
      <c r="O878" s="96">
        <v>1.2985612090900103</v>
      </c>
      <c r="P878" s="132">
        <v>7.6755634516231819</v>
      </c>
      <c r="W878" s="115">
        <f t="shared" si="27"/>
        <v>7.6755634516231819</v>
      </c>
    </row>
    <row r="879" spans="11:23">
      <c r="K879" s="130">
        <v>874</v>
      </c>
      <c r="L879" s="108">
        <v>3.9225749527230884</v>
      </c>
      <c r="M879" s="107">
        <v>0.32564405962569998</v>
      </c>
      <c r="N879" s="96">
        <v>0.33383208221273558</v>
      </c>
      <c r="O879" s="96">
        <v>1.1637285495601173</v>
      </c>
      <c r="P879" s="132">
        <v>7.6049444549203127</v>
      </c>
      <c r="W879" s="115">
        <f t="shared" si="27"/>
        <v>7.6049444549203127</v>
      </c>
    </row>
    <row r="880" spans="11:23">
      <c r="K880" s="130">
        <v>875</v>
      </c>
      <c r="L880" s="108">
        <v>-9.6837014693778567</v>
      </c>
      <c r="M880" s="107">
        <v>0.32005670837407713</v>
      </c>
      <c r="N880" s="96">
        <v>0.25695023557985364</v>
      </c>
      <c r="O880" s="96">
        <v>0.94394712469549658</v>
      </c>
      <c r="P880" s="132">
        <v>0.13950051856433018</v>
      </c>
      <c r="W880" s="115">
        <f t="shared" si="27"/>
        <v>0.13950051856433018</v>
      </c>
    </row>
    <row r="881" spans="11:23">
      <c r="K881" s="130">
        <v>876</v>
      </c>
      <c r="L881" s="108">
        <v>5.4044550751351119</v>
      </c>
      <c r="M881" s="107">
        <v>0.33349790309810923</v>
      </c>
      <c r="N881" s="96">
        <v>0.29452559629766062</v>
      </c>
      <c r="O881" s="96">
        <v>1.5442496055372226</v>
      </c>
      <c r="P881" s="132">
        <v>10.815887253203188</v>
      </c>
      <c r="W881" s="115">
        <f t="shared" si="27"/>
        <v>10.815887253203188</v>
      </c>
    </row>
    <row r="882" spans="11:23">
      <c r="K882" s="130">
        <v>877</v>
      </c>
      <c r="L882" s="108">
        <v>-2.8357832817966071</v>
      </c>
      <c r="M882" s="107">
        <v>0.32779878794064676</v>
      </c>
      <c r="N882" s="96">
        <v>0.27306883637252144</v>
      </c>
      <c r="O882" s="96">
        <v>1.2518163678141514</v>
      </c>
      <c r="P882" s="132">
        <v>2.1346101114159786</v>
      </c>
      <c r="W882" s="115">
        <f t="shared" si="27"/>
        <v>2.1346101114159786</v>
      </c>
    </row>
    <row r="883" spans="11:23">
      <c r="K883" s="130">
        <v>878</v>
      </c>
      <c r="L883" s="108">
        <v>9.844973805052021</v>
      </c>
      <c r="M883" s="107">
        <v>0.33172592523920741</v>
      </c>
      <c r="N883" s="96">
        <v>0.28692636970218871</v>
      </c>
      <c r="O883" s="96">
        <v>1.5737118277386579</v>
      </c>
      <c r="P883" s="132">
        <v>10.517759260227672</v>
      </c>
      <c r="W883" s="115">
        <f t="shared" si="27"/>
        <v>10.517759260227672</v>
      </c>
    </row>
    <row r="884" spans="11:23">
      <c r="K884" s="130">
        <v>879</v>
      </c>
      <c r="L884" s="108">
        <v>-9.9239016510139511</v>
      </c>
      <c r="M884" s="107">
        <v>0.33068623194035329</v>
      </c>
      <c r="N884" s="96">
        <v>0.32877456533492938</v>
      </c>
      <c r="O884" s="96">
        <v>1.3193827214122802</v>
      </c>
      <c r="P884" s="132">
        <v>10.79379289353507</v>
      </c>
      <c r="W884" s="115">
        <f t="shared" si="27"/>
        <v>10.79379289353507</v>
      </c>
    </row>
    <row r="885" spans="11:23">
      <c r="K885" s="130">
        <v>880</v>
      </c>
      <c r="L885" s="108">
        <v>-5.727639916923688E-2</v>
      </c>
      <c r="M885" s="107">
        <v>0.30779307220753799</v>
      </c>
      <c r="N885" s="96">
        <v>0.30641849535082305</v>
      </c>
      <c r="O885" s="96">
        <v>1.2704989639860067</v>
      </c>
      <c r="P885" s="132">
        <v>9.3034180953438987</v>
      </c>
      <c r="W885" s="115">
        <f t="shared" si="27"/>
        <v>9.3034180953438987</v>
      </c>
    </row>
    <row r="886" spans="11:23">
      <c r="K886" s="130">
        <v>881</v>
      </c>
      <c r="L886" s="108">
        <v>2.6452102310767662</v>
      </c>
      <c r="M886" s="107">
        <v>0.33735207109038962</v>
      </c>
      <c r="N886" s="96">
        <v>0.26571882462562524</v>
      </c>
      <c r="O886" s="96">
        <v>1.3552203126279372</v>
      </c>
      <c r="P886" s="132">
        <v>2.6936254009615888</v>
      </c>
      <c r="W886" s="115">
        <f t="shared" si="27"/>
        <v>2.6936254009615888</v>
      </c>
    </row>
    <row r="887" spans="11:23">
      <c r="K887" s="130">
        <v>882</v>
      </c>
      <c r="L887" s="108">
        <v>4.9054649742868071</v>
      </c>
      <c r="M887" s="107">
        <v>0.32101711748925948</v>
      </c>
      <c r="N887" s="96">
        <v>0.27785633937095866</v>
      </c>
      <c r="O887" s="96">
        <v>1.1223605387529052</v>
      </c>
      <c r="P887" s="132">
        <v>0.74368154365537098</v>
      </c>
      <c r="W887" s="115">
        <f t="shared" si="27"/>
        <v>0.74368154365537098</v>
      </c>
    </row>
    <row r="888" spans="11:23">
      <c r="K888" s="130">
        <v>883</v>
      </c>
      <c r="L888" s="108">
        <v>-1.284112924440882</v>
      </c>
      <c r="M888" s="107">
        <v>0.3509689979447137</v>
      </c>
      <c r="N888" s="96">
        <v>0.31539812169036335</v>
      </c>
      <c r="O888" s="96">
        <v>1.1399495087441001</v>
      </c>
      <c r="P888" s="132">
        <v>1.7499182326678642</v>
      </c>
      <c r="W888" s="115">
        <f t="shared" si="27"/>
        <v>1.7499182326678642</v>
      </c>
    </row>
    <row r="889" spans="11:23">
      <c r="K889" s="130">
        <v>884</v>
      </c>
      <c r="L889" s="108">
        <v>9.1506684391025068</v>
      </c>
      <c r="M889" s="107">
        <v>0.32071068916005385</v>
      </c>
      <c r="N889" s="96">
        <v>0.30601539434429542</v>
      </c>
      <c r="O889" s="96">
        <v>1.2283471964250596</v>
      </c>
      <c r="P889" s="132">
        <v>6.4449680267384384</v>
      </c>
      <c r="W889" s="115">
        <f t="shared" si="27"/>
        <v>6.4449680267384384</v>
      </c>
    </row>
    <row r="890" spans="11:23">
      <c r="K890" s="130">
        <v>885</v>
      </c>
      <c r="L890" s="108">
        <v>0.68799822595046245</v>
      </c>
      <c r="M890" s="107">
        <v>0.3358908542836061</v>
      </c>
      <c r="N890" s="96">
        <v>0.27202586840257009</v>
      </c>
      <c r="O890" s="96">
        <v>1.1849644881880372</v>
      </c>
      <c r="P890" s="132">
        <v>0.60378662668053351</v>
      </c>
      <c r="W890" s="115">
        <f t="shared" si="27"/>
        <v>0.60378662668053351</v>
      </c>
    </row>
    <row r="891" spans="11:23">
      <c r="K891" s="130">
        <v>886</v>
      </c>
      <c r="L891" s="108">
        <v>-5.808335217963033</v>
      </c>
      <c r="M891" s="107">
        <v>0.31893702726568451</v>
      </c>
      <c r="N891" s="96">
        <v>0.33701499355662862</v>
      </c>
      <c r="O891" s="96">
        <v>1.2190289847631541</v>
      </c>
      <c r="P891" s="132">
        <v>10.650322379573149</v>
      </c>
      <c r="W891" s="115">
        <f t="shared" si="27"/>
        <v>10.650322379573149</v>
      </c>
    </row>
    <row r="892" spans="11:23">
      <c r="K892" s="130">
        <v>887</v>
      </c>
      <c r="L892" s="108">
        <v>0.61173356658376099</v>
      </c>
      <c r="M892" s="107">
        <v>0.30565245458238277</v>
      </c>
      <c r="N892" s="96">
        <v>0.30017621944378253</v>
      </c>
      <c r="O892" s="96">
        <v>1.4166116323655804</v>
      </c>
      <c r="P892" s="132">
        <v>12.227668020975301</v>
      </c>
      <c r="W892" s="115">
        <f t="shared" si="27"/>
        <v>12.227668020975301</v>
      </c>
    </row>
    <row r="893" spans="11:23">
      <c r="K893" s="130">
        <v>888</v>
      </c>
      <c r="L893" s="108">
        <v>-0.584508349168122</v>
      </c>
      <c r="M893" s="107">
        <v>0.36394415305758265</v>
      </c>
      <c r="N893" s="96">
        <v>0.29178756768062075</v>
      </c>
      <c r="O893" s="96">
        <v>1.2556302416448069</v>
      </c>
      <c r="P893" s="132">
        <v>1.2270512382044885</v>
      </c>
      <c r="W893" s="115">
        <f t="shared" si="27"/>
        <v>1.2270512382044885</v>
      </c>
    </row>
    <row r="894" spans="11:23">
      <c r="K894" s="130">
        <v>889</v>
      </c>
      <c r="L894" s="108">
        <v>-4.2846718381491229</v>
      </c>
      <c r="M894" s="107">
        <v>0.34556391661718799</v>
      </c>
      <c r="N894" s="96">
        <v>0.26361850485839727</v>
      </c>
      <c r="O894" s="96">
        <v>1.2645819186140199</v>
      </c>
      <c r="P894" s="132">
        <v>0.6311210367400748</v>
      </c>
      <c r="W894" s="115">
        <f t="shared" si="27"/>
        <v>0.6311210367400748</v>
      </c>
    </row>
    <row r="895" spans="11:23">
      <c r="K895" s="130">
        <v>890</v>
      </c>
      <c r="L895" s="108">
        <v>9.6847053301456985</v>
      </c>
      <c r="M895" s="107">
        <v>0.34128727715825907</v>
      </c>
      <c r="N895" s="96">
        <v>0.28386294285365427</v>
      </c>
      <c r="O895" s="96">
        <v>1.3179070784493572</v>
      </c>
      <c r="P895" s="132">
        <v>3.6481403925904519</v>
      </c>
      <c r="W895" s="115">
        <f t="shared" si="27"/>
        <v>3.6481403925904519</v>
      </c>
    </row>
    <row r="896" spans="11:23">
      <c r="K896" s="130">
        <v>891</v>
      </c>
      <c r="L896" s="108">
        <v>-10.669051326863752</v>
      </c>
      <c r="M896" s="107">
        <v>0.3245965295747939</v>
      </c>
      <c r="N896" s="96">
        <v>0.27805244842666943</v>
      </c>
      <c r="O896" s="96">
        <v>0.79123118727744979</v>
      </c>
      <c r="P896" s="132">
        <v>0.10396857866974314</v>
      </c>
      <c r="W896" s="115">
        <f t="shared" si="27"/>
        <v>0.10396857866974314</v>
      </c>
    </row>
    <row r="897" spans="11:23">
      <c r="K897" s="130">
        <v>892</v>
      </c>
      <c r="L897" s="108">
        <v>5.0837724787652379</v>
      </c>
      <c r="M897" s="107">
        <v>0.31570684596147219</v>
      </c>
      <c r="N897" s="96">
        <v>0.29824845300560754</v>
      </c>
      <c r="O897" s="96">
        <v>1.0977017016989949</v>
      </c>
      <c r="P897" s="132">
        <v>2.1698758515019332</v>
      </c>
      <c r="W897" s="115">
        <f t="shared" si="27"/>
        <v>2.1698758515019332</v>
      </c>
    </row>
    <row r="898" spans="11:23">
      <c r="K898" s="130">
        <v>893</v>
      </c>
      <c r="L898" s="108">
        <v>-0.93047177334298792</v>
      </c>
      <c r="M898" s="107">
        <v>0.31192828958978891</v>
      </c>
      <c r="N898" s="96">
        <v>0.33066309729253801</v>
      </c>
      <c r="O898" s="96">
        <v>1.1288266788881971</v>
      </c>
      <c r="P898" s="132">
        <v>7.868842906000971</v>
      </c>
      <c r="W898" s="115">
        <f t="shared" si="27"/>
        <v>7.868842906000971</v>
      </c>
    </row>
    <row r="899" spans="11:23">
      <c r="K899" s="130">
        <v>894</v>
      </c>
      <c r="L899" s="108">
        <v>6.2607623575274038</v>
      </c>
      <c r="M899" s="107">
        <v>0.32484490035298441</v>
      </c>
      <c r="N899" s="96">
        <v>0.33776717470449552</v>
      </c>
      <c r="O899" s="96">
        <v>1.415994912525989</v>
      </c>
      <c r="P899" s="132">
        <v>15.16464264539168</v>
      </c>
      <c r="W899" s="115">
        <f t="shared" si="27"/>
        <v>15.16464264539168</v>
      </c>
    </row>
    <row r="900" spans="11:23">
      <c r="K900" s="130">
        <v>895</v>
      </c>
      <c r="L900" s="108">
        <v>-4.6604626490302046</v>
      </c>
      <c r="M900" s="107">
        <v>0.33808204965020017</v>
      </c>
      <c r="N900" s="96">
        <v>0.23461117602631637</v>
      </c>
      <c r="O900" s="96">
        <v>1.0296828771072404</v>
      </c>
      <c r="P900" s="132">
        <v>0.11381119536982627</v>
      </c>
      <c r="W900" s="115">
        <f t="shared" si="27"/>
        <v>0.11381119536982627</v>
      </c>
    </row>
    <row r="901" spans="11:23">
      <c r="K901" s="130">
        <v>896</v>
      </c>
      <c r="L901" s="108">
        <v>-3.8016550634073232</v>
      </c>
      <c r="M901" s="107">
        <v>0.31769856708816341</v>
      </c>
      <c r="N901" s="96">
        <v>0.22799439969170615</v>
      </c>
      <c r="O901" s="96">
        <v>1.348295035274172</v>
      </c>
      <c r="P901" s="132">
        <v>0.6734455111684774</v>
      </c>
      <c r="W901" s="115">
        <f t="shared" si="27"/>
        <v>0.6734455111684774</v>
      </c>
    </row>
    <row r="902" spans="11:23">
      <c r="K902" s="130">
        <v>897</v>
      </c>
      <c r="L902" s="108">
        <v>7.7810414896987838</v>
      </c>
      <c r="M902" s="107">
        <v>0.33297048556955727</v>
      </c>
      <c r="N902" s="96">
        <v>0.30529143149003241</v>
      </c>
      <c r="O902" s="96">
        <v>1.5453882551839102</v>
      </c>
      <c r="P902" s="132">
        <v>12.383402406185242</v>
      </c>
      <c r="W902" s="115">
        <f t="shared" ref="W902:W965" si="28">P902</f>
        <v>12.383402406185242</v>
      </c>
    </row>
    <row r="903" spans="11:23">
      <c r="K903" s="130">
        <v>898</v>
      </c>
      <c r="L903" s="108">
        <v>-2.3291499385925678</v>
      </c>
      <c r="M903" s="107">
        <v>0.31651284883368452</v>
      </c>
      <c r="N903" s="96">
        <v>0.29455108813463587</v>
      </c>
      <c r="O903" s="96">
        <v>1.3372327621216729</v>
      </c>
      <c r="P903" s="132">
        <v>8.2647762396735533</v>
      </c>
      <c r="W903" s="115">
        <f t="shared" si="28"/>
        <v>8.2647762396735533</v>
      </c>
    </row>
    <row r="904" spans="11:23">
      <c r="K904" s="130">
        <v>899</v>
      </c>
      <c r="L904" s="108">
        <v>7.3563526993326853</v>
      </c>
      <c r="M904" s="107">
        <v>0.34406884557311856</v>
      </c>
      <c r="N904" s="96">
        <v>0.26739324601997155</v>
      </c>
      <c r="O904" s="96">
        <v>1.3014307748018796</v>
      </c>
      <c r="P904" s="132">
        <v>1.3096033841853194</v>
      </c>
      <c r="W904" s="115">
        <f t="shared" si="28"/>
        <v>1.3096033841853194</v>
      </c>
    </row>
    <row r="905" spans="11:23">
      <c r="K905" s="130">
        <v>900</v>
      </c>
      <c r="L905" s="108">
        <v>11.43434842729636</v>
      </c>
      <c r="M905" s="107">
        <v>0.31665181985603402</v>
      </c>
      <c r="N905" s="96">
        <v>0.30404833968740042</v>
      </c>
      <c r="O905" s="96">
        <v>1.3199794416289032</v>
      </c>
      <c r="P905" s="132">
        <v>9.1353040076310918</v>
      </c>
      <c r="W905" s="115">
        <f t="shared" si="28"/>
        <v>9.1353040076310918</v>
      </c>
    </row>
    <row r="906" spans="11:23">
      <c r="K906" s="130">
        <v>901</v>
      </c>
      <c r="L906" s="108">
        <v>-2.0140910747208993</v>
      </c>
      <c r="M906" s="107">
        <v>0.32210389167019132</v>
      </c>
      <c r="N906" s="96">
        <v>0.30851909705565594</v>
      </c>
      <c r="O906" s="96">
        <v>0.97699359493864035</v>
      </c>
      <c r="P906" s="132">
        <v>0.46550850710472608</v>
      </c>
      <c r="W906" s="115">
        <f t="shared" si="28"/>
        <v>0.46550850710472608</v>
      </c>
    </row>
    <row r="907" spans="11:23">
      <c r="K907" s="130">
        <v>902</v>
      </c>
      <c r="L907" s="108">
        <v>0.3499099708329329</v>
      </c>
      <c r="M907" s="107">
        <v>0.3145498052127757</v>
      </c>
      <c r="N907" s="96">
        <v>0.27659006995419877</v>
      </c>
      <c r="O907" s="96">
        <v>1.0683488258645724</v>
      </c>
      <c r="P907" s="132">
        <v>0.48849919113647738</v>
      </c>
      <c r="W907" s="115">
        <f t="shared" si="28"/>
        <v>0.48849919113647738</v>
      </c>
    </row>
    <row r="908" spans="11:23">
      <c r="K908" s="130">
        <v>903</v>
      </c>
      <c r="L908" s="108">
        <v>2.7184210233691379</v>
      </c>
      <c r="M908" s="107">
        <v>0.30469329704444931</v>
      </c>
      <c r="N908" s="96">
        <v>0.30227178450719761</v>
      </c>
      <c r="O908" s="96">
        <v>1.0932896015581726</v>
      </c>
      <c r="P908" s="132">
        <v>3.7950628533912032</v>
      </c>
      <c r="W908" s="115">
        <f t="shared" si="28"/>
        <v>3.7950628533912032</v>
      </c>
    </row>
    <row r="909" spans="11:23">
      <c r="K909" s="130">
        <v>904</v>
      </c>
      <c r="L909" s="108">
        <v>-4.5261433403755991</v>
      </c>
      <c r="M909" s="107">
        <v>0.31407240922744201</v>
      </c>
      <c r="N909" s="96">
        <v>0.29258573954891054</v>
      </c>
      <c r="O909" s="96">
        <v>1.2055494747384952</v>
      </c>
      <c r="P909" s="132">
        <v>4.8025530655906961</v>
      </c>
      <c r="W909" s="115">
        <f t="shared" si="28"/>
        <v>4.8025530655906961</v>
      </c>
    </row>
    <row r="910" spans="11:23">
      <c r="K910" s="130">
        <v>905</v>
      </c>
      <c r="L910" s="108">
        <v>-5.5021668472082297</v>
      </c>
      <c r="M910" s="107">
        <v>0.31944832376465609</v>
      </c>
      <c r="N910" s="96">
        <v>0.33498904618093245</v>
      </c>
      <c r="O910" s="96">
        <v>1.2911119781474358</v>
      </c>
      <c r="P910" s="132">
        <v>12.341099225576162</v>
      </c>
      <c r="W910" s="115">
        <f t="shared" si="28"/>
        <v>12.341099225576162</v>
      </c>
    </row>
    <row r="911" spans="11:23">
      <c r="K911" s="130">
        <v>906</v>
      </c>
      <c r="L911" s="108">
        <v>0.23023135447502402</v>
      </c>
      <c r="M911" s="107">
        <v>0.32349994016850692</v>
      </c>
      <c r="N911" s="96">
        <v>0.28951090939476865</v>
      </c>
      <c r="O911" s="96">
        <v>1.2631864510269439</v>
      </c>
      <c r="P911" s="132">
        <v>4.8785322292009417</v>
      </c>
      <c r="W911" s="115">
        <f t="shared" si="28"/>
        <v>4.8785322292009417</v>
      </c>
    </row>
    <row r="912" spans="11:23">
      <c r="K912" s="130">
        <v>907</v>
      </c>
      <c r="L912" s="108">
        <v>3.3373604369370264</v>
      </c>
      <c r="M912" s="107">
        <v>0.31198506078622035</v>
      </c>
      <c r="N912" s="96">
        <v>0.29936717605992774</v>
      </c>
      <c r="O912" s="96">
        <v>1.3946616441622182</v>
      </c>
      <c r="P912" s="132">
        <v>10.839195130692737</v>
      </c>
      <c r="W912" s="115">
        <f t="shared" si="28"/>
        <v>10.839195130692737</v>
      </c>
    </row>
    <row r="913" spans="11:23">
      <c r="K913" s="130">
        <v>908</v>
      </c>
      <c r="L913" s="108">
        <v>12.682165219181806</v>
      </c>
      <c r="M913" s="107">
        <v>0.32756116996696105</v>
      </c>
      <c r="N913" s="96">
        <v>0.26236909804235287</v>
      </c>
      <c r="O913" s="96">
        <v>1.1338729865842929</v>
      </c>
      <c r="P913" s="132">
        <v>0.33979238146215751</v>
      </c>
      <c r="W913" s="115">
        <f t="shared" si="28"/>
        <v>0.33979238146215751</v>
      </c>
    </row>
    <row r="914" spans="11:23">
      <c r="K914" s="130">
        <v>909</v>
      </c>
      <c r="L914" s="108">
        <v>-7.1739754459347127</v>
      </c>
      <c r="M914" s="107">
        <v>0.34136502987436818</v>
      </c>
      <c r="N914" s="96">
        <v>0.31564561611490899</v>
      </c>
      <c r="O914" s="96">
        <v>1.1241697663523094</v>
      </c>
      <c r="P914" s="132">
        <v>2.2195555576935369</v>
      </c>
      <c r="W914" s="115">
        <f t="shared" si="28"/>
        <v>2.2195555576935369</v>
      </c>
    </row>
    <row r="915" spans="11:23">
      <c r="K915" s="130">
        <v>910</v>
      </c>
      <c r="L915" s="108">
        <v>6.1148460758970149</v>
      </c>
      <c r="M915" s="107">
        <v>0.33164675934829985</v>
      </c>
      <c r="N915" s="96">
        <v>0.24705339676697394</v>
      </c>
      <c r="O915" s="96">
        <v>1.1737066072275599</v>
      </c>
      <c r="P915" s="132">
        <v>0.25437611557973805</v>
      </c>
      <c r="W915" s="115">
        <f t="shared" si="28"/>
        <v>0.25437611557973805</v>
      </c>
    </row>
    <row r="916" spans="11:23">
      <c r="K916" s="130">
        <v>911</v>
      </c>
      <c r="L916" s="108">
        <v>0.21750317383059936</v>
      </c>
      <c r="M916" s="107">
        <v>0.34677492131350668</v>
      </c>
      <c r="N916" s="96">
        <v>0.27490378848472424</v>
      </c>
      <c r="O916" s="96">
        <v>1.3006600276816096</v>
      </c>
      <c r="P916" s="132">
        <v>1.7694931670891545</v>
      </c>
      <c r="W916" s="115">
        <f t="shared" si="28"/>
        <v>1.7694931670891545</v>
      </c>
    </row>
    <row r="917" spans="11:23">
      <c r="K917" s="130">
        <v>912</v>
      </c>
      <c r="L917" s="108">
        <v>5.0578859455066771</v>
      </c>
      <c r="M917" s="107">
        <v>0.31849962895835449</v>
      </c>
      <c r="N917" s="96">
        <v>0.30118923056363955</v>
      </c>
      <c r="O917" s="96">
        <v>1.159823306459429</v>
      </c>
      <c r="P917" s="132">
        <v>4.056538824244166</v>
      </c>
      <c r="W917" s="115">
        <f t="shared" si="28"/>
        <v>4.056538824244166</v>
      </c>
    </row>
    <row r="918" spans="11:23">
      <c r="K918" s="130">
        <v>913</v>
      </c>
      <c r="L918" s="108">
        <v>-8.5042027095783013</v>
      </c>
      <c r="M918" s="107">
        <v>0.33122244326877254</v>
      </c>
      <c r="N918" s="96">
        <v>0.26376896311289094</v>
      </c>
      <c r="O918" s="96">
        <v>1.4170738340162565</v>
      </c>
      <c r="P918" s="132">
        <v>4.3484968640217332</v>
      </c>
      <c r="W918" s="115">
        <f t="shared" si="28"/>
        <v>4.3484968640217332</v>
      </c>
    </row>
    <row r="919" spans="11:23">
      <c r="K919" s="130">
        <v>914</v>
      </c>
      <c r="L919" s="108">
        <v>1.8629551138032119</v>
      </c>
      <c r="M919" s="107">
        <v>0.33797905714909787</v>
      </c>
      <c r="N919" s="96">
        <v>0.30643885413931077</v>
      </c>
      <c r="O919" s="96">
        <v>1.4305973567698773</v>
      </c>
      <c r="P919" s="132">
        <v>9.5838514481111865</v>
      </c>
      <c r="W919" s="115">
        <f t="shared" si="28"/>
        <v>9.5838514481111865</v>
      </c>
    </row>
    <row r="920" spans="11:23">
      <c r="K920" s="130">
        <v>915</v>
      </c>
      <c r="L920" s="108">
        <v>-2.9485155878696352</v>
      </c>
      <c r="M920" s="107">
        <v>0.33296624447093176</v>
      </c>
      <c r="N920" s="96">
        <v>0.32137843056332754</v>
      </c>
      <c r="O920" s="96">
        <v>1.1650210388925095</v>
      </c>
      <c r="P920" s="132">
        <v>5.0839967611650847</v>
      </c>
      <c r="W920" s="115">
        <f t="shared" si="28"/>
        <v>5.0839967611650847</v>
      </c>
    </row>
    <row r="921" spans="11:23">
      <c r="K921" s="130">
        <v>916</v>
      </c>
      <c r="L921" s="108">
        <v>14.067407786653069</v>
      </c>
      <c r="M921" s="107">
        <v>0.31897520975462773</v>
      </c>
      <c r="N921" s="96">
        <v>0.2578573396035494</v>
      </c>
      <c r="O921" s="96">
        <v>1.1214801576210141</v>
      </c>
      <c r="P921" s="132">
        <v>0.34098189367755349</v>
      </c>
      <c r="W921" s="115">
        <f t="shared" si="28"/>
        <v>0.34098189367755349</v>
      </c>
    </row>
    <row r="922" spans="11:23">
      <c r="K922" s="130">
        <v>917</v>
      </c>
      <c r="L922" s="108">
        <v>-7.6839146278590036</v>
      </c>
      <c r="M922" s="107">
        <v>0.3481641377362138</v>
      </c>
      <c r="N922" s="96">
        <v>0.31547596019863466</v>
      </c>
      <c r="O922" s="96">
        <v>1.2119599242391579</v>
      </c>
      <c r="P922" s="132">
        <v>4.0251129369265364</v>
      </c>
      <c r="W922" s="115">
        <f t="shared" si="28"/>
        <v>4.0251129369265364</v>
      </c>
    </row>
    <row r="923" spans="11:23">
      <c r="K923" s="130">
        <v>918</v>
      </c>
      <c r="L923" s="108">
        <v>-6.7766071834163721</v>
      </c>
      <c r="M923" s="107">
        <v>0.34355792513869687</v>
      </c>
      <c r="N923" s="96">
        <v>0.31054701973346105</v>
      </c>
      <c r="O923" s="96">
        <v>1.3196048382671206</v>
      </c>
      <c r="P923" s="132">
        <v>6.8442328766390892</v>
      </c>
      <c r="W923" s="115">
        <f t="shared" si="28"/>
        <v>6.8442328766390892</v>
      </c>
    </row>
    <row r="924" spans="11:23">
      <c r="K924" s="130">
        <v>919</v>
      </c>
      <c r="L924" s="108">
        <v>-9.9101719543508064</v>
      </c>
      <c r="M924" s="107">
        <v>0.33896168435725099</v>
      </c>
      <c r="N924" s="96">
        <v>0.21221022813321649</v>
      </c>
      <c r="O924" s="96">
        <v>1.6247531600279663</v>
      </c>
      <c r="P924" s="132">
        <v>1.2566487860705011</v>
      </c>
      <c r="W924" s="115">
        <f t="shared" si="28"/>
        <v>1.2566487860705011</v>
      </c>
    </row>
    <row r="925" spans="11:23">
      <c r="K925" s="130">
        <v>920</v>
      </c>
      <c r="L925" s="108">
        <v>2.5770436401663712</v>
      </c>
      <c r="M925" s="107">
        <v>0.33979688529021651</v>
      </c>
      <c r="N925" s="96">
        <v>0.29775339275580426</v>
      </c>
      <c r="O925" s="96">
        <v>1.2947868849036031</v>
      </c>
      <c r="P925" s="132">
        <v>4.9665089571014285</v>
      </c>
      <c r="W925" s="115">
        <f t="shared" si="28"/>
        <v>4.9665089571014285</v>
      </c>
    </row>
    <row r="926" spans="11:23">
      <c r="K926" s="130">
        <v>921</v>
      </c>
      <c r="L926" s="108">
        <v>6.8294038216057782</v>
      </c>
      <c r="M926" s="107">
        <v>0.33611992328912377</v>
      </c>
      <c r="N926" s="96">
        <v>0.30276889191892076</v>
      </c>
      <c r="O926" s="96">
        <v>0.97162836903777472</v>
      </c>
      <c r="P926" s="132">
        <v>0.25525281393603316</v>
      </c>
      <c r="W926" s="115">
        <f t="shared" si="28"/>
        <v>0.25525281393603316</v>
      </c>
    </row>
    <row r="927" spans="11:23">
      <c r="K927" s="130">
        <v>922</v>
      </c>
      <c r="L927" s="108">
        <v>-18.817229884181771</v>
      </c>
      <c r="M927" s="107">
        <v>0.32207399916798685</v>
      </c>
      <c r="N927" s="96">
        <v>0.29499339443754957</v>
      </c>
      <c r="O927" s="96">
        <v>1.3488064349840958</v>
      </c>
      <c r="P927" s="132">
        <v>7.9477380421928814</v>
      </c>
      <c r="W927" s="115">
        <f t="shared" si="28"/>
        <v>7.9477380421928814</v>
      </c>
    </row>
    <row r="928" spans="11:23">
      <c r="K928" s="130">
        <v>923</v>
      </c>
      <c r="L928" s="108">
        <v>13.361693148184234</v>
      </c>
      <c r="M928" s="107">
        <v>0.31786017661270388</v>
      </c>
      <c r="N928" s="96">
        <v>0.27931753190518394</v>
      </c>
      <c r="O928" s="96">
        <v>1.0087100755453411</v>
      </c>
      <c r="P928" s="132">
        <v>0.28895599112111697</v>
      </c>
      <c r="W928" s="115">
        <f t="shared" si="28"/>
        <v>0.28895599112111697</v>
      </c>
    </row>
    <row r="929" spans="11:23">
      <c r="K929" s="130">
        <v>924</v>
      </c>
      <c r="L929" s="108">
        <v>1.501476024359089</v>
      </c>
      <c r="M929" s="107">
        <v>0.32055611970288805</v>
      </c>
      <c r="N929" s="96">
        <v>0.27602540634923756</v>
      </c>
      <c r="O929" s="96">
        <v>1.4310335966230303</v>
      </c>
      <c r="P929" s="132">
        <v>7.3948014280019549</v>
      </c>
      <c r="W929" s="115">
        <f t="shared" si="28"/>
        <v>7.3948014280019549</v>
      </c>
    </row>
    <row r="930" spans="11:23">
      <c r="K930" s="130">
        <v>925</v>
      </c>
      <c r="L930" s="108">
        <v>-3.2676566349444776</v>
      </c>
      <c r="M930" s="107">
        <v>0.31382583522773583</v>
      </c>
      <c r="N930" s="96">
        <v>0.33436791903390006</v>
      </c>
      <c r="O930" s="96">
        <v>1.3592377103387181</v>
      </c>
      <c r="P930" s="132">
        <v>14.740017833051182</v>
      </c>
      <c r="W930" s="115">
        <f t="shared" si="28"/>
        <v>14.740017833051182</v>
      </c>
    </row>
    <row r="931" spans="11:23">
      <c r="K931" s="130">
        <v>926</v>
      </c>
      <c r="L931" s="108">
        <v>-3.1956141241449725</v>
      </c>
      <c r="M931" s="107">
        <v>0.32730042149728483</v>
      </c>
      <c r="N931" s="96">
        <v>0.27947655986223419</v>
      </c>
      <c r="O931" s="96">
        <v>1.561444680859434</v>
      </c>
      <c r="P931" s="132">
        <v>9.7341298982196545</v>
      </c>
      <c r="W931" s="115">
        <f t="shared" si="28"/>
        <v>9.7341298982196545</v>
      </c>
    </row>
    <row r="932" spans="11:23">
      <c r="K932" s="130">
        <v>927</v>
      </c>
      <c r="L932" s="108">
        <v>-8.4725202842435365</v>
      </c>
      <c r="M932" s="107">
        <v>0.30661336113800447</v>
      </c>
      <c r="N932" s="96">
        <v>0.2730243742905466</v>
      </c>
      <c r="O932" s="96">
        <v>1.1837717396688472</v>
      </c>
      <c r="P932" s="132">
        <v>2.5563865231078196</v>
      </c>
      <c r="W932" s="115">
        <f t="shared" si="28"/>
        <v>2.5563865231078196</v>
      </c>
    </row>
    <row r="933" spans="11:23">
      <c r="K933" s="130">
        <v>928</v>
      </c>
      <c r="L933" s="108">
        <v>-1.3305076217120857</v>
      </c>
      <c r="M933" s="107">
        <v>0.33047446225523586</v>
      </c>
      <c r="N933" s="96">
        <v>0.29521366360374129</v>
      </c>
      <c r="O933" s="96">
        <v>1.3806581964396052</v>
      </c>
      <c r="P933" s="132">
        <v>7.7703935299577545</v>
      </c>
      <c r="W933" s="115">
        <f t="shared" si="28"/>
        <v>7.7703935299577545</v>
      </c>
    </row>
    <row r="934" spans="11:23">
      <c r="K934" s="130">
        <v>929</v>
      </c>
      <c r="L934" s="108">
        <v>5.9400009424063702</v>
      </c>
      <c r="M934" s="107">
        <v>0.32973267781154836</v>
      </c>
      <c r="N934" s="96">
        <v>0.30035998225034749</v>
      </c>
      <c r="O934" s="96">
        <v>1.248336013395116</v>
      </c>
      <c r="P934" s="132">
        <v>5.1861528738329072</v>
      </c>
      <c r="W934" s="115">
        <f t="shared" si="28"/>
        <v>5.1861528738329072</v>
      </c>
    </row>
    <row r="935" spans="11:23">
      <c r="K935" s="130">
        <v>930</v>
      </c>
      <c r="L935" s="108">
        <v>1.1114653581247147</v>
      </c>
      <c r="M935" s="107">
        <v>0.3055230761594685</v>
      </c>
      <c r="N935" s="96">
        <v>0.27307535619040363</v>
      </c>
      <c r="O935" s="96">
        <v>1.2785914277856947</v>
      </c>
      <c r="P935" s="132">
        <v>5.1557448335463469</v>
      </c>
      <c r="W935" s="115">
        <f t="shared" si="28"/>
        <v>5.1557448335463469</v>
      </c>
    </row>
    <row r="936" spans="11:23">
      <c r="K936" s="130">
        <v>931</v>
      </c>
      <c r="L936" s="108">
        <v>8.8738487171898903</v>
      </c>
      <c r="M936" s="107">
        <v>0.34803129940826921</v>
      </c>
      <c r="N936" s="96">
        <v>0.3625931025671677</v>
      </c>
      <c r="O936" s="96">
        <v>1.4520795617163966</v>
      </c>
      <c r="P936" s="132">
        <v>16.7044901618113</v>
      </c>
      <c r="W936" s="115">
        <f t="shared" si="28"/>
        <v>16.7044901618113</v>
      </c>
    </row>
    <row r="937" spans="11:23">
      <c r="K937" s="130">
        <v>932</v>
      </c>
      <c r="L937" s="108">
        <v>-10.31379335564851</v>
      </c>
      <c r="M937" s="107">
        <v>0.32630104758378731</v>
      </c>
      <c r="N937" s="96">
        <v>0.32217280991738984</v>
      </c>
      <c r="O937" s="96">
        <v>1.0400385504001752</v>
      </c>
      <c r="P937" s="132">
        <v>1.9366228945057014</v>
      </c>
      <c r="W937" s="115">
        <f t="shared" si="28"/>
        <v>1.9366228945057014</v>
      </c>
    </row>
    <row r="938" spans="11:23">
      <c r="K938" s="130">
        <v>933</v>
      </c>
      <c r="L938" s="108">
        <v>-12.55464657021515</v>
      </c>
      <c r="M938" s="107">
        <v>0.33218157175233654</v>
      </c>
      <c r="N938" s="96">
        <v>0.25225151271538881</v>
      </c>
      <c r="O938" s="96">
        <v>1.1681077401313369</v>
      </c>
      <c r="P938" s="132">
        <v>0.2800167991323102</v>
      </c>
      <c r="W938" s="115">
        <f t="shared" si="28"/>
        <v>0.2800167991323102</v>
      </c>
    </row>
    <row r="939" spans="11:23">
      <c r="K939" s="130">
        <v>934</v>
      </c>
      <c r="L939" s="108">
        <v>-1.6001892021657063</v>
      </c>
      <c r="M939" s="107">
        <v>0.3345321341901038</v>
      </c>
      <c r="N939" s="96">
        <v>0.27511032182550216</v>
      </c>
      <c r="O939" s="96">
        <v>1.2669592499441578</v>
      </c>
      <c r="P939" s="132">
        <v>2.0931989918044516</v>
      </c>
      <c r="W939" s="115">
        <f t="shared" si="28"/>
        <v>2.0931989918044516</v>
      </c>
    </row>
    <row r="940" spans="11:23">
      <c r="K940" s="130">
        <v>935</v>
      </c>
      <c r="L940" s="108">
        <v>2.630980469543883</v>
      </c>
      <c r="M940" s="107">
        <v>0.31156565847830392</v>
      </c>
      <c r="N940" s="96">
        <v>0.33554287032488478</v>
      </c>
      <c r="O940" s="96">
        <v>1.0121846106747259</v>
      </c>
      <c r="P940" s="132">
        <v>4.3024763861109339</v>
      </c>
      <c r="W940" s="115">
        <f t="shared" si="28"/>
        <v>4.3024763861109339</v>
      </c>
    </row>
    <row r="941" spans="11:23">
      <c r="K941" s="130">
        <v>936</v>
      </c>
      <c r="L941" s="108">
        <v>-8.2762355527915759</v>
      </c>
      <c r="M941" s="107">
        <v>0.33061450300781692</v>
      </c>
      <c r="N941" s="96">
        <v>0.295229049886579</v>
      </c>
      <c r="O941" s="96">
        <v>1.0373271817385818</v>
      </c>
      <c r="P941" s="132">
        <v>0.40830933180921186</v>
      </c>
      <c r="W941" s="115">
        <f t="shared" si="28"/>
        <v>0.40830933180921186</v>
      </c>
    </row>
    <row r="942" spans="11:23">
      <c r="K942" s="130">
        <v>937</v>
      </c>
      <c r="L942" s="108">
        <v>-4.2857517808363355</v>
      </c>
      <c r="M942" s="107">
        <v>0.31143513968805386</v>
      </c>
      <c r="N942" s="96">
        <v>0.27755473725898255</v>
      </c>
      <c r="O942" s="96">
        <v>1.2585537590264697</v>
      </c>
      <c r="P942" s="132">
        <v>4.5570755046066047</v>
      </c>
      <c r="W942" s="115">
        <f t="shared" si="28"/>
        <v>4.5570755046066047</v>
      </c>
    </row>
    <row r="943" spans="11:23">
      <c r="K943" s="130">
        <v>938</v>
      </c>
      <c r="L943" s="108">
        <v>-1.0430654791758236</v>
      </c>
      <c r="M943" s="107">
        <v>0.32976882250120643</v>
      </c>
      <c r="N943" s="96">
        <v>0.24084220238208953</v>
      </c>
      <c r="O943" s="96">
        <v>1.0730064107839916</v>
      </c>
      <c r="P943" s="132">
        <v>0.15237244018391974</v>
      </c>
      <c r="W943" s="115">
        <f t="shared" si="28"/>
        <v>0.15237244018391974</v>
      </c>
    </row>
    <row r="944" spans="11:23">
      <c r="K944" s="130">
        <v>939</v>
      </c>
      <c r="L944" s="108">
        <v>-4.5505933082972536</v>
      </c>
      <c r="M944" s="107">
        <v>0.31652169309913181</v>
      </c>
      <c r="N944" s="96">
        <v>0.26990604424316728</v>
      </c>
      <c r="O944" s="96">
        <v>1.3951918306108737</v>
      </c>
      <c r="P944" s="132">
        <v>6.2267365646305359</v>
      </c>
      <c r="W944" s="115">
        <f t="shared" si="28"/>
        <v>6.2267365646305359</v>
      </c>
    </row>
    <row r="945" spans="11:23">
      <c r="K945" s="130">
        <v>940</v>
      </c>
      <c r="L945" s="108">
        <v>14.231494376925124</v>
      </c>
      <c r="M945" s="107">
        <v>0.30805320522051061</v>
      </c>
      <c r="N945" s="96">
        <v>0.30899018648860183</v>
      </c>
      <c r="O945" s="96">
        <v>1.3839994776438174</v>
      </c>
      <c r="P945" s="132">
        <v>12.453948385926036</v>
      </c>
      <c r="W945" s="115">
        <f t="shared" si="28"/>
        <v>12.453948385926036</v>
      </c>
    </row>
    <row r="946" spans="11:23">
      <c r="K946" s="130">
        <v>941</v>
      </c>
      <c r="L946" s="108">
        <v>9.3741226615268349</v>
      </c>
      <c r="M946" s="107">
        <v>0.33355074159802661</v>
      </c>
      <c r="N946" s="96">
        <v>0.32302257959669894</v>
      </c>
      <c r="O946" s="96">
        <v>1.1020129854185856</v>
      </c>
      <c r="P946" s="132">
        <v>3.200335538373031</v>
      </c>
      <c r="W946" s="115">
        <f t="shared" si="28"/>
        <v>3.200335538373031</v>
      </c>
    </row>
    <row r="947" spans="11:23">
      <c r="K947" s="130">
        <v>942</v>
      </c>
      <c r="L947" s="108">
        <v>5.621990584316797</v>
      </c>
      <c r="M947" s="107">
        <v>0.30321545874417921</v>
      </c>
      <c r="N947" s="96">
        <v>0.24452313160454187</v>
      </c>
      <c r="O947" s="96">
        <v>1.3050086662606271</v>
      </c>
      <c r="P947" s="132">
        <v>2.3154126590352768</v>
      </c>
      <c r="W947" s="115">
        <f t="shared" si="28"/>
        <v>2.3154126590352768</v>
      </c>
    </row>
    <row r="948" spans="11:23">
      <c r="K948" s="130">
        <v>943</v>
      </c>
      <c r="L948" s="108">
        <v>5.8489887046887361</v>
      </c>
      <c r="M948" s="107">
        <v>0.32409344634642528</v>
      </c>
      <c r="N948" s="96">
        <v>0.32045188741491282</v>
      </c>
      <c r="O948" s="96">
        <v>1.2637692080850573</v>
      </c>
      <c r="P948" s="132">
        <v>8.9821860498882842</v>
      </c>
      <c r="W948" s="115">
        <f t="shared" si="28"/>
        <v>8.9821860498882842</v>
      </c>
    </row>
    <row r="949" spans="11:23">
      <c r="K949" s="130">
        <v>944</v>
      </c>
      <c r="L949" s="108">
        <v>11.150990919809692</v>
      </c>
      <c r="M949" s="107">
        <v>0.33212844422903975</v>
      </c>
      <c r="N949" s="96">
        <v>0.28185955073179469</v>
      </c>
      <c r="O949" s="96">
        <v>1.2650781342708384</v>
      </c>
      <c r="P949" s="132">
        <v>3.0398046865260118</v>
      </c>
      <c r="W949" s="115">
        <f t="shared" si="28"/>
        <v>3.0398046865260118</v>
      </c>
    </row>
    <row r="950" spans="11:23">
      <c r="K950" s="130">
        <v>945</v>
      </c>
      <c r="L950" s="108">
        <v>2.7899905089937507</v>
      </c>
      <c r="M950" s="107">
        <v>0.31434271661844593</v>
      </c>
      <c r="N950" s="96">
        <v>0.30215355587523124</v>
      </c>
      <c r="O950" s="96">
        <v>1.4098397979008672</v>
      </c>
      <c r="P950" s="132">
        <v>11.285544653467465</v>
      </c>
      <c r="W950" s="115">
        <f t="shared" si="28"/>
        <v>11.285544653467465</v>
      </c>
    </row>
    <row r="951" spans="11:23">
      <c r="K951" s="130">
        <v>946</v>
      </c>
      <c r="L951" s="108">
        <v>-12.165573029210099</v>
      </c>
      <c r="M951" s="107">
        <v>0.33503225540341219</v>
      </c>
      <c r="N951" s="96">
        <v>0.30101668437806828</v>
      </c>
      <c r="O951" s="96">
        <v>1.1218389714851107</v>
      </c>
      <c r="P951" s="132">
        <v>1.3469892795368232</v>
      </c>
      <c r="W951" s="115">
        <f t="shared" si="28"/>
        <v>1.3469892795368232</v>
      </c>
    </row>
    <row r="952" spans="11:23">
      <c r="K952" s="130">
        <v>947</v>
      </c>
      <c r="L952" s="108">
        <v>0.88958681959980157</v>
      </c>
      <c r="M952" s="107">
        <v>0.33080091500893671</v>
      </c>
      <c r="N952" s="96">
        <v>0.26716837511667113</v>
      </c>
      <c r="O952" s="96">
        <v>1.1318755978169528</v>
      </c>
      <c r="P952" s="132">
        <v>0.35737108930969169</v>
      </c>
      <c r="W952" s="115">
        <f t="shared" si="28"/>
        <v>0.35737108930969169</v>
      </c>
    </row>
    <row r="953" spans="11:23">
      <c r="K953" s="130">
        <v>948</v>
      </c>
      <c r="L953" s="108">
        <v>-0.80247815643992904</v>
      </c>
      <c r="M953" s="107">
        <v>0.32223763769907066</v>
      </c>
      <c r="N953" s="96">
        <v>0.27658679281355031</v>
      </c>
      <c r="O953" s="96">
        <v>0.93539452509122745</v>
      </c>
      <c r="P953" s="132">
        <v>0.16994212716705098</v>
      </c>
      <c r="W953" s="115">
        <f t="shared" si="28"/>
        <v>0.16994212716705098</v>
      </c>
    </row>
    <row r="954" spans="11:23">
      <c r="K954" s="130">
        <v>949</v>
      </c>
      <c r="L954" s="108">
        <v>-4.4752749190420049E-2</v>
      </c>
      <c r="M954" s="107">
        <v>0.34432918115749034</v>
      </c>
      <c r="N954" s="96">
        <v>0.30099894408014233</v>
      </c>
      <c r="O954" s="96">
        <v>1.3072973680952602</v>
      </c>
      <c r="P954" s="132">
        <v>5.2139567085683849</v>
      </c>
      <c r="W954" s="115">
        <f t="shared" si="28"/>
        <v>5.2139567085683849</v>
      </c>
    </row>
    <row r="955" spans="11:23">
      <c r="K955" s="130">
        <v>950</v>
      </c>
      <c r="L955" s="108">
        <v>-0.62536833854451634</v>
      </c>
      <c r="M955" s="107">
        <v>0.32506265726942468</v>
      </c>
      <c r="N955" s="96">
        <v>0.26532262853464045</v>
      </c>
      <c r="O955" s="96">
        <v>1.2609288287695475</v>
      </c>
      <c r="P955" s="132">
        <v>1.7580321455638102</v>
      </c>
      <c r="W955" s="115">
        <f t="shared" si="28"/>
        <v>1.7580321455638102</v>
      </c>
    </row>
    <row r="956" spans="11:23">
      <c r="K956" s="130">
        <v>951</v>
      </c>
      <c r="L956" s="108">
        <v>-0.36302754446334085</v>
      </c>
      <c r="M956" s="107">
        <v>0.32017952248141335</v>
      </c>
      <c r="N956" s="96">
        <v>0.30863661014048299</v>
      </c>
      <c r="O956" s="96">
        <v>1.1646004925468609</v>
      </c>
      <c r="P956" s="132">
        <v>4.9673539152039075</v>
      </c>
      <c r="W956" s="115">
        <f t="shared" si="28"/>
        <v>4.9673539152039075</v>
      </c>
    </row>
    <row r="957" spans="11:23">
      <c r="K957" s="130">
        <v>952</v>
      </c>
      <c r="L957" s="108">
        <v>5.8064884858652537</v>
      </c>
      <c r="M957" s="107">
        <v>0.31417368559622744</v>
      </c>
      <c r="N957" s="96">
        <v>0.27470563223218858</v>
      </c>
      <c r="O957" s="96">
        <v>1.5633741350413148</v>
      </c>
      <c r="P957" s="132">
        <v>10.5262425763667</v>
      </c>
      <c r="W957" s="115">
        <f t="shared" si="28"/>
        <v>10.5262425763667</v>
      </c>
    </row>
    <row r="958" spans="11:23">
      <c r="K958" s="130">
        <v>953</v>
      </c>
      <c r="L958" s="108">
        <v>-8.7277602994011847</v>
      </c>
      <c r="M958" s="107">
        <v>0.33569305180750053</v>
      </c>
      <c r="N958" s="96">
        <v>0.28683278814627733</v>
      </c>
      <c r="O958" s="96">
        <v>0.94516792768586666</v>
      </c>
      <c r="P958" s="132">
        <v>0.16891745394224131</v>
      </c>
      <c r="W958" s="115">
        <f t="shared" si="28"/>
        <v>0.16891745394224131</v>
      </c>
    </row>
    <row r="959" spans="11:23">
      <c r="K959" s="130">
        <v>954</v>
      </c>
      <c r="L959" s="108">
        <v>-5.9514546116995062</v>
      </c>
      <c r="M959" s="107">
        <v>0.34741852799323392</v>
      </c>
      <c r="N959" s="96">
        <v>0.33554137596839267</v>
      </c>
      <c r="O959" s="96">
        <v>1.032401217815397</v>
      </c>
      <c r="P959" s="132">
        <v>1.1503171883963532</v>
      </c>
      <c r="W959" s="115">
        <f t="shared" si="28"/>
        <v>1.1503171883963532</v>
      </c>
    </row>
    <row r="960" spans="11:23">
      <c r="K960" s="130">
        <v>955</v>
      </c>
      <c r="L960" s="108">
        <v>-2.7044740898342514</v>
      </c>
      <c r="M960" s="107">
        <v>0.32231665946099647</v>
      </c>
      <c r="N960" s="96">
        <v>0.28846342623072191</v>
      </c>
      <c r="O960" s="96">
        <v>1.2868939395869781</v>
      </c>
      <c r="P960" s="132">
        <v>5.4925994420060471</v>
      </c>
      <c r="W960" s="115">
        <f t="shared" si="28"/>
        <v>5.4925994420060471</v>
      </c>
    </row>
    <row r="961" spans="11:23">
      <c r="K961" s="130">
        <v>956</v>
      </c>
      <c r="L961" s="108">
        <v>-4.9293935060536569</v>
      </c>
      <c r="M961" s="107">
        <v>0.32191631813155441</v>
      </c>
      <c r="N961" s="96">
        <v>0.31776254998337233</v>
      </c>
      <c r="O961" s="96">
        <v>1.6045512990851023</v>
      </c>
      <c r="P961" s="132">
        <v>16.740269777037444</v>
      </c>
      <c r="W961" s="115">
        <f t="shared" si="28"/>
        <v>16.740269777037444</v>
      </c>
    </row>
    <row r="962" spans="11:23">
      <c r="K962" s="130">
        <v>957</v>
      </c>
      <c r="L962" s="108">
        <v>-6.4138851672051107</v>
      </c>
      <c r="M962" s="107">
        <v>0.32133212647203235</v>
      </c>
      <c r="N962" s="96">
        <v>0.36469150497754227</v>
      </c>
      <c r="O962" s="96">
        <v>1.5892825312931229</v>
      </c>
      <c r="P962" s="132">
        <v>24.900754900364436</v>
      </c>
      <c r="W962" s="115">
        <f t="shared" si="28"/>
        <v>24.900754900364436</v>
      </c>
    </row>
    <row r="963" spans="11:23">
      <c r="K963" s="130">
        <v>958</v>
      </c>
      <c r="L963" s="108">
        <v>8.1831894949374711</v>
      </c>
      <c r="M963" s="107">
        <v>0.32813826654273592</v>
      </c>
      <c r="N963" s="96">
        <v>0.30099991968712847</v>
      </c>
      <c r="O963" s="96">
        <v>1.4022166678049754</v>
      </c>
      <c r="P963" s="132">
        <v>9.3190749918718634</v>
      </c>
      <c r="W963" s="115">
        <f t="shared" si="28"/>
        <v>9.3190749918718634</v>
      </c>
    </row>
    <row r="964" spans="11:23">
      <c r="K964" s="130">
        <v>959</v>
      </c>
      <c r="L964" s="108">
        <v>7.9822902896501926</v>
      </c>
      <c r="M964" s="107">
        <v>0.32230864380086716</v>
      </c>
      <c r="N964" s="96">
        <v>0.2854813590240135</v>
      </c>
      <c r="O964" s="96">
        <v>1.5657505221995414</v>
      </c>
      <c r="P964" s="132">
        <v>11.187496041249419</v>
      </c>
      <c r="W964" s="115">
        <f t="shared" si="28"/>
        <v>11.187496041249419</v>
      </c>
    </row>
    <row r="965" spans="11:23">
      <c r="K965" s="130">
        <v>960</v>
      </c>
      <c r="L965" s="108">
        <v>-1.8988091007362118</v>
      </c>
      <c r="M965" s="107">
        <v>0.33363075777335172</v>
      </c>
      <c r="N965" s="96">
        <v>0.23871454081836457</v>
      </c>
      <c r="O965" s="96">
        <v>1.2347979365854758</v>
      </c>
      <c r="P965" s="132">
        <v>0.27089807608913991</v>
      </c>
      <c r="W965" s="115">
        <f t="shared" si="28"/>
        <v>0.27089807608913991</v>
      </c>
    </row>
    <row r="966" spans="11:23">
      <c r="K966" s="130">
        <v>961</v>
      </c>
      <c r="L966" s="108">
        <v>1.423651602573609</v>
      </c>
      <c r="M966" s="107">
        <v>0.33476748365337439</v>
      </c>
      <c r="N966" s="96">
        <v>0.29782921067092916</v>
      </c>
      <c r="O966" s="96">
        <v>0.92453268288411983</v>
      </c>
      <c r="P966" s="132">
        <v>0.1831404066884299</v>
      </c>
      <c r="W966" s="115">
        <f t="shared" ref="W966:W1005" si="29">P966</f>
        <v>0.1831404066884299</v>
      </c>
    </row>
    <row r="967" spans="11:23">
      <c r="K967" s="130">
        <v>962</v>
      </c>
      <c r="L967" s="108">
        <v>16.023171771716271</v>
      </c>
      <c r="M967" s="107">
        <v>0.33647575041075711</v>
      </c>
      <c r="N967" s="96">
        <v>0.2548941372824009</v>
      </c>
      <c r="O967" s="96">
        <v>1.4641554996217627</v>
      </c>
      <c r="P967" s="132">
        <v>3.6768485723369935</v>
      </c>
      <c r="W967" s="115">
        <f t="shared" si="29"/>
        <v>3.6768485723369935</v>
      </c>
    </row>
    <row r="968" spans="11:23">
      <c r="K968" s="130">
        <v>963</v>
      </c>
      <c r="L968" s="108">
        <v>-0.42281199071451248</v>
      </c>
      <c r="M968" s="107">
        <v>0.32911286417425567</v>
      </c>
      <c r="N968" s="96">
        <v>0.36750942980890877</v>
      </c>
      <c r="O968" s="96">
        <v>1.332612698436751</v>
      </c>
      <c r="P968" s="132">
        <v>16.76481113744136</v>
      </c>
      <c r="W968" s="115">
        <f t="shared" si="29"/>
        <v>16.76481113744136</v>
      </c>
    </row>
    <row r="969" spans="11:23">
      <c r="K969" s="130">
        <v>964</v>
      </c>
      <c r="L969" s="108">
        <v>1.1620799638077728</v>
      </c>
      <c r="M969" s="107">
        <v>0.33134101041875702</v>
      </c>
      <c r="N969" s="96">
        <v>0.28119124026074199</v>
      </c>
      <c r="O969" s="96">
        <v>1.0255328926951011</v>
      </c>
      <c r="P969" s="132">
        <v>0.24831808444355072</v>
      </c>
      <c r="W969" s="115">
        <f t="shared" si="29"/>
        <v>0.24831808444355072</v>
      </c>
    </row>
    <row r="970" spans="11:23">
      <c r="K970" s="130">
        <v>965</v>
      </c>
      <c r="L970" s="108">
        <v>-3.0288781411639287</v>
      </c>
      <c r="M970" s="107">
        <v>0.35225462467428142</v>
      </c>
      <c r="N970" s="96">
        <v>0.29888914254567311</v>
      </c>
      <c r="O970" s="96">
        <v>1.076973582021028</v>
      </c>
      <c r="P970" s="132">
        <v>0.34308064677196598</v>
      </c>
      <c r="W970" s="115">
        <f t="shared" si="29"/>
        <v>0.34308064677196598</v>
      </c>
    </row>
    <row r="971" spans="11:23">
      <c r="K971" s="130">
        <v>966</v>
      </c>
      <c r="L971" s="108">
        <v>3.0516340513302467</v>
      </c>
      <c r="M971" s="107">
        <v>0.32071466760652378</v>
      </c>
      <c r="N971" s="96">
        <v>0.29511311419591713</v>
      </c>
      <c r="O971" s="96">
        <v>1.0741447127867148</v>
      </c>
      <c r="P971" s="132">
        <v>0.99253902632824542</v>
      </c>
      <c r="W971" s="115">
        <f t="shared" si="29"/>
        <v>0.99253902632824542</v>
      </c>
    </row>
    <row r="972" spans="11:23">
      <c r="K972" s="130">
        <v>967</v>
      </c>
      <c r="L972" s="108">
        <v>-6.0081150633888196</v>
      </c>
      <c r="M972" s="107">
        <v>0.30271454834707251</v>
      </c>
      <c r="N972" s="96">
        <v>0.2851016175100356</v>
      </c>
      <c r="O972" s="96">
        <v>1.4035494509529716</v>
      </c>
      <c r="P972" s="132">
        <v>10.148454165642377</v>
      </c>
      <c r="W972" s="115">
        <f t="shared" si="29"/>
        <v>10.148454165642377</v>
      </c>
    </row>
    <row r="973" spans="11:23">
      <c r="K973" s="130">
        <v>968</v>
      </c>
      <c r="L973" s="108">
        <v>-6.2634036799160331</v>
      </c>
      <c r="M973" s="107">
        <v>0.31955822739617556</v>
      </c>
      <c r="N973" s="96">
        <v>0.29572713190040872</v>
      </c>
      <c r="O973" s="96">
        <v>1.4933197452026608</v>
      </c>
      <c r="P973" s="132">
        <v>11.53483012314182</v>
      </c>
      <c r="W973" s="115">
        <f t="shared" si="29"/>
        <v>11.53483012314182</v>
      </c>
    </row>
    <row r="974" spans="11:23">
      <c r="K974" s="130">
        <v>969</v>
      </c>
      <c r="L974" s="108">
        <v>-4.1951321541452637</v>
      </c>
      <c r="M974" s="107">
        <v>0.33219325843902997</v>
      </c>
      <c r="N974" s="96">
        <v>0.28437904789084806</v>
      </c>
      <c r="O974" s="96">
        <v>1.576404021107279</v>
      </c>
      <c r="P974" s="132">
        <v>10.167710298750416</v>
      </c>
      <c r="W974" s="115">
        <f t="shared" si="29"/>
        <v>10.167710298750416</v>
      </c>
    </row>
    <row r="975" spans="11:23">
      <c r="K975" s="130">
        <v>970</v>
      </c>
      <c r="L975" s="108">
        <v>0.22718938455094162</v>
      </c>
      <c r="M975" s="107">
        <v>0.34506320382825967</v>
      </c>
      <c r="N975" s="96">
        <v>0.24455289960219595</v>
      </c>
      <c r="O975" s="96">
        <v>1.5058984259369121</v>
      </c>
      <c r="P975" s="132">
        <v>2.4686448049201575</v>
      </c>
      <c r="W975" s="115">
        <f t="shared" si="29"/>
        <v>2.4686448049201575</v>
      </c>
    </row>
    <row r="976" spans="11:23">
      <c r="K976" s="130">
        <v>971</v>
      </c>
      <c r="L976" s="108">
        <v>-11.892591923149602</v>
      </c>
      <c r="M976" s="107">
        <v>0.32427151548647115</v>
      </c>
      <c r="N976" s="96">
        <v>0.30260332734212952</v>
      </c>
      <c r="O976" s="96">
        <v>1.2158666270413945</v>
      </c>
      <c r="P976" s="132">
        <v>5.2049524782295826</v>
      </c>
      <c r="W976" s="115">
        <f t="shared" si="29"/>
        <v>5.2049524782295826</v>
      </c>
    </row>
    <row r="977" spans="11:23">
      <c r="K977" s="130">
        <v>972</v>
      </c>
      <c r="L977" s="108">
        <v>1.5881949415203707</v>
      </c>
      <c r="M977" s="107">
        <v>0.32419915596296817</v>
      </c>
      <c r="N977" s="96">
        <v>0.30062076841537094</v>
      </c>
      <c r="O977" s="96">
        <v>1.146289519530777</v>
      </c>
      <c r="P977" s="132">
        <v>2.9333575925239219</v>
      </c>
      <c r="W977" s="115">
        <f t="shared" si="29"/>
        <v>2.9333575925239219</v>
      </c>
    </row>
    <row r="978" spans="11:23">
      <c r="K978" s="130">
        <v>973</v>
      </c>
      <c r="L978" s="108">
        <v>-10.720159716693535</v>
      </c>
      <c r="M978" s="107">
        <v>0.35043858258887695</v>
      </c>
      <c r="N978" s="96">
        <v>0.3230193575560093</v>
      </c>
      <c r="O978" s="96">
        <v>1.1830909502496654</v>
      </c>
      <c r="P978" s="132">
        <v>3.8478438681927098</v>
      </c>
      <c r="W978" s="115">
        <f t="shared" si="29"/>
        <v>3.8478438681927098</v>
      </c>
    </row>
    <row r="979" spans="11:23">
      <c r="K979" s="130">
        <v>974</v>
      </c>
      <c r="L979" s="108">
        <v>5.9069602143296427</v>
      </c>
      <c r="M979" s="107">
        <v>0.31484408530224067</v>
      </c>
      <c r="N979" s="96">
        <v>0.32777505294546855</v>
      </c>
      <c r="O979" s="96">
        <v>1.3939438680351619</v>
      </c>
      <c r="P979" s="132">
        <v>14.492031111484522</v>
      </c>
      <c r="W979" s="115">
        <f t="shared" si="29"/>
        <v>14.492031111484522</v>
      </c>
    </row>
    <row r="980" spans="11:23">
      <c r="K980" s="130">
        <v>975</v>
      </c>
      <c r="L980" s="108">
        <v>-7.8220854183016932</v>
      </c>
      <c r="M980" s="107">
        <v>0.32784159166011212</v>
      </c>
      <c r="N980" s="96">
        <v>0.28092223413207101</v>
      </c>
      <c r="O980" s="96">
        <v>1.2938198326404367</v>
      </c>
      <c r="P980" s="132">
        <v>4.0762583709092599</v>
      </c>
      <c r="W980" s="115">
        <f t="shared" si="29"/>
        <v>4.0762583709092599</v>
      </c>
    </row>
    <row r="981" spans="11:23">
      <c r="K981" s="130">
        <v>976</v>
      </c>
      <c r="L981" s="108">
        <v>8.0414534471277701</v>
      </c>
      <c r="M981" s="107">
        <v>0.31361611244344978</v>
      </c>
      <c r="N981" s="96">
        <v>0.28813016902446897</v>
      </c>
      <c r="O981" s="96">
        <v>1.0409413381448991</v>
      </c>
      <c r="P981" s="132">
        <v>0.61246233409590112</v>
      </c>
      <c r="W981" s="115">
        <f t="shared" si="29"/>
        <v>0.61246233409590112</v>
      </c>
    </row>
    <row r="982" spans="11:23">
      <c r="K982" s="130">
        <v>977</v>
      </c>
      <c r="L982" s="108">
        <v>5.7225907816062707</v>
      </c>
      <c r="M982" s="107">
        <v>0.33079350166982879</v>
      </c>
      <c r="N982" s="96">
        <v>0.30178933731611601</v>
      </c>
      <c r="O982" s="96">
        <v>1.400384046978433</v>
      </c>
      <c r="P982" s="132">
        <v>9.0805305198720134</v>
      </c>
      <c r="W982" s="115">
        <f t="shared" si="29"/>
        <v>9.0805305198720134</v>
      </c>
    </row>
    <row r="983" spans="11:23">
      <c r="K983" s="130">
        <v>978</v>
      </c>
      <c r="L983" s="108">
        <v>4.8974132702148445</v>
      </c>
      <c r="M983" s="107">
        <v>0.33789851291836137</v>
      </c>
      <c r="N983" s="96">
        <v>0.24880310942229544</v>
      </c>
      <c r="O983" s="96">
        <v>1.2917179123089446</v>
      </c>
      <c r="P983" s="132">
        <v>0.5278618671339611</v>
      </c>
      <c r="W983" s="115">
        <f t="shared" si="29"/>
        <v>0.5278618671339611</v>
      </c>
    </row>
    <row r="984" spans="11:23">
      <c r="K984" s="130">
        <v>979</v>
      </c>
      <c r="L984" s="108">
        <v>-7.0685005511018835</v>
      </c>
      <c r="M984" s="107">
        <v>0.33249835777194831</v>
      </c>
      <c r="N984" s="96">
        <v>0.25580375182544995</v>
      </c>
      <c r="O984" s="96">
        <v>1.3707873653846661</v>
      </c>
      <c r="P984" s="132">
        <v>2.3055497385482449</v>
      </c>
      <c r="W984" s="115">
        <f t="shared" si="29"/>
        <v>2.3055497385482449</v>
      </c>
    </row>
    <row r="985" spans="11:23">
      <c r="K985" s="130">
        <v>980</v>
      </c>
      <c r="L985" s="108">
        <v>-8.949231657398613</v>
      </c>
      <c r="M985" s="107">
        <v>0.34627514600076637</v>
      </c>
      <c r="N985" s="96">
        <v>0.3119416895753539</v>
      </c>
      <c r="O985" s="96">
        <v>1.2773724672389752</v>
      </c>
      <c r="P985" s="132">
        <v>5.6117242950486013</v>
      </c>
      <c r="W985" s="115">
        <f t="shared" si="29"/>
        <v>5.6117242950486013</v>
      </c>
    </row>
    <row r="986" spans="11:23">
      <c r="K986" s="130">
        <v>981</v>
      </c>
      <c r="L986" s="108">
        <v>-6.3068396489162</v>
      </c>
      <c r="M986" s="107">
        <v>0.31879384956137163</v>
      </c>
      <c r="N986" s="96">
        <v>0.3311218757608082</v>
      </c>
      <c r="O986" s="96">
        <v>0.98940015234749246</v>
      </c>
      <c r="P986" s="132">
        <v>2.028709686891601</v>
      </c>
      <c r="W986" s="115">
        <f t="shared" si="29"/>
        <v>2.028709686891601</v>
      </c>
    </row>
    <row r="987" spans="11:23">
      <c r="K987" s="130">
        <v>982</v>
      </c>
      <c r="L987" s="108">
        <v>5.6612667326240365</v>
      </c>
      <c r="M987" s="107">
        <v>0.33842315457862265</v>
      </c>
      <c r="N987" s="96">
        <v>0.30544233502772322</v>
      </c>
      <c r="O987" s="96">
        <v>1.4041209451626488</v>
      </c>
      <c r="P987" s="132">
        <v>8.7990127609426061</v>
      </c>
      <c r="W987" s="115">
        <f t="shared" si="29"/>
        <v>8.7990127609426061</v>
      </c>
    </row>
    <row r="988" spans="11:23">
      <c r="K988" s="130">
        <v>983</v>
      </c>
      <c r="L988" s="108">
        <v>9.1186765977711115</v>
      </c>
      <c r="M988" s="107">
        <v>0.32582361028349216</v>
      </c>
      <c r="N988" s="96">
        <v>0.30164234590621142</v>
      </c>
      <c r="O988" s="96">
        <v>1.5575193630699797</v>
      </c>
      <c r="P988" s="132">
        <v>12.920439152990477</v>
      </c>
      <c r="W988" s="115">
        <f t="shared" si="29"/>
        <v>12.920439152990477</v>
      </c>
    </row>
    <row r="989" spans="11:23">
      <c r="K989" s="130">
        <v>984</v>
      </c>
      <c r="L989" s="108">
        <v>-2.4484670542150475</v>
      </c>
      <c r="M989" s="107">
        <v>0.326509450336605</v>
      </c>
      <c r="N989" s="96">
        <v>0.25914006300085846</v>
      </c>
      <c r="O989" s="96">
        <v>1.1621559010322569</v>
      </c>
      <c r="P989" s="132">
        <v>0.39074054221654569</v>
      </c>
      <c r="W989" s="115">
        <f t="shared" si="29"/>
        <v>0.39074054221654569</v>
      </c>
    </row>
    <row r="990" spans="11:23">
      <c r="K990" s="130">
        <v>985</v>
      </c>
      <c r="L990" s="108">
        <v>4.5690660915459365</v>
      </c>
      <c r="M990" s="107">
        <v>0.3233642154881049</v>
      </c>
      <c r="N990" s="96">
        <v>0.3125003550754914</v>
      </c>
      <c r="O990" s="96">
        <v>1.0178427902651017</v>
      </c>
      <c r="P990" s="132">
        <v>0.93034820911726479</v>
      </c>
      <c r="W990" s="115">
        <f t="shared" si="29"/>
        <v>0.93034820911726479</v>
      </c>
    </row>
    <row r="991" spans="11:23">
      <c r="K991" s="130">
        <v>986</v>
      </c>
      <c r="L991" s="108">
        <v>-7.2553690110005666</v>
      </c>
      <c r="M991" s="107">
        <v>0.30983542797466385</v>
      </c>
      <c r="N991" s="96">
        <v>0.29190756552192904</v>
      </c>
      <c r="O991" s="96">
        <v>1.1088476798901115</v>
      </c>
      <c r="P991" s="132">
        <v>2.3918335735390537</v>
      </c>
      <c r="W991" s="115">
        <f t="shared" si="29"/>
        <v>2.3918335735390537</v>
      </c>
    </row>
    <row r="992" spans="11:23">
      <c r="K992" s="130">
        <v>987</v>
      </c>
      <c r="L992" s="108">
        <v>1.1296715995751554</v>
      </c>
      <c r="M992" s="107">
        <v>0.32390755760320816</v>
      </c>
      <c r="N992" s="96">
        <v>0.28727268231704067</v>
      </c>
      <c r="O992" s="96">
        <v>1.3018152272631762</v>
      </c>
      <c r="P992" s="132">
        <v>5.5340304987438076</v>
      </c>
      <c r="W992" s="115">
        <f t="shared" si="29"/>
        <v>5.5340304987438076</v>
      </c>
    </row>
    <row r="993" spans="11:23">
      <c r="K993" s="130">
        <v>988</v>
      </c>
      <c r="L993" s="108">
        <v>4.3204985480195353</v>
      </c>
      <c r="M993" s="107">
        <v>0.33341603848405094</v>
      </c>
      <c r="N993" s="96">
        <v>0.27763922441351857</v>
      </c>
      <c r="O993" s="96">
        <v>1.3986309233993925</v>
      </c>
      <c r="P993" s="132">
        <v>5.5254804279192617</v>
      </c>
      <c r="W993" s="115">
        <f t="shared" si="29"/>
        <v>5.5254804279192617</v>
      </c>
    </row>
    <row r="994" spans="11:23">
      <c r="K994" s="130">
        <v>989</v>
      </c>
      <c r="L994" s="108">
        <v>-3.7403520904221512</v>
      </c>
      <c r="M994" s="107">
        <v>0.32104024723555918</v>
      </c>
      <c r="N994" s="96">
        <v>0.30246527767131981</v>
      </c>
      <c r="O994" s="96">
        <v>1.4600351588370684</v>
      </c>
      <c r="P994" s="132">
        <v>11.619009961341455</v>
      </c>
      <c r="W994" s="115">
        <f t="shared" si="29"/>
        <v>11.619009961341455</v>
      </c>
    </row>
    <row r="995" spans="11:23">
      <c r="K995" s="130">
        <v>990</v>
      </c>
      <c r="L995" s="108">
        <v>-3.2690022986929725</v>
      </c>
      <c r="M995" s="107">
        <v>0.32496255648510647</v>
      </c>
      <c r="N995" s="96">
        <v>0.31645322753264848</v>
      </c>
      <c r="O995" s="96">
        <v>1.4984322504647449</v>
      </c>
      <c r="P995" s="132">
        <v>13.940281745667299</v>
      </c>
      <c r="W995" s="115">
        <f t="shared" si="29"/>
        <v>13.940281745667299</v>
      </c>
    </row>
    <row r="996" spans="11:23">
      <c r="K996" s="130">
        <v>991</v>
      </c>
      <c r="L996" s="108">
        <v>13.954098613014196</v>
      </c>
      <c r="M996" s="107">
        <v>0.32752027753381696</v>
      </c>
      <c r="N996" s="96">
        <v>0.29392408886785071</v>
      </c>
      <c r="O996" s="96">
        <v>1.4428501924119834</v>
      </c>
      <c r="P996" s="132">
        <v>9.322926701183917</v>
      </c>
      <c r="W996" s="115">
        <f t="shared" si="29"/>
        <v>9.322926701183917</v>
      </c>
    </row>
    <row r="997" spans="11:23">
      <c r="K997" s="130">
        <v>992</v>
      </c>
      <c r="L997" s="108">
        <v>-6.7736754785149262</v>
      </c>
      <c r="M997" s="107">
        <v>0.33421919747242007</v>
      </c>
      <c r="N997" s="96">
        <v>0.31555524244936867</v>
      </c>
      <c r="O997" s="96">
        <v>1.4136638365550334</v>
      </c>
      <c r="P997" s="132">
        <v>10.867841738115061</v>
      </c>
      <c r="W997" s="115">
        <f t="shared" si="29"/>
        <v>10.867841738115061</v>
      </c>
    </row>
    <row r="998" spans="11:23">
      <c r="K998" s="130">
        <v>993</v>
      </c>
      <c r="L998" s="108">
        <v>1.7553381183083894</v>
      </c>
      <c r="M998" s="107">
        <v>0.33829623149273153</v>
      </c>
      <c r="N998" s="96">
        <v>0.29007843372280384</v>
      </c>
      <c r="O998" s="96">
        <v>1.3919230177910105</v>
      </c>
      <c r="P998" s="132">
        <v>6.491406538573349</v>
      </c>
      <c r="W998" s="115">
        <f t="shared" si="29"/>
        <v>6.491406538573349</v>
      </c>
    </row>
    <row r="999" spans="11:23">
      <c r="K999" s="130">
        <v>994</v>
      </c>
      <c r="L999" s="108">
        <v>-5.4369529878039442</v>
      </c>
      <c r="M999" s="107">
        <v>0.32206988649450674</v>
      </c>
      <c r="N999" s="96">
        <v>0.28381781691075225</v>
      </c>
      <c r="O999" s="96">
        <v>1.1476920406717488</v>
      </c>
      <c r="P999" s="132">
        <v>1.4163814300604642</v>
      </c>
      <c r="W999" s="115">
        <f t="shared" si="29"/>
        <v>1.4163814300604642</v>
      </c>
    </row>
    <row r="1000" spans="11:23">
      <c r="K1000" s="130">
        <v>995</v>
      </c>
      <c r="L1000" s="108">
        <v>0.25812106233484494</v>
      </c>
      <c r="M1000" s="107">
        <v>0.32555377677457475</v>
      </c>
      <c r="N1000" s="96">
        <v>0.24415243576425733</v>
      </c>
      <c r="O1000" s="96">
        <v>1.1986491114380087</v>
      </c>
      <c r="P1000" s="132">
        <v>0.3129188570949214</v>
      </c>
      <c r="W1000" s="115">
        <f t="shared" si="29"/>
        <v>0.3129188570949214</v>
      </c>
    </row>
    <row r="1001" spans="11:23">
      <c r="K1001" s="130">
        <v>996</v>
      </c>
      <c r="L1001" s="108">
        <v>2.9807770260971331</v>
      </c>
      <c r="M1001" s="107">
        <v>0.34425680385517637</v>
      </c>
      <c r="N1001" s="96">
        <v>0.28607230102907222</v>
      </c>
      <c r="O1001" s="96">
        <v>0.68704709612031711</v>
      </c>
      <c r="P1001" s="132">
        <v>7.7196323718509083E-2</v>
      </c>
      <c r="W1001" s="115">
        <f t="shared" si="29"/>
        <v>7.7196323718509083E-2</v>
      </c>
    </row>
    <row r="1002" spans="11:23">
      <c r="K1002" s="130">
        <v>997</v>
      </c>
      <c r="L1002" s="108">
        <v>8.7812458542628029</v>
      </c>
      <c r="M1002" s="107">
        <v>0.32275970323496844</v>
      </c>
      <c r="N1002" s="96">
        <v>0.31639659093077999</v>
      </c>
      <c r="O1002" s="96">
        <v>1.2243259491948202</v>
      </c>
      <c r="P1002" s="132">
        <v>7.4772205359748138</v>
      </c>
      <c r="W1002" s="115">
        <f t="shared" si="29"/>
        <v>7.4772205359748138</v>
      </c>
    </row>
    <row r="1003" spans="11:23">
      <c r="K1003" s="130">
        <v>998</v>
      </c>
      <c r="L1003" s="108">
        <v>7.0709126494507633</v>
      </c>
      <c r="M1003" s="107">
        <v>0.31949841574064902</v>
      </c>
      <c r="N1003" s="96">
        <v>0.3390819013956039</v>
      </c>
      <c r="O1003" s="96">
        <v>1.0011896760835455</v>
      </c>
      <c r="P1003" s="132">
        <v>3.2693264275823632</v>
      </c>
      <c r="W1003" s="115">
        <f t="shared" si="29"/>
        <v>3.2693264275823632</v>
      </c>
    </row>
    <row r="1004" spans="11:23">
      <c r="K1004" s="130">
        <v>999</v>
      </c>
      <c r="L1004" s="108">
        <v>-5.0838196944845002</v>
      </c>
      <c r="M1004" s="107">
        <v>0.32011318987086523</v>
      </c>
      <c r="N1004" s="96">
        <v>0.3089409881036802</v>
      </c>
      <c r="O1004" s="96">
        <v>1.3878431655940777</v>
      </c>
      <c r="P1004" s="132">
        <v>11.034329968677691</v>
      </c>
      <c r="W1004" s="115">
        <f t="shared" si="29"/>
        <v>11.034329968677691</v>
      </c>
    </row>
    <row r="1005" spans="11:23" ht="15" thickBot="1">
      <c r="K1005" s="133">
        <v>1000</v>
      </c>
      <c r="L1005" s="134">
        <v>-11.007135857623226</v>
      </c>
      <c r="M1005" s="135">
        <v>0.33903774762475547</v>
      </c>
      <c r="N1005" s="136">
        <v>0.34383605831938224</v>
      </c>
      <c r="O1005" s="136">
        <v>1.5361556794713702</v>
      </c>
      <c r="P1005" s="137">
        <v>17.221595321349533</v>
      </c>
      <c r="W1005" s="116">
        <f t="shared" si="29"/>
        <v>17.221595321349533</v>
      </c>
    </row>
  </sheetData>
  <hyperlinks>
    <hyperlink ref="B15" r:id="rId1" xr:uid="{00000000-0004-0000-0700-000000000000}"/>
    <hyperlink ref="B13" r:id="rId2" xr:uid="{00000000-0004-0000-0700-000001000000}"/>
  </hyperlinks>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U50"/>
  <sheetViews>
    <sheetView topLeftCell="A25" workbookViewId="0">
      <selection activeCell="A51" sqref="A51"/>
    </sheetView>
  </sheetViews>
  <sheetFormatPr defaultRowHeight="13.2"/>
  <cols>
    <col min="1" max="1" width="5.88671875" customWidth="1"/>
    <col min="2" max="2" width="8.6640625" customWidth="1"/>
    <col min="3" max="3" width="5" customWidth="1"/>
    <col min="4" max="4" width="9.88671875" bestFit="1" customWidth="1"/>
    <col min="5" max="5" width="3.44140625" customWidth="1"/>
    <col min="6" max="6" width="5" customWidth="1"/>
    <col min="7" max="7" width="11.5546875" customWidth="1"/>
    <col min="8" max="8" width="8.6640625" customWidth="1"/>
    <col min="9" max="9" width="4.5546875" customWidth="1"/>
    <col min="10" max="10" width="4.6640625" customWidth="1"/>
    <col min="11" max="11" width="12.33203125" customWidth="1"/>
    <col min="12" max="12" width="9.109375" customWidth="1"/>
    <col min="13" max="13" width="12" customWidth="1"/>
    <col min="14" max="14" width="8.5546875" style="10" customWidth="1"/>
    <col min="15" max="15" width="13.6640625" customWidth="1"/>
    <col min="18" max="18" width="11.33203125" bestFit="1" customWidth="1"/>
    <col min="19" max="19" width="9.44140625" bestFit="1" customWidth="1"/>
  </cols>
  <sheetData>
    <row r="1" spans="1:21">
      <c r="A1" s="12" t="s">
        <v>0</v>
      </c>
      <c r="B1" s="91" t="s">
        <v>141</v>
      </c>
      <c r="C1" s="13" t="s">
        <v>9</v>
      </c>
      <c r="D1" s="13" t="s">
        <v>142</v>
      </c>
      <c r="E1" s="13" t="s">
        <v>13</v>
      </c>
      <c r="F1" s="14" t="s">
        <v>14</v>
      </c>
      <c r="G1" s="14" t="s">
        <v>15</v>
      </c>
      <c r="H1" s="14" t="s">
        <v>79</v>
      </c>
      <c r="I1" s="14" t="s">
        <v>91</v>
      </c>
      <c r="J1" s="14" t="s">
        <v>92</v>
      </c>
      <c r="K1" s="14" t="s">
        <v>94</v>
      </c>
      <c r="L1" s="14" t="s">
        <v>104</v>
      </c>
      <c r="M1" s="14" t="s">
        <v>105</v>
      </c>
      <c r="N1" s="14" t="s">
        <v>29</v>
      </c>
      <c r="O1" s="37" t="s">
        <v>2</v>
      </c>
      <c r="P1" s="56">
        <v>157756</v>
      </c>
      <c r="Q1" s="52" t="s">
        <v>11</v>
      </c>
      <c r="R1" s="48" t="s">
        <v>4</v>
      </c>
      <c r="S1" s="48">
        <v>3</v>
      </c>
      <c r="T1" s="1" t="s">
        <v>1</v>
      </c>
      <c r="U1" s="15" t="s">
        <v>26</v>
      </c>
    </row>
    <row r="2" spans="1:21">
      <c r="A2" s="5">
        <v>0</v>
      </c>
      <c r="B2" s="5">
        <v>3</v>
      </c>
      <c r="C2" s="4">
        <f>S0</f>
        <v>63101.200000000004</v>
      </c>
      <c r="D2" s="4">
        <f>I0</f>
        <v>3</v>
      </c>
      <c r="E2" s="4">
        <f>(B2-D2)^2</f>
        <v>0</v>
      </c>
      <c r="F2" s="4">
        <v>0</v>
      </c>
      <c r="G2" s="6">
        <f t="shared" ref="G2:G33" si="0">b*C2/N</f>
        <v>2.5777520797819342</v>
      </c>
      <c r="H2" s="6">
        <f>-B2-E2</f>
        <v>-3</v>
      </c>
      <c r="I2" s="6">
        <f>D2-$P$9</f>
        <v>-28.09706315682752</v>
      </c>
      <c r="J2" s="6">
        <f>D2+$P$9</f>
        <v>34.097063156827517</v>
      </c>
      <c r="K2" s="6">
        <f>(B2-$P$13)^2</f>
        <v>51162.140618079895</v>
      </c>
      <c r="L2" s="9">
        <v>0</v>
      </c>
      <c r="M2" s="9">
        <v>0</v>
      </c>
      <c r="N2" s="9"/>
      <c r="O2" s="39" t="s">
        <v>3</v>
      </c>
      <c r="P2" s="57">
        <f>(P1-S1)*(S2)</f>
        <v>63101.200000000004</v>
      </c>
      <c r="Q2" s="54" t="s">
        <v>12</v>
      </c>
      <c r="R2" s="43" t="s">
        <v>80</v>
      </c>
      <c r="S2" s="58">
        <v>0.4</v>
      </c>
    </row>
    <row r="3" spans="1:21">
      <c r="A3" s="5">
        <f>A2+1</f>
        <v>1</v>
      </c>
      <c r="B3" s="5">
        <v>2</v>
      </c>
      <c r="C3" s="4">
        <f t="shared" ref="C3:C50" si="1">C2-(b/N)*C2*D2</f>
        <v>63093.466743760655</v>
      </c>
      <c r="D3" s="4">
        <f t="shared" ref="D3:D50" si="2">(1-g)*D2+(b/N)*C2*D2</f>
        <v>4.4375133651224017</v>
      </c>
      <c r="E3" s="4">
        <f t="shared" ref="E3:E50" si="3">(B3-D3)^2</f>
        <v>5.9414714051503346</v>
      </c>
      <c r="F3" s="4">
        <f t="shared" ref="F3:F50" si="4">F2+g*D2</f>
        <v>6.295742874223401</v>
      </c>
      <c r="G3" s="6">
        <f t="shared" si="0"/>
        <v>2.5774361679236102</v>
      </c>
      <c r="H3" s="6">
        <f t="shared" ref="H3:H50" si="5">-B3-E3</f>
        <v>-7.9414714051503346</v>
      </c>
      <c r="I3" s="6">
        <f t="shared" ref="I3:I50" si="6">D3-$P$9</f>
        <v>-26.659549791705118</v>
      </c>
      <c r="J3" s="6">
        <f t="shared" ref="J3:J50" si="7">D3+$P$9</f>
        <v>35.534576521949923</v>
      </c>
      <c r="K3" s="6">
        <f t="shared" ref="K3:K50" si="8">(B3-$P$13)^2</f>
        <v>51615.521610687145</v>
      </c>
      <c r="L3" s="9">
        <f t="shared" ref="L3:L50" si="9">-C2*D2/N</f>
        <v>-1.1999771799487817</v>
      </c>
      <c r="M3" s="9">
        <f>D2</f>
        <v>3</v>
      </c>
      <c r="N3" s="9"/>
      <c r="O3" s="41" t="s">
        <v>110</v>
      </c>
      <c r="P3" s="41" t="s">
        <v>109</v>
      </c>
      <c r="Q3" s="41" t="s">
        <v>108</v>
      </c>
      <c r="R3" s="41" t="s">
        <v>106</v>
      </c>
      <c r="S3" s="45" t="s">
        <v>107</v>
      </c>
    </row>
    <row r="4" spans="1:21">
      <c r="A4" s="5">
        <f t="shared" ref="A4:A18" si="10">A3+1</f>
        <v>2</v>
      </c>
      <c r="B4" s="5">
        <v>7</v>
      </c>
      <c r="C4" s="4">
        <f t="shared" si="1"/>
        <v>63082.029336317741</v>
      </c>
      <c r="D4" s="4">
        <f t="shared" si="2"/>
        <v>6.5624397587864669</v>
      </c>
      <c r="E4" s="4">
        <f t="shared" si="3"/>
        <v>0.19145896469084528</v>
      </c>
      <c r="F4" s="4">
        <f t="shared" si="4"/>
        <v>15.608223923470224</v>
      </c>
      <c r="G4" s="6">
        <f t="shared" si="0"/>
        <v>2.5769689374933922</v>
      </c>
      <c r="H4" s="6">
        <f t="shared" si="5"/>
        <v>-7.1914589646908453</v>
      </c>
      <c r="I4" s="6">
        <f t="shared" si="6"/>
        <v>-24.534623398041052</v>
      </c>
      <c r="J4" s="6">
        <f t="shared" si="7"/>
        <v>37.659502915613984</v>
      </c>
      <c r="K4" s="6">
        <f t="shared" si="8"/>
        <v>49368.616647650902</v>
      </c>
      <c r="L4" s="9">
        <f t="shared" si="9"/>
        <v>-1.7747540627763363</v>
      </c>
      <c r="M4" s="9">
        <f t="shared" ref="M4:M50" si="11">D3</f>
        <v>4.4375133651224017</v>
      </c>
      <c r="N4" s="11" t="s">
        <v>30</v>
      </c>
      <c r="O4" s="46" t="s">
        <v>7</v>
      </c>
      <c r="P4" s="59">
        <v>6.4445027526905792</v>
      </c>
      <c r="Q4" s="60">
        <f>(P6*ABS(P16))^0.5</f>
        <v>3.3838357335532194</v>
      </c>
      <c r="R4" s="60">
        <f>b/Q4</f>
        <v>1.9044963349693946</v>
      </c>
      <c r="S4" s="60">
        <f>1-_xlfn.T.DIST(R4,$P$7,TRUE)</f>
        <v>3.1488093470816714E-2</v>
      </c>
    </row>
    <row r="5" spans="1:21">
      <c r="A5" s="5">
        <f t="shared" si="10"/>
        <v>3</v>
      </c>
      <c r="B5" s="5">
        <v>12</v>
      </c>
      <c r="C5" s="4">
        <f t="shared" si="1"/>
        <v>63065.118132905176</v>
      </c>
      <c r="D5" s="4">
        <f t="shared" si="2"/>
        <v>9.701832055050744</v>
      </c>
      <c r="E5" s="4">
        <f t="shared" si="3"/>
        <v>5.2815759031922864</v>
      </c>
      <c r="F5" s="4">
        <f t="shared" si="4"/>
        <v>29.380035039770302</v>
      </c>
      <c r="G5" s="6">
        <f t="shared" si="0"/>
        <v>2.576278096593879</v>
      </c>
      <c r="H5" s="6">
        <f t="shared" si="5"/>
        <v>-17.281575903192287</v>
      </c>
      <c r="I5" s="6">
        <f t="shared" si="6"/>
        <v>-21.395231101776776</v>
      </c>
      <c r="J5" s="6">
        <f t="shared" si="7"/>
        <v>40.798895211878261</v>
      </c>
      <c r="K5" s="6">
        <f t="shared" si="8"/>
        <v>47171.71168461466</v>
      </c>
      <c r="L5" s="9">
        <f t="shared" si="9"/>
        <v>-2.6241285110017105</v>
      </c>
      <c r="M5" s="9">
        <f t="shared" si="11"/>
        <v>6.5624397587864669</v>
      </c>
      <c r="N5" s="11" t="s">
        <v>30</v>
      </c>
      <c r="O5" s="47" t="s">
        <v>8</v>
      </c>
      <c r="P5" s="61">
        <v>2.098580958074467</v>
      </c>
      <c r="Q5" s="62">
        <f>(ABS(Q17)*P6)^0.5</f>
        <v>1.1017002624735868</v>
      </c>
      <c r="R5" s="62">
        <f>g/Q5</f>
        <v>1.9048565472451091</v>
      </c>
      <c r="S5" s="62">
        <f>1-_xlfn.T.DIST(R5,$P$7,TRUE)</f>
        <v>3.1464095666642322E-2</v>
      </c>
    </row>
    <row r="6" spans="1:21">
      <c r="A6" s="5">
        <f t="shared" si="10"/>
        <v>4</v>
      </c>
      <c r="B6" s="5">
        <v>9</v>
      </c>
      <c r="C6" s="4">
        <f t="shared" si="1"/>
        <v>63040.123515484913</v>
      </c>
      <c r="D6" s="4">
        <f t="shared" si="2"/>
        <v>14.33636946614439</v>
      </c>
      <c r="E6" s="4">
        <f t="shared" si="3"/>
        <v>28.476839079198164</v>
      </c>
      <c r="F6" s="4">
        <f t="shared" si="4"/>
        <v>49.740115048936268</v>
      </c>
      <c r="G6" s="6">
        <f t="shared" si="0"/>
        <v>2.5752570395135312</v>
      </c>
      <c r="H6" s="6">
        <f t="shared" si="5"/>
        <v>-37.476839079198164</v>
      </c>
      <c r="I6" s="6">
        <f t="shared" si="6"/>
        <v>-16.76069369068313</v>
      </c>
      <c r="J6" s="6">
        <f t="shared" si="7"/>
        <v>45.433432622971907</v>
      </c>
      <c r="K6" s="6">
        <f t="shared" si="8"/>
        <v>48483.854662436403</v>
      </c>
      <c r="L6" s="9">
        <f t="shared" si="9"/>
        <v>-3.8784400254657911</v>
      </c>
      <c r="M6" s="9">
        <f t="shared" si="11"/>
        <v>9.701832055050744</v>
      </c>
      <c r="N6" s="11" t="s">
        <v>31</v>
      </c>
      <c r="O6" s="41" t="s">
        <v>86</v>
      </c>
      <c r="P6" s="49">
        <f>SQRT(SUM(D2:D50)/P7)</f>
        <v>15.457790378329443</v>
      </c>
      <c r="R6" s="41" t="s">
        <v>115</v>
      </c>
      <c r="S6" s="41" t="s">
        <v>107</v>
      </c>
      <c r="T6" s="1"/>
    </row>
    <row r="7" spans="1:21">
      <c r="A7" s="5">
        <f t="shared" si="10"/>
        <v>5</v>
      </c>
      <c r="B7" s="5">
        <v>10</v>
      </c>
      <c r="C7" s="4">
        <f t="shared" si="1"/>
        <v>63003.203679096157</v>
      </c>
      <c r="D7" s="4">
        <f t="shared" si="2"/>
        <v>21.170173885328747</v>
      </c>
      <c r="E7" s="4">
        <f t="shared" si="3"/>
        <v>124.77278462848032</v>
      </c>
      <c r="F7" s="4">
        <f t="shared" si="4"/>
        <v>79.8261470185071</v>
      </c>
      <c r="G7" s="6">
        <f t="shared" si="0"/>
        <v>2.5737488243760009</v>
      </c>
      <c r="H7" s="6">
        <f t="shared" si="5"/>
        <v>-134.77278462848034</v>
      </c>
      <c r="I7" s="6">
        <f t="shared" si="6"/>
        <v>-9.9268892714987729</v>
      </c>
      <c r="J7" s="6">
        <f t="shared" si="7"/>
        <v>52.267237042156268</v>
      </c>
      <c r="K7" s="6">
        <f t="shared" si="8"/>
        <v>48044.47366982916</v>
      </c>
      <c r="L7" s="9">
        <f t="shared" si="9"/>
        <v>-5.7288882952747846</v>
      </c>
      <c r="M7" s="9">
        <f t="shared" si="11"/>
        <v>14.33636946614439</v>
      </c>
      <c r="N7" s="9"/>
      <c r="O7" s="41" t="s">
        <v>90</v>
      </c>
      <c r="P7" s="44">
        <f>COUNT(B2:B50)-COUNT(P4:P5)</f>
        <v>47</v>
      </c>
      <c r="R7" s="66">
        <f>(SUM(K2:K50)-SUM(E2:E50))/(SUM(E2:E50)/P7)</f>
        <v>2595.4320531364974</v>
      </c>
      <c r="S7" s="66">
        <f>1-_xlfn.F.DIST(R7,1,P7,TRUE)</f>
        <v>0</v>
      </c>
    </row>
    <row r="8" spans="1:21">
      <c r="A8" s="5">
        <f t="shared" si="10"/>
        <v>6</v>
      </c>
      <c r="B8" s="5">
        <v>27</v>
      </c>
      <c r="C8" s="4">
        <f t="shared" si="1"/>
        <v>62948.716968946959</v>
      </c>
      <c r="D8" s="4">
        <f t="shared" si="2"/>
        <v>31.229560239652862</v>
      </c>
      <c r="E8" s="4">
        <f t="shared" si="3"/>
        <v>17.889179820852377</v>
      </c>
      <c r="F8" s="4">
        <f t="shared" si="4"/>
        <v>124.25347081338336</v>
      </c>
      <c r="G8" s="6">
        <f t="shared" si="0"/>
        <v>2.5715229834980531</v>
      </c>
      <c r="H8" s="6">
        <f t="shared" si="5"/>
        <v>-44.889179820852377</v>
      </c>
      <c r="I8" s="6">
        <f t="shared" si="6"/>
        <v>0.13249708282534201</v>
      </c>
      <c r="J8" s="6">
        <f t="shared" si="7"/>
        <v>62.326623396480386</v>
      </c>
      <c r="K8" s="6">
        <f t="shared" si="8"/>
        <v>40880.996795505926</v>
      </c>
      <c r="L8" s="9">
        <f t="shared" si="9"/>
        <v>-8.4547578362740534</v>
      </c>
      <c r="M8" s="9">
        <f t="shared" si="11"/>
        <v>21.170173885328747</v>
      </c>
      <c r="N8" s="9"/>
      <c r="O8" s="41" t="s">
        <v>93</v>
      </c>
      <c r="P8" s="50">
        <v>0.05</v>
      </c>
    </row>
    <row r="9" spans="1:21">
      <c r="A9" s="5">
        <f t="shared" si="10"/>
        <v>7</v>
      </c>
      <c r="B9" s="5">
        <v>21</v>
      </c>
      <c r="C9" s="4">
        <f t="shared" si="1"/>
        <v>62868.409437026152</v>
      </c>
      <c r="D9" s="4">
        <f t="shared" si="2"/>
        <v>45.999331712482189</v>
      </c>
      <c r="E9" s="4">
        <f t="shared" si="3"/>
        <v>624.96658607071765</v>
      </c>
      <c r="F9" s="4">
        <f t="shared" si="4"/>
        <v>189.79123126135835</v>
      </c>
      <c r="G9" s="6">
        <f t="shared" si="0"/>
        <v>2.568242334200876</v>
      </c>
      <c r="H9" s="6">
        <f t="shared" si="5"/>
        <v>-645.96658607071765</v>
      </c>
      <c r="I9" s="6">
        <f t="shared" si="6"/>
        <v>14.902268555654668</v>
      </c>
      <c r="J9" s="6">
        <f t="shared" si="7"/>
        <v>77.096394869309705</v>
      </c>
      <c r="K9" s="6">
        <f t="shared" si="8"/>
        <v>43343.282751149418</v>
      </c>
      <c r="L9" s="9">
        <f t="shared" si="9"/>
        <v>-12.461400825265521</v>
      </c>
      <c r="M9" s="9">
        <f t="shared" si="11"/>
        <v>31.229560239652862</v>
      </c>
      <c r="N9" s="9"/>
      <c r="O9" s="41" t="s">
        <v>87</v>
      </c>
      <c r="P9" s="66">
        <f>P6*TINV(P8,P7)</f>
        <v>31.09706315682752</v>
      </c>
      <c r="Q9" s="1"/>
      <c r="S9" s="21"/>
    </row>
    <row r="10" spans="1:21">
      <c r="A10" s="5">
        <f t="shared" si="10"/>
        <v>8</v>
      </c>
      <c r="B10" s="5">
        <v>36</v>
      </c>
      <c r="C10" s="4">
        <f t="shared" si="1"/>
        <v>62750.272005977204</v>
      </c>
      <c r="D10" s="4">
        <f t="shared" si="2"/>
        <v>67.603441145461773</v>
      </c>
      <c r="E10" s="4">
        <f t="shared" si="3"/>
        <v>998.77749223466606</v>
      </c>
      <c r="F10" s="4">
        <f t="shared" si="4"/>
        <v>286.32455287732444</v>
      </c>
      <c r="G10" s="6">
        <f t="shared" si="0"/>
        <v>2.5634162927216884</v>
      </c>
      <c r="H10" s="6">
        <f t="shared" si="5"/>
        <v>-1034.7774922346662</v>
      </c>
      <c r="I10" s="6">
        <f t="shared" si="6"/>
        <v>36.506377988634256</v>
      </c>
      <c r="J10" s="6">
        <f t="shared" si="7"/>
        <v>98.700504302289289</v>
      </c>
      <c r="K10" s="6">
        <f t="shared" si="8"/>
        <v>37322.567862040691</v>
      </c>
      <c r="L10" s="9">
        <f t="shared" si="9"/>
        <v>-18.331504474821319</v>
      </c>
      <c r="M10" s="9">
        <f t="shared" si="11"/>
        <v>45.999331712482189</v>
      </c>
      <c r="N10" s="9"/>
      <c r="O10" s="41" t="s">
        <v>88</v>
      </c>
      <c r="P10" s="51">
        <f>1-SUM(E2:E50)/SUM(K2:K50)</f>
        <v>0.98221335532763754</v>
      </c>
      <c r="Q10" s="1"/>
    </row>
    <row r="11" spans="1:21">
      <c r="A11" s="5">
        <f t="shared" si="10"/>
        <v>9</v>
      </c>
      <c r="B11" s="5">
        <v>63</v>
      </c>
      <c r="C11" s="4">
        <f t="shared" si="1"/>
        <v>62576.976243500874</v>
      </c>
      <c r="D11" s="4">
        <f t="shared" si="2"/>
        <v>99.027909333616222</v>
      </c>
      <c r="E11" s="4">
        <f t="shared" si="3"/>
        <v>1298.0102509512708</v>
      </c>
      <c r="F11" s="4">
        <f t="shared" si="4"/>
        <v>428.19584716549844</v>
      </c>
      <c r="G11" s="6">
        <f t="shared" si="0"/>
        <v>2.5563369739109407</v>
      </c>
      <c r="H11" s="6">
        <f t="shared" si="5"/>
        <v>-1361.0102509512708</v>
      </c>
      <c r="I11" s="6">
        <f t="shared" si="6"/>
        <v>67.930846176788705</v>
      </c>
      <c r="J11" s="6">
        <f t="shared" si="7"/>
        <v>130.12497249044375</v>
      </c>
      <c r="K11" s="6">
        <f t="shared" si="8"/>
        <v>27619.281061644975</v>
      </c>
      <c r="L11" s="9">
        <f t="shared" si="9"/>
        <v>-26.890478463055587</v>
      </c>
      <c r="M11" s="9">
        <f t="shared" si="11"/>
        <v>67.603441145461773</v>
      </c>
      <c r="N11" s="9"/>
      <c r="O11" s="21" t="s">
        <v>112</v>
      </c>
      <c r="Q11" s="1"/>
    </row>
    <row r="12" spans="1:21">
      <c r="A12" s="5">
        <f t="shared" si="10"/>
        <v>10</v>
      </c>
      <c r="B12" s="5">
        <v>108</v>
      </c>
      <c r="C12" s="4">
        <f t="shared" si="1"/>
        <v>62323.82753742225</v>
      </c>
      <c r="D12" s="4">
        <f t="shared" si="2"/>
        <v>144.35853056678792</v>
      </c>
      <c r="E12" s="4">
        <f t="shared" si="3"/>
        <v>1321.9427449760515</v>
      </c>
      <c r="F12" s="4">
        <f t="shared" si="4"/>
        <v>636.01393201095016</v>
      </c>
      <c r="G12" s="6">
        <f t="shared" si="0"/>
        <v>2.5459955762261379</v>
      </c>
      <c r="H12" s="6">
        <f t="shared" si="5"/>
        <v>-1429.9427449760515</v>
      </c>
      <c r="I12" s="6">
        <f t="shared" si="6"/>
        <v>113.2614674099604</v>
      </c>
      <c r="J12" s="6">
        <f t="shared" si="7"/>
        <v>175.45559372361544</v>
      </c>
      <c r="K12" s="6">
        <f t="shared" si="8"/>
        <v>14687.136394318786</v>
      </c>
      <c r="L12" s="9">
        <f t="shared" si="9"/>
        <v>-39.281340359880197</v>
      </c>
      <c r="M12" s="9">
        <f t="shared" si="11"/>
        <v>99.027909333616222</v>
      </c>
      <c r="N12" s="9"/>
      <c r="O12" s="21" t="s">
        <v>102</v>
      </c>
      <c r="P12" s="36">
        <f>-AVERAGE(C2:C50)*AVERAGE(D2:D50)/'2013US'!N</f>
        <v>-775.01294912006301</v>
      </c>
      <c r="Q12" s="36">
        <f>AVERAGE(L2:L50)</f>
        <v>-74.623846792145073</v>
      </c>
    </row>
    <row r="13" spans="1:21">
      <c r="A13" s="5">
        <f t="shared" si="10"/>
        <v>11</v>
      </c>
      <c r="B13" s="5">
        <v>255</v>
      </c>
      <c r="C13" s="4">
        <f t="shared" si="1"/>
        <v>61956.291357208705</v>
      </c>
      <c r="D13" s="4">
        <f t="shared" si="2"/>
        <v>208.94664739726366</v>
      </c>
      <c r="E13" s="4">
        <f t="shared" si="3"/>
        <v>2120.9112859519619</v>
      </c>
      <c r="F13" s="4">
        <f t="shared" si="4"/>
        <v>938.9619953940221</v>
      </c>
      <c r="G13" s="6">
        <f t="shared" si="0"/>
        <v>2.5309813268467196</v>
      </c>
      <c r="H13" s="6">
        <f t="shared" si="5"/>
        <v>-2375.9112859519619</v>
      </c>
      <c r="I13" s="6">
        <f t="shared" si="6"/>
        <v>177.84958424043614</v>
      </c>
      <c r="J13" s="6">
        <f t="shared" si="7"/>
        <v>240.04371055409118</v>
      </c>
      <c r="K13" s="6">
        <f t="shared" si="8"/>
        <v>666.13048105322866</v>
      </c>
      <c r="L13" s="9">
        <f t="shared" si="9"/>
        <v>-57.030960233526393</v>
      </c>
      <c r="M13" s="9">
        <f t="shared" si="11"/>
        <v>144.35853056678792</v>
      </c>
      <c r="N13" s="9"/>
      <c r="O13" s="21" t="s">
        <v>103</v>
      </c>
      <c r="P13" s="34">
        <f>AVERAGE(D2:D50)</f>
        <v>229.19049630362434</v>
      </c>
      <c r="Q13" s="36">
        <f>AVERAGE(M2:M50)</f>
        <v>229.19049561520188</v>
      </c>
      <c r="R13" s="21" t="s">
        <v>114</v>
      </c>
    </row>
    <row r="14" spans="1:21">
      <c r="A14" s="5">
        <f t="shared" si="10"/>
        <v>12</v>
      </c>
      <c r="B14" s="5">
        <v>472</v>
      </c>
      <c r="C14" s="4">
        <f t="shared" si="1"/>
        <v>61427.451294339007</v>
      </c>
      <c r="D14" s="4">
        <f t="shared" si="2"/>
        <v>299.29525478556627</v>
      </c>
      <c r="E14" s="4">
        <f t="shared" si="3"/>
        <v>29826.929019582469</v>
      </c>
      <c r="F14" s="4">
        <f t="shared" si="4"/>
        <v>1377.4534508754195</v>
      </c>
      <c r="G14" s="6">
        <f t="shared" si="0"/>
        <v>2.5093776398814258</v>
      </c>
      <c r="H14" s="6">
        <f t="shared" si="5"/>
        <v>-30298.929019582469</v>
      </c>
      <c r="I14" s="6">
        <f t="shared" si="6"/>
        <v>268.19819162873875</v>
      </c>
      <c r="J14" s="6">
        <f t="shared" si="7"/>
        <v>330.39231794239379</v>
      </c>
      <c r="K14" s="6">
        <f t="shared" si="8"/>
        <v>58956.455085280264</v>
      </c>
      <c r="L14" s="9">
        <f t="shared" si="9"/>
        <v>-82.060646595101431</v>
      </c>
      <c r="M14" s="9">
        <f t="shared" si="11"/>
        <v>208.94664739726366</v>
      </c>
      <c r="N14" s="9"/>
      <c r="O14" s="21" t="s">
        <v>111</v>
      </c>
      <c r="P14">
        <f t="array" ref="P14:Q15">MMULT(Q12:Q13,TRANSPOSE(Q12:Q13))</f>
        <v>5568.7185100575407</v>
      </c>
      <c r="Q14">
        <v>-17103.076431004622</v>
      </c>
      <c r="R14">
        <f>INT(P14)</f>
        <v>5568</v>
      </c>
      <c r="S14">
        <f>INT(Q14)</f>
        <v>-17104</v>
      </c>
    </row>
    <row r="15" spans="1:21">
      <c r="A15" s="5">
        <f t="shared" si="10"/>
        <v>13</v>
      </c>
      <c r="B15" s="5">
        <v>675</v>
      </c>
      <c r="C15" s="4">
        <f t="shared" si="1"/>
        <v>60676.406474257492</v>
      </c>
      <c r="D15" s="4">
        <f t="shared" si="2"/>
        <v>422.24475233204521</v>
      </c>
      <c r="E15" s="4">
        <f t="shared" si="3"/>
        <v>63885.215223689163</v>
      </c>
      <c r="F15" s="4">
        <f t="shared" si="4"/>
        <v>2005.5487734104549</v>
      </c>
      <c r="G15" s="6">
        <f t="shared" si="0"/>
        <v>2.478696648918107</v>
      </c>
      <c r="H15" s="6">
        <f t="shared" si="5"/>
        <v>-64560.215223689163</v>
      </c>
      <c r="I15" s="6">
        <f t="shared" si="6"/>
        <v>391.14768917521769</v>
      </c>
      <c r="J15" s="6">
        <f t="shared" si="7"/>
        <v>453.34181548887273</v>
      </c>
      <c r="K15" s="6">
        <f t="shared" si="8"/>
        <v>198746.11358600878</v>
      </c>
      <c r="L15" s="9">
        <f t="shared" si="9"/>
        <v>-116.54038316112955</v>
      </c>
      <c r="M15" s="9">
        <f t="shared" si="11"/>
        <v>299.29525478556627</v>
      </c>
      <c r="N15" s="9"/>
      <c r="P15">
        <v>-17103.076431004622</v>
      </c>
      <c r="Q15">
        <v>52528.283280341871</v>
      </c>
      <c r="R15">
        <f>INT(P15)</f>
        <v>-17104</v>
      </c>
      <c r="S15">
        <f>INT(Q15)</f>
        <v>52528</v>
      </c>
    </row>
    <row r="16" spans="1:21">
      <c r="A16" s="5">
        <f t="shared" si="10"/>
        <v>14</v>
      </c>
      <c r="B16" s="5">
        <v>580</v>
      </c>
      <c r="C16" s="4">
        <f t="shared" si="1"/>
        <v>59629.789821628794</v>
      </c>
      <c r="D16" s="4">
        <f t="shared" si="2"/>
        <v>582.7466080698423</v>
      </c>
      <c r="E16" s="4">
        <f t="shared" si="3"/>
        <v>7.5438558893228205</v>
      </c>
      <c r="F16" s="4">
        <f t="shared" si="4"/>
        <v>2891.6635703013544</v>
      </c>
      <c r="G16" s="6">
        <f t="shared" si="0"/>
        <v>2.4359412297969487</v>
      </c>
      <c r="H16" s="6">
        <f t="shared" si="5"/>
        <v>-587.5438558893228</v>
      </c>
      <c r="I16" s="6">
        <f t="shared" si="6"/>
        <v>551.64954491301478</v>
      </c>
      <c r="J16" s="6">
        <f t="shared" si="7"/>
        <v>613.84367122666981</v>
      </c>
      <c r="K16" s="6">
        <f t="shared" si="8"/>
        <v>123067.3078836974</v>
      </c>
      <c r="L16" s="9">
        <f t="shared" si="9"/>
        <v>-162.40456289536598</v>
      </c>
      <c r="M16" s="9">
        <f t="shared" si="11"/>
        <v>422.24475233204521</v>
      </c>
      <c r="N16" s="9"/>
      <c r="O16" s="21" t="s">
        <v>113</v>
      </c>
      <c r="P16">
        <f t="array" ref="P16:Q17">MINVERSE(R14:S15)</f>
        <v>-0.74074909747282502</v>
      </c>
      <c r="Q16">
        <v>-0.24120036101079806</v>
      </c>
    </row>
    <row r="17" spans="1:17">
      <c r="A17" s="5">
        <f t="shared" si="10"/>
        <v>15</v>
      </c>
      <c r="B17" s="5">
        <v>844</v>
      </c>
      <c r="C17" s="4">
        <f t="shared" si="1"/>
        <v>58210.253332507142</v>
      </c>
      <c r="D17" s="4">
        <f t="shared" si="2"/>
        <v>779.34216211363878</v>
      </c>
      <c r="E17" s="4">
        <f t="shared" si="3"/>
        <v>4180.6360001389685</v>
      </c>
      <c r="F17" s="4">
        <f t="shared" si="4"/>
        <v>4114.6045053792095</v>
      </c>
      <c r="G17" s="6">
        <f t="shared" si="0"/>
        <v>2.3779516331306461</v>
      </c>
      <c r="H17" s="6">
        <f t="shared" si="5"/>
        <v>-5024.6360001389685</v>
      </c>
      <c r="I17" s="6">
        <f t="shared" si="6"/>
        <v>748.24509895681126</v>
      </c>
      <c r="J17" s="6">
        <f t="shared" si="7"/>
        <v>810.4392252704663</v>
      </c>
      <c r="K17" s="6">
        <f t="shared" si="8"/>
        <v>377990.72583538381</v>
      </c>
      <c r="L17" s="9">
        <f t="shared" si="9"/>
        <v>-220.27091051035643</v>
      </c>
      <c r="M17" s="9">
        <f t="shared" si="11"/>
        <v>582.7466080698423</v>
      </c>
      <c r="N17" s="9"/>
      <c r="O17" s="21"/>
      <c r="P17">
        <v>-0.24120036101079806</v>
      </c>
      <c r="Q17">
        <v>-7.851985559565737E-2</v>
      </c>
    </row>
    <row r="18" spans="1:17">
      <c r="A18" s="5">
        <f t="shared" si="10"/>
        <v>16</v>
      </c>
      <c r="B18" s="5">
        <v>974</v>
      </c>
      <c r="C18" s="4">
        <f t="shared" si="1"/>
        <v>56357.015365341445</v>
      </c>
      <c r="D18" s="4">
        <f t="shared" si="2"/>
        <v>997.06750804306841</v>
      </c>
      <c r="E18" s="4">
        <f t="shared" si="3"/>
        <v>532.10992731702595</v>
      </c>
      <c r="F18" s="4">
        <f t="shared" si="4"/>
        <v>5750.1171266154761</v>
      </c>
      <c r="G18" s="6">
        <f t="shared" si="0"/>
        <v>2.3022448633038883</v>
      </c>
      <c r="H18" s="6">
        <f t="shared" si="5"/>
        <v>-1506.1099273170259</v>
      </c>
      <c r="I18" s="6">
        <f t="shared" si="6"/>
        <v>965.9704448862409</v>
      </c>
      <c r="J18" s="6">
        <f t="shared" si="7"/>
        <v>1028.164571199896</v>
      </c>
      <c r="K18" s="6">
        <f t="shared" si="8"/>
        <v>554741.19679644145</v>
      </c>
      <c r="L18" s="9">
        <f t="shared" si="9"/>
        <v>-287.56880682407495</v>
      </c>
      <c r="M18" s="9">
        <f t="shared" si="11"/>
        <v>779.34216211363878</v>
      </c>
      <c r="N18" s="9"/>
    </row>
    <row r="19" spans="1:17">
      <c r="A19" s="5">
        <f>A18+1</f>
        <v>17</v>
      </c>
      <c r="B19" s="5">
        <v>1096</v>
      </c>
      <c r="C19" s="4">
        <f t="shared" si="1"/>
        <v>54061.521816582084</v>
      </c>
      <c r="D19" s="4">
        <f t="shared" si="2"/>
        <v>1200.1341705084872</v>
      </c>
      <c r="E19" s="4">
        <f t="shared" si="3"/>
        <v>10843.925467490677</v>
      </c>
      <c r="F19" s="4">
        <f t="shared" si="4"/>
        <v>7842.5440129094204</v>
      </c>
      <c r="G19" s="6">
        <f t="shared" si="0"/>
        <v>2.2084714759603759</v>
      </c>
      <c r="H19" s="6">
        <f t="shared" si="5"/>
        <v>-11939.925467490677</v>
      </c>
      <c r="I19" s="6">
        <f t="shared" si="6"/>
        <v>1169.0371073516596</v>
      </c>
      <c r="J19" s="6">
        <f t="shared" si="7"/>
        <v>1231.2312336653147</v>
      </c>
      <c r="K19" s="6">
        <f t="shared" si="8"/>
        <v>751358.71569835721</v>
      </c>
      <c r="L19" s="9">
        <f t="shared" si="9"/>
        <v>-356.19405202379568</v>
      </c>
      <c r="M19" s="9">
        <f t="shared" si="11"/>
        <v>997.06750804306841</v>
      </c>
      <c r="N19" s="9"/>
      <c r="O19" s="1" t="s">
        <v>16</v>
      </c>
      <c r="P19" s="8"/>
    </row>
    <row r="20" spans="1:17">
      <c r="A20" s="5">
        <f t="shared" ref="A20:A35" si="12">A19+1</f>
        <v>18</v>
      </c>
      <c r="B20" s="5">
        <v>1354</v>
      </c>
      <c r="C20" s="4">
        <f t="shared" si="1"/>
        <v>51411.059733688722</v>
      </c>
      <c r="D20" s="4">
        <f t="shared" si="2"/>
        <v>1332.0175360382402</v>
      </c>
      <c r="E20" s="4">
        <f t="shared" si="3"/>
        <v>483.22872183006734</v>
      </c>
      <c r="F20" s="4">
        <f t="shared" si="4"/>
        <v>10361.122730273028</v>
      </c>
      <c r="G20" s="6">
        <f t="shared" si="0"/>
        <v>2.1001972411350236</v>
      </c>
      <c r="H20" s="6">
        <f t="shared" si="5"/>
        <v>-1837.2287218300673</v>
      </c>
      <c r="I20" s="6">
        <f t="shared" si="6"/>
        <v>1300.9204728814127</v>
      </c>
      <c r="J20" s="6">
        <f t="shared" si="7"/>
        <v>1363.1145991950677</v>
      </c>
      <c r="K20" s="6">
        <f t="shared" si="8"/>
        <v>1265196.419605687</v>
      </c>
      <c r="L20" s="9">
        <f t="shared" si="9"/>
        <v>-411.27487792394726</v>
      </c>
      <c r="M20" s="9">
        <f t="shared" si="11"/>
        <v>1200.1341705084872</v>
      </c>
      <c r="N20" s="11" t="s">
        <v>12</v>
      </c>
      <c r="O20" s="1" t="s">
        <v>17</v>
      </c>
      <c r="P20" s="7"/>
    </row>
    <row r="21" spans="1:17">
      <c r="A21" s="5">
        <f t="shared" si="12"/>
        <v>19</v>
      </c>
      <c r="B21" s="5">
        <v>1335</v>
      </c>
      <c r="C21" s="4">
        <f t="shared" si="1"/>
        <v>48613.560179357737</v>
      </c>
      <c r="D21" s="4">
        <f t="shared" si="2"/>
        <v>1334.1704534181033</v>
      </c>
      <c r="E21" s="4">
        <f t="shared" si="3"/>
        <v>0.68814753153648711</v>
      </c>
      <c r="F21" s="4">
        <f t="shared" si="4"/>
        <v>13156.469367224148</v>
      </c>
      <c r="G21" s="6">
        <f t="shared" si="0"/>
        <v>1.9859163670095594</v>
      </c>
      <c r="H21" s="6">
        <f t="shared" si="5"/>
        <v>-1335.6881475315365</v>
      </c>
      <c r="I21" s="6">
        <f t="shared" si="6"/>
        <v>1303.0733902612758</v>
      </c>
      <c r="J21" s="6">
        <f t="shared" si="7"/>
        <v>1365.2675165749308</v>
      </c>
      <c r="K21" s="6">
        <f t="shared" si="8"/>
        <v>1222814.6584652248</v>
      </c>
      <c r="L21" s="9">
        <f t="shared" si="9"/>
        <v>-434.09083085006495</v>
      </c>
      <c r="M21" s="9">
        <f t="shared" si="11"/>
        <v>1332.0175360382402</v>
      </c>
      <c r="N21" s="11" t="s">
        <v>32</v>
      </c>
      <c r="O21" s="1" t="s">
        <v>19</v>
      </c>
    </row>
    <row r="22" spans="1:17">
      <c r="A22" s="5">
        <f t="shared" si="12"/>
        <v>20</v>
      </c>
      <c r="B22" s="5">
        <v>1109</v>
      </c>
      <c r="C22" s="4">
        <f t="shared" si="1"/>
        <v>45964.009239534163</v>
      </c>
      <c r="D22" s="4">
        <f t="shared" si="2"/>
        <v>1183.8566848728703</v>
      </c>
      <c r="E22" s="4">
        <f t="shared" si="3"/>
        <v>5603.5232701562163</v>
      </c>
      <c r="F22" s="4">
        <f t="shared" si="4"/>
        <v>15956.334075592957</v>
      </c>
      <c r="G22" s="6">
        <f t="shared" si="0"/>
        <v>1.8776793533613498</v>
      </c>
      <c r="H22" s="6">
        <f t="shared" si="5"/>
        <v>-6712.5232701562163</v>
      </c>
      <c r="I22" s="6">
        <f t="shared" si="6"/>
        <v>1152.7596217160428</v>
      </c>
      <c r="J22" s="6">
        <f t="shared" si="7"/>
        <v>1214.9537480296979</v>
      </c>
      <c r="K22" s="6">
        <f t="shared" si="8"/>
        <v>774064.76279446296</v>
      </c>
      <c r="L22" s="9">
        <f t="shared" si="9"/>
        <v>-411.13349493370754</v>
      </c>
      <c r="M22" s="9">
        <f t="shared" si="11"/>
        <v>1334.1704534181033</v>
      </c>
      <c r="N22" s="11" t="s">
        <v>33</v>
      </c>
      <c r="O22" s="18" t="s">
        <v>25</v>
      </c>
    </row>
    <row r="23" spans="1:17">
      <c r="A23" s="5">
        <f t="shared" si="12"/>
        <v>21</v>
      </c>
      <c r="B23" s="5">
        <v>936</v>
      </c>
      <c r="C23" s="4">
        <f t="shared" si="1"/>
        <v>43741.105985009563</v>
      </c>
      <c r="D23" s="4">
        <f t="shared" si="2"/>
        <v>922.34084343410245</v>
      </c>
      <c r="E23" s="4">
        <f t="shared" si="3"/>
        <v>186.57255809170206</v>
      </c>
      <c r="F23" s="4">
        <f t="shared" si="4"/>
        <v>18440.753171556327</v>
      </c>
      <c r="G23" s="6">
        <f t="shared" si="0"/>
        <v>1.78687135783187</v>
      </c>
      <c r="H23" s="6">
        <f t="shared" si="5"/>
        <v>-1122.5725580917021</v>
      </c>
      <c r="I23" s="6">
        <f t="shared" si="6"/>
        <v>891.24378027727494</v>
      </c>
      <c r="J23" s="6">
        <f t="shared" si="7"/>
        <v>953.43790659092997</v>
      </c>
      <c r="K23" s="6">
        <f t="shared" si="8"/>
        <v>499579.67451551696</v>
      </c>
      <c r="L23" s="9">
        <f t="shared" si="9"/>
        <v>-344.9301427633871</v>
      </c>
      <c r="M23" s="9">
        <f t="shared" si="11"/>
        <v>1183.8566848728703</v>
      </c>
      <c r="N23" s="9"/>
    </row>
    <row r="24" spans="1:17">
      <c r="A24" s="5">
        <f t="shared" si="12"/>
        <v>22</v>
      </c>
      <c r="B24" s="5">
        <v>627</v>
      </c>
      <c r="C24" s="4">
        <f t="shared" si="1"/>
        <v>42093.001549718676</v>
      </c>
      <c r="D24" s="4">
        <f t="shared" si="2"/>
        <v>634.83834783983889</v>
      </c>
      <c r="E24" s="4">
        <f t="shared" si="3"/>
        <v>61.439696858306974</v>
      </c>
      <c r="F24" s="4">
        <f t="shared" si="4"/>
        <v>20376.360102441478</v>
      </c>
      <c r="G24" s="6">
        <f t="shared" si="0"/>
        <v>1.7195445140354142</v>
      </c>
      <c r="H24" s="6">
        <f t="shared" si="5"/>
        <v>-688.439696858307</v>
      </c>
      <c r="I24" s="6">
        <f t="shared" si="6"/>
        <v>603.74128468301137</v>
      </c>
      <c r="J24" s="6">
        <f t="shared" si="7"/>
        <v>665.93541099666641</v>
      </c>
      <c r="K24" s="6">
        <f t="shared" si="8"/>
        <v>158252.40123115672</v>
      </c>
      <c r="L24" s="9">
        <f t="shared" si="9"/>
        <v>-255.7380295326592</v>
      </c>
      <c r="M24" s="9">
        <f t="shared" si="11"/>
        <v>922.34084343410245</v>
      </c>
      <c r="N24" s="9"/>
      <c r="O24" s="11" t="s">
        <v>12</v>
      </c>
      <c r="P24" s="21" t="s">
        <v>95</v>
      </c>
    </row>
    <row r="25" spans="1:17">
      <c r="A25" s="5">
        <f t="shared" si="12"/>
        <v>23</v>
      </c>
      <c r="B25" s="5">
        <v>476</v>
      </c>
      <c r="C25" s="4">
        <f t="shared" si="1"/>
        <v>41001.368751391376</v>
      </c>
      <c r="D25" s="4">
        <f t="shared" si="2"/>
        <v>394.21147793499915</v>
      </c>
      <c r="E25" s="4">
        <f t="shared" si="3"/>
        <v>6689.3623415771308</v>
      </c>
      <c r="F25" s="4">
        <f t="shared" si="4"/>
        <v>21708.61977067362</v>
      </c>
      <c r="G25" s="6">
        <f t="shared" si="0"/>
        <v>1.6749501368088897</v>
      </c>
      <c r="H25" s="6">
        <f t="shared" si="5"/>
        <v>-7165.3623415771308</v>
      </c>
      <c r="I25" s="6">
        <f t="shared" si="6"/>
        <v>363.11441477817164</v>
      </c>
      <c r="J25" s="6">
        <f t="shared" si="7"/>
        <v>425.30854109182667</v>
      </c>
      <c r="K25" s="6">
        <f t="shared" si="8"/>
        <v>60914.931114851272</v>
      </c>
      <c r="L25" s="9">
        <f t="shared" si="9"/>
        <v>-169.38976368216223</v>
      </c>
      <c r="M25" s="9">
        <f t="shared" si="11"/>
        <v>634.83834783983889</v>
      </c>
      <c r="N25" s="9"/>
      <c r="O25" s="11" t="s">
        <v>32</v>
      </c>
      <c r="P25" s="21" t="s">
        <v>96</v>
      </c>
    </row>
    <row r="26" spans="1:17">
      <c r="A26" s="5">
        <f t="shared" si="12"/>
        <v>24</v>
      </c>
      <c r="B26" s="5">
        <v>295</v>
      </c>
      <c r="C26" s="4">
        <f t="shared" si="1"/>
        <v>40341.084182492516</v>
      </c>
      <c r="D26" s="4">
        <f t="shared" si="2"/>
        <v>227.21134578507855</v>
      </c>
      <c r="E26" s="4">
        <f t="shared" si="3"/>
        <v>4595.3016402701878</v>
      </c>
      <c r="F26" s="4">
        <f t="shared" si="4"/>
        <v>22535.904471722402</v>
      </c>
      <c r="G26" s="6">
        <f t="shared" si="0"/>
        <v>1.6479767999987032</v>
      </c>
      <c r="H26" s="6">
        <f t="shared" si="5"/>
        <v>-4890.3016402701878</v>
      </c>
      <c r="I26" s="6">
        <f t="shared" si="6"/>
        <v>196.11428262825103</v>
      </c>
      <c r="J26" s="6">
        <f t="shared" si="7"/>
        <v>258.30840894190607</v>
      </c>
      <c r="K26" s="6">
        <f t="shared" si="8"/>
        <v>4330.8907767632809</v>
      </c>
      <c r="L26" s="9">
        <f t="shared" si="9"/>
        <v>-102.45702333251278</v>
      </c>
      <c r="M26" s="9">
        <f t="shared" si="11"/>
        <v>394.21147793499915</v>
      </c>
      <c r="N26" s="9"/>
      <c r="O26" s="32" t="s">
        <v>75</v>
      </c>
      <c r="P26" s="21" t="s">
        <v>97</v>
      </c>
      <c r="Q26" s="9"/>
    </row>
    <row r="27" spans="1:17">
      <c r="A27" s="5">
        <f t="shared" si="12"/>
        <v>25</v>
      </c>
      <c r="B27" s="5">
        <v>164</v>
      </c>
      <c r="C27" s="4">
        <f t="shared" si="1"/>
        <v>39966.64515594222</v>
      </c>
      <c r="D27" s="4">
        <f t="shared" si="2"/>
        <v>124.82896861233198</v>
      </c>
      <c r="E27" s="4">
        <f t="shared" si="3"/>
        <v>1534.3696999736735</v>
      </c>
      <c r="F27" s="4">
        <f t="shared" si="4"/>
        <v>23012.725875445441</v>
      </c>
      <c r="G27" s="6">
        <f t="shared" si="0"/>
        <v>1.6326805619011462</v>
      </c>
      <c r="H27" s="6">
        <f t="shared" si="5"/>
        <v>-1698.3696999736735</v>
      </c>
      <c r="I27" s="6">
        <f t="shared" si="6"/>
        <v>93.73190545550446</v>
      </c>
      <c r="J27" s="6">
        <f t="shared" si="7"/>
        <v>155.92603176915949</v>
      </c>
      <c r="K27" s="6">
        <f t="shared" si="8"/>
        <v>4249.8008083128589</v>
      </c>
      <c r="L27" s="9">
        <f t="shared" si="9"/>
        <v>-58.102081870314095</v>
      </c>
      <c r="M27" s="9">
        <f t="shared" si="11"/>
        <v>227.21134578507855</v>
      </c>
      <c r="N27" s="9"/>
      <c r="O27" s="9"/>
    </row>
    <row r="28" spans="1:17">
      <c r="A28" s="5">
        <f t="shared" si="12"/>
        <v>26</v>
      </c>
      <c r="B28" s="5">
        <v>94</v>
      </c>
      <c r="C28" s="4">
        <f t="shared" si="1"/>
        <v>39762.839325326699</v>
      </c>
      <c r="D28" s="4">
        <f t="shared" si="2"/>
        <v>66.671102681939516</v>
      </c>
      <c r="E28" s="4">
        <f t="shared" si="3"/>
        <v>746.86862862109354</v>
      </c>
      <c r="F28" s="4">
        <f t="shared" si="4"/>
        <v>23274.689571991355</v>
      </c>
      <c r="G28" s="6">
        <f t="shared" si="0"/>
        <v>1.6243548738993199</v>
      </c>
      <c r="H28" s="6">
        <f t="shared" si="5"/>
        <v>-840.86862862109354</v>
      </c>
      <c r="I28" s="6">
        <f t="shared" si="6"/>
        <v>35.574039525111999</v>
      </c>
      <c r="J28" s="6">
        <f t="shared" si="7"/>
        <v>97.768165838767032</v>
      </c>
      <c r="K28" s="6">
        <f t="shared" si="8"/>
        <v>18276.470290820267</v>
      </c>
      <c r="L28" s="9">
        <f t="shared" si="9"/>
        <v>-31.624756546257011</v>
      </c>
      <c r="M28" s="9">
        <f t="shared" si="11"/>
        <v>124.82896861233198</v>
      </c>
      <c r="N28" s="9"/>
      <c r="O28" s="32" t="s">
        <v>100</v>
      </c>
      <c r="P28" s="21" t="s">
        <v>98</v>
      </c>
    </row>
    <row r="29" spans="1:17">
      <c r="A29" s="5">
        <f t="shared" si="12"/>
        <v>27</v>
      </c>
      <c r="B29" s="5">
        <v>37</v>
      </c>
      <c r="C29" s="4">
        <f t="shared" si="1"/>
        <v>39654.541794737052</v>
      </c>
      <c r="D29" s="4">
        <f t="shared" si="2"/>
        <v>35.0539267294442</v>
      </c>
      <c r="E29" s="4">
        <f t="shared" si="3"/>
        <v>3.7872011743717486</v>
      </c>
      <c r="F29" s="4">
        <f t="shared" si="4"/>
        <v>23414.604278533501</v>
      </c>
      <c r="G29" s="6">
        <f t="shared" si="0"/>
        <v>1.6199308029670285</v>
      </c>
      <c r="H29" s="6">
        <f t="shared" si="5"/>
        <v>-40.787201174371745</v>
      </c>
      <c r="I29" s="6">
        <f t="shared" si="6"/>
        <v>3.9568635726166796</v>
      </c>
      <c r="J29" s="6">
        <f t="shared" si="7"/>
        <v>66.150989886271717</v>
      </c>
      <c r="K29" s="6">
        <f t="shared" si="8"/>
        <v>36937.186869433441</v>
      </c>
      <c r="L29" s="9">
        <f t="shared" si="9"/>
        <v>-16.80463718390628</v>
      </c>
      <c r="M29" s="9">
        <f t="shared" si="11"/>
        <v>66.671102681939516</v>
      </c>
      <c r="N29" s="9"/>
      <c r="O29" s="32" t="s">
        <v>101</v>
      </c>
      <c r="P29" s="21" t="s">
        <v>99</v>
      </c>
    </row>
    <row r="30" spans="1:17">
      <c r="A30" s="5">
        <f t="shared" si="12"/>
        <v>28</v>
      </c>
      <c r="B30" s="5">
        <v>26</v>
      </c>
      <c r="C30" s="4">
        <f t="shared" si="1"/>
        <v>39597.756859063076</v>
      </c>
      <c r="D30" s="4">
        <f t="shared" si="2"/>
        <v>18.27535926327095</v>
      </c>
      <c r="E30" s="4">
        <f t="shared" si="3"/>
        <v>59.670074511533926</v>
      </c>
      <c r="F30" s="4">
        <f t="shared" si="4"/>
        <v>23488.167781673652</v>
      </c>
      <c r="G30" s="6">
        <f t="shared" si="0"/>
        <v>1.61761107709757</v>
      </c>
      <c r="H30" s="6">
        <f t="shared" si="5"/>
        <v>-85.670074511533926</v>
      </c>
      <c r="I30" s="6">
        <f t="shared" si="6"/>
        <v>-12.82170389355657</v>
      </c>
      <c r="J30" s="6">
        <f t="shared" si="7"/>
        <v>49.372422420098474</v>
      </c>
      <c r="K30" s="6">
        <f t="shared" si="8"/>
        <v>41286.377788113175</v>
      </c>
      <c r="L30" s="9">
        <f t="shared" si="9"/>
        <v>-8.8113758117751164</v>
      </c>
      <c r="M30" s="9">
        <f t="shared" si="11"/>
        <v>35.0539267294442</v>
      </c>
      <c r="N30" s="9"/>
    </row>
    <row r="31" spans="1:17">
      <c r="A31" s="5">
        <f t="shared" si="12"/>
        <v>29</v>
      </c>
      <c r="B31" s="5">
        <v>15</v>
      </c>
      <c r="C31" s="4">
        <f t="shared" si="1"/>
        <v>39568.194435480873</v>
      </c>
      <c r="D31" s="4">
        <f t="shared" si="2"/>
        <v>9.4854618936054891</v>
      </c>
      <c r="E31" s="4">
        <f t="shared" si="3"/>
        <v>30.410130526877158</v>
      </c>
      <c r="F31" s="4">
        <f t="shared" si="4"/>
        <v>23526.520102625524</v>
      </c>
      <c r="G31" s="6">
        <f t="shared" si="0"/>
        <v>1.6164034202087563</v>
      </c>
      <c r="H31" s="6">
        <f t="shared" si="5"/>
        <v>-45.410130526877154</v>
      </c>
      <c r="I31" s="6">
        <f t="shared" si="6"/>
        <v>-21.611601263222031</v>
      </c>
      <c r="J31" s="6">
        <f t="shared" si="7"/>
        <v>40.582525050433006</v>
      </c>
      <c r="K31" s="6">
        <f t="shared" si="8"/>
        <v>45877.56870679291</v>
      </c>
      <c r="L31" s="9">
        <f t="shared" si="9"/>
        <v>-4.587231120331583</v>
      </c>
      <c r="M31" s="9">
        <f t="shared" si="11"/>
        <v>18.27535926327095</v>
      </c>
      <c r="N31" s="9"/>
    </row>
    <row r="32" spans="1:17">
      <c r="A32" s="5">
        <f t="shared" si="12"/>
        <v>30</v>
      </c>
      <c r="B32" s="5">
        <v>8</v>
      </c>
      <c r="C32" s="4">
        <f t="shared" si="1"/>
        <v>39552.862102433792</v>
      </c>
      <c r="D32" s="4">
        <f t="shared" si="2"/>
        <v>4.9117852322277713</v>
      </c>
      <c r="E32" s="4">
        <f t="shared" si="3"/>
        <v>9.5370704518864802</v>
      </c>
      <c r="F32" s="4">
        <f t="shared" si="4"/>
        <v>23546.426112333986</v>
      </c>
      <c r="G32" s="6">
        <f t="shared" si="0"/>
        <v>1.6157770778666134</v>
      </c>
      <c r="H32" s="6">
        <f t="shared" si="5"/>
        <v>-17.537070451886478</v>
      </c>
      <c r="I32" s="6">
        <f t="shared" si="6"/>
        <v>-26.185277924599749</v>
      </c>
      <c r="J32" s="6">
        <f t="shared" si="7"/>
        <v>36.008848389055288</v>
      </c>
      <c r="K32" s="6">
        <f t="shared" si="8"/>
        <v>48925.235655043653</v>
      </c>
      <c r="L32" s="9">
        <f t="shared" si="9"/>
        <v>-2.3791336019962888</v>
      </c>
      <c r="M32" s="9">
        <f t="shared" si="11"/>
        <v>9.4854618936054891</v>
      </c>
      <c r="N32" s="9"/>
    </row>
    <row r="33" spans="1:14">
      <c r="A33" s="5">
        <f t="shared" si="12"/>
        <v>31</v>
      </c>
      <c r="B33" s="5">
        <v>5</v>
      </c>
      <c r="C33" s="4">
        <f t="shared" si="1"/>
        <v>39544.925752444156</v>
      </c>
      <c r="D33" s="4">
        <f t="shared" si="2"/>
        <v>2.5403562633605707</v>
      </c>
      <c r="E33" s="4">
        <f t="shared" si="3"/>
        <v>6.0498473111895743</v>
      </c>
      <c r="F33" s="4">
        <f t="shared" si="4"/>
        <v>23556.73389129249</v>
      </c>
      <c r="G33" s="6">
        <f t="shared" si="0"/>
        <v>1.6154528694095371</v>
      </c>
      <c r="H33" s="6">
        <f t="shared" si="5"/>
        <v>-11.049847311189573</v>
      </c>
      <c r="I33" s="6">
        <f t="shared" si="6"/>
        <v>-28.556706893466949</v>
      </c>
      <c r="J33" s="6">
        <f t="shared" si="7"/>
        <v>33.637419420188088</v>
      </c>
      <c r="K33" s="6">
        <f t="shared" si="8"/>
        <v>50261.378632865402</v>
      </c>
      <c r="L33" s="9">
        <f t="shared" si="9"/>
        <v>-1.2314914422720897</v>
      </c>
      <c r="M33" s="9">
        <f t="shared" si="11"/>
        <v>4.9117852322277713</v>
      </c>
      <c r="N33" s="9"/>
    </row>
    <row r="34" spans="1:14">
      <c r="A34" s="5">
        <f t="shared" si="12"/>
        <v>32</v>
      </c>
      <c r="B34" s="5">
        <v>3</v>
      </c>
      <c r="C34" s="4">
        <f t="shared" si="1"/>
        <v>39540.821926629185</v>
      </c>
      <c r="D34" s="4">
        <f t="shared" si="2"/>
        <v>1.3130387973151949</v>
      </c>
      <c r="E34" s="4">
        <f t="shared" si="3"/>
        <v>2.845838099363764</v>
      </c>
      <c r="F34" s="4">
        <f t="shared" si="4"/>
        <v>23562.065034573505</v>
      </c>
      <c r="G34" s="6">
        <f t="shared" ref="G34:G50" si="13">b*C34/N</f>
        <v>1.6152852236986852</v>
      </c>
      <c r="H34" s="6">
        <f t="shared" si="5"/>
        <v>-5.845838099363764</v>
      </c>
      <c r="I34" s="6">
        <f t="shared" si="6"/>
        <v>-29.784024359512326</v>
      </c>
      <c r="J34" s="6">
        <f t="shared" si="7"/>
        <v>32.410101954142718</v>
      </c>
      <c r="K34" s="6">
        <f t="shared" si="8"/>
        <v>51162.140618079895</v>
      </c>
      <c r="L34" s="9">
        <f t="shared" si="9"/>
        <v>-0.63679479588320087</v>
      </c>
      <c r="M34" s="9">
        <f t="shared" si="11"/>
        <v>2.5403562633605707</v>
      </c>
      <c r="N34" s="9"/>
    </row>
    <row r="35" spans="1:14">
      <c r="A35" s="5">
        <f t="shared" si="12"/>
        <v>33</v>
      </c>
      <c r="B35" s="5">
        <v>1</v>
      </c>
      <c r="C35" s="4">
        <f t="shared" si="1"/>
        <v>39538.700994461738</v>
      </c>
      <c r="D35" s="4">
        <f t="shared" si="2"/>
        <v>0.67845274750285456</v>
      </c>
      <c r="E35" s="4">
        <f t="shared" si="3"/>
        <v>0.10339263558846301</v>
      </c>
      <c r="F35" s="4">
        <f t="shared" si="4"/>
        <v>23564.820552790763</v>
      </c>
      <c r="G35" s="6">
        <f t="shared" si="13"/>
        <v>1.6151985813320471</v>
      </c>
      <c r="H35" s="6">
        <f t="shared" si="5"/>
        <v>-1.1033926355884631</v>
      </c>
      <c r="I35" s="6">
        <f t="shared" si="6"/>
        <v>-30.418610409324664</v>
      </c>
      <c r="J35" s="6">
        <f t="shared" si="7"/>
        <v>31.775515904330376</v>
      </c>
      <c r="K35" s="6">
        <f t="shared" si="8"/>
        <v>52070.902603294395</v>
      </c>
      <c r="L35" s="9">
        <f t="shared" si="9"/>
        <v>-0.3291071862077859</v>
      </c>
      <c r="M35" s="9">
        <f t="shared" si="11"/>
        <v>1.3130387973151949</v>
      </c>
      <c r="N35" s="9"/>
    </row>
    <row r="36" spans="1:14">
      <c r="A36" s="5">
        <f>A35+1</f>
        <v>34</v>
      </c>
      <c r="B36" s="5">
        <v>2</v>
      </c>
      <c r="C36" s="4">
        <f t="shared" si="1"/>
        <v>39537.605158546474</v>
      </c>
      <c r="D36" s="4">
        <f t="shared" si="2"/>
        <v>0.35050064590749974</v>
      </c>
      <c r="E36" s="4">
        <f t="shared" si="3"/>
        <v>2.7208481191515754</v>
      </c>
      <c r="F36" s="4">
        <f t="shared" si="4"/>
        <v>23566.244340807625</v>
      </c>
      <c r="G36" s="6">
        <f t="shared" si="13"/>
        <v>1.6151538152529603</v>
      </c>
      <c r="H36" s="6">
        <f t="shared" si="5"/>
        <v>-4.7208481191515759</v>
      </c>
      <c r="I36" s="6">
        <f t="shared" si="6"/>
        <v>-30.746562510920022</v>
      </c>
      <c r="J36" s="6">
        <f t="shared" si="7"/>
        <v>31.447563802735019</v>
      </c>
      <c r="K36" s="6">
        <f t="shared" si="8"/>
        <v>51615.521610687145</v>
      </c>
      <c r="L36" s="9">
        <f t="shared" si="9"/>
        <v>-0.17004196558220552</v>
      </c>
      <c r="M36" s="9">
        <f t="shared" si="11"/>
        <v>0.67845274750285456</v>
      </c>
      <c r="N36" s="9"/>
    </row>
    <row r="37" spans="1:14">
      <c r="A37" s="5">
        <f t="shared" ref="A37:A50" si="14">A36+1</f>
        <v>35</v>
      </c>
      <c r="B37" s="5">
        <v>0</v>
      </c>
      <c r="C37" s="4">
        <f t="shared" si="1"/>
        <v>39537.039046090991</v>
      </c>
      <c r="D37" s="4">
        <f t="shared" si="2"/>
        <v>0.18105912009934455</v>
      </c>
      <c r="E37" s="4">
        <f t="shared" si="3"/>
        <v>3.2782404971148871E-2</v>
      </c>
      <c r="F37" s="4">
        <f t="shared" si="4"/>
        <v>23566.979894788918</v>
      </c>
      <c r="G37" s="6">
        <f t="shared" si="13"/>
        <v>1.6151306889485555</v>
      </c>
      <c r="H37" s="6">
        <f t="shared" si="5"/>
        <v>-3.2782404971148871E-2</v>
      </c>
      <c r="I37" s="6">
        <f t="shared" si="6"/>
        <v>-30.916004036728175</v>
      </c>
      <c r="J37" s="6">
        <f t="shared" si="7"/>
        <v>31.278122276926865</v>
      </c>
      <c r="K37" s="6">
        <f t="shared" si="8"/>
        <v>52528.283595901645</v>
      </c>
      <c r="L37" s="9">
        <f t="shared" si="9"/>
        <v>-8.7844241396246317E-2</v>
      </c>
      <c r="M37" s="9">
        <f t="shared" si="11"/>
        <v>0.35050064590749974</v>
      </c>
      <c r="N37" s="9"/>
    </row>
    <row r="38" spans="1:14">
      <c r="A38" s="5">
        <f t="shared" si="14"/>
        <v>36</v>
      </c>
      <c r="B38" s="5">
        <v>2</v>
      </c>
      <c r="C38" s="4">
        <f t="shared" si="1"/>
        <v>39536.746611949602</v>
      </c>
      <c r="D38" s="4">
        <f t="shared" si="2"/>
        <v>9.3526039759615681E-2</v>
      </c>
      <c r="E38" s="4">
        <f t="shared" si="3"/>
        <v>3.6346429610746549</v>
      </c>
      <c r="F38" s="4">
        <f t="shared" si="4"/>
        <v>23567.359862010642</v>
      </c>
      <c r="G38" s="6">
        <f t="shared" si="13"/>
        <v>1.6151187426984657</v>
      </c>
      <c r="H38" s="6">
        <f t="shared" si="5"/>
        <v>-5.6346429610746549</v>
      </c>
      <c r="I38" s="6">
        <f t="shared" si="6"/>
        <v>-31.003537117067903</v>
      </c>
      <c r="J38" s="6">
        <f t="shared" si="7"/>
        <v>31.190589196587137</v>
      </c>
      <c r="K38" s="6">
        <f t="shared" si="8"/>
        <v>51615.521610687145</v>
      </c>
      <c r="L38" s="9">
        <f t="shared" si="9"/>
        <v>-4.5377301028288394E-2</v>
      </c>
      <c r="M38" s="9">
        <f t="shared" si="11"/>
        <v>0.18105912009934455</v>
      </c>
      <c r="N38" s="9"/>
    </row>
    <row r="39" spans="1:14">
      <c r="A39" s="5">
        <f t="shared" si="14"/>
        <v>37</v>
      </c>
      <c r="B39" s="5">
        <v>1</v>
      </c>
      <c r="C39" s="4">
        <f t="shared" si="1"/>
        <v>39536.595556289853</v>
      </c>
      <c r="D39" s="4">
        <f t="shared" si="2"/>
        <v>4.8309733382087897E-2</v>
      </c>
      <c r="E39" s="4">
        <f t="shared" si="3"/>
        <v>0.90571436357527269</v>
      </c>
      <c r="F39" s="4">
        <f t="shared" si="4"/>
        <v>23567.556133976766</v>
      </c>
      <c r="G39" s="6">
        <f t="shared" si="13"/>
        <v>1.6151125719118391</v>
      </c>
      <c r="H39" s="6">
        <f t="shared" si="5"/>
        <v>-1.9057143635752727</v>
      </c>
      <c r="I39" s="6">
        <f t="shared" si="6"/>
        <v>-31.048753423445433</v>
      </c>
      <c r="J39" s="6">
        <f t="shared" si="7"/>
        <v>31.145372890209607</v>
      </c>
      <c r="K39" s="6">
        <f t="shared" si="8"/>
        <v>52070.902603294395</v>
      </c>
      <c r="L39" s="9">
        <f t="shared" si="9"/>
        <v>-2.3439459263641632E-2</v>
      </c>
      <c r="M39" s="9">
        <f t="shared" si="11"/>
        <v>9.3526039759615681E-2</v>
      </c>
      <c r="N39" s="9"/>
    </row>
    <row r="40" spans="1:14">
      <c r="A40" s="5">
        <f t="shared" si="14"/>
        <v>38</v>
      </c>
      <c r="B40" s="5">
        <v>6</v>
      </c>
      <c r="C40" s="4">
        <f t="shared" si="1"/>
        <v>39536.517530632118</v>
      </c>
      <c r="D40" s="4">
        <f t="shared" si="2"/>
        <v>2.4953504547903023E-2</v>
      </c>
      <c r="E40" s="4">
        <f t="shared" si="3"/>
        <v>35.701180622814384</v>
      </c>
      <c r="F40" s="4">
        <f t="shared" si="4"/>
        <v>23567.657515863331</v>
      </c>
      <c r="G40" s="6">
        <f t="shared" si="13"/>
        <v>1.6151093844795636</v>
      </c>
      <c r="H40" s="6">
        <f t="shared" si="5"/>
        <v>-41.701180622814384</v>
      </c>
      <c r="I40" s="6">
        <f t="shared" si="6"/>
        <v>-31.072109652279618</v>
      </c>
      <c r="J40" s="6">
        <f t="shared" si="7"/>
        <v>31.122016661375422</v>
      </c>
      <c r="K40" s="6">
        <f t="shared" si="8"/>
        <v>49813.997640258152</v>
      </c>
      <c r="L40" s="9">
        <f t="shared" si="9"/>
        <v>-1.2107320102942543E-2</v>
      </c>
      <c r="M40" s="9">
        <f t="shared" si="11"/>
        <v>4.8309733382087897E-2</v>
      </c>
      <c r="N40" s="9"/>
    </row>
    <row r="41" spans="1:14">
      <c r="A41" s="5">
        <f t="shared" si="14"/>
        <v>39</v>
      </c>
      <c r="B41" s="5">
        <v>0</v>
      </c>
      <c r="C41" s="4">
        <f t="shared" si="1"/>
        <v>39536.477227992749</v>
      </c>
      <c r="D41" s="4">
        <f t="shared" si="2"/>
        <v>1.2889194437420773E-2</v>
      </c>
      <c r="E41" s="4">
        <f t="shared" si="3"/>
        <v>1.661313332456386E-4</v>
      </c>
      <c r="F41" s="4">
        <f t="shared" si="4"/>
        <v>23567.709882812815</v>
      </c>
      <c r="G41" s="6">
        <f t="shared" si="13"/>
        <v>1.6151077380732757</v>
      </c>
      <c r="H41" s="6">
        <f t="shared" si="5"/>
        <v>-1.661313332456386E-4</v>
      </c>
      <c r="I41" s="6">
        <f t="shared" si="6"/>
        <v>-31.0841739623901</v>
      </c>
      <c r="J41" s="6">
        <f t="shared" si="7"/>
        <v>31.109952351264941</v>
      </c>
      <c r="K41" s="6">
        <f t="shared" si="8"/>
        <v>52528.283595901645</v>
      </c>
      <c r="L41" s="9">
        <f t="shared" si="9"/>
        <v>-6.2538012500879597E-3</v>
      </c>
      <c r="M41" s="9">
        <f t="shared" si="11"/>
        <v>2.4953504547903023E-2</v>
      </c>
      <c r="N41" s="9"/>
    </row>
    <row r="42" spans="1:14">
      <c r="A42" s="5">
        <f t="shared" si="14"/>
        <v>40</v>
      </c>
      <c r="B42" s="5">
        <v>0</v>
      </c>
      <c r="C42" s="4">
        <f t="shared" si="1"/>
        <v>39536.456410555074</v>
      </c>
      <c r="D42" s="4">
        <f t="shared" si="2"/>
        <v>6.6576140995395095E-3</v>
      </c>
      <c r="E42" s="4">
        <f t="shared" si="3"/>
        <v>4.4323825498387273E-5</v>
      </c>
      <c r="F42" s="4">
        <f t="shared" si="4"/>
        <v>23567.736931830827</v>
      </c>
      <c r="G42" s="6">
        <f t="shared" si="13"/>
        <v>1.6151068876584933</v>
      </c>
      <c r="H42" s="6">
        <f t="shared" si="5"/>
        <v>-4.4323825498387273E-5</v>
      </c>
      <c r="I42" s="6">
        <f t="shared" si="6"/>
        <v>-31.090405542727982</v>
      </c>
      <c r="J42" s="6">
        <f t="shared" si="7"/>
        <v>31.103720770927058</v>
      </c>
      <c r="K42" s="6">
        <f t="shared" si="8"/>
        <v>52528.283595901645</v>
      </c>
      <c r="L42" s="9">
        <f t="shared" si="9"/>
        <v>-3.2302628258973174E-3</v>
      </c>
      <c r="M42" s="9">
        <f t="shared" si="11"/>
        <v>1.2889194437420773E-2</v>
      </c>
      <c r="N42" s="9"/>
    </row>
    <row r="43" spans="1:14">
      <c r="A43" s="5">
        <f t="shared" si="14"/>
        <v>41</v>
      </c>
      <c r="B43" s="5">
        <v>1</v>
      </c>
      <c r="C43" s="4">
        <f t="shared" si="1"/>
        <v>39536.445657796685</v>
      </c>
      <c r="D43" s="4">
        <f t="shared" si="2"/>
        <v>3.4388303115763658E-3</v>
      </c>
      <c r="E43" s="4">
        <f t="shared" si="3"/>
        <v>0.99313416493075912</v>
      </c>
      <c r="F43" s="4">
        <f t="shared" si="4"/>
        <v>23567.750903373002</v>
      </c>
      <c r="G43" s="6">
        <f t="shared" si="13"/>
        <v>1.6151064483967155</v>
      </c>
      <c r="H43" s="6">
        <f t="shared" si="5"/>
        <v>-1.9931341649307592</v>
      </c>
      <c r="I43" s="6">
        <f t="shared" si="6"/>
        <v>-31.093624326515943</v>
      </c>
      <c r="J43" s="6">
        <f t="shared" si="7"/>
        <v>31.100501987139097</v>
      </c>
      <c r="K43" s="6">
        <f t="shared" si="8"/>
        <v>52070.902603294395</v>
      </c>
      <c r="L43" s="9">
        <f t="shared" si="9"/>
        <v>-1.668516377473698E-3</v>
      </c>
      <c r="M43" s="9">
        <f t="shared" si="11"/>
        <v>6.6576140995395095E-3</v>
      </c>
      <c r="N43" s="9"/>
    </row>
    <row r="44" spans="1:14">
      <c r="A44" s="5">
        <f t="shared" si="14"/>
        <v>42</v>
      </c>
      <c r="B44" s="5">
        <v>0</v>
      </c>
      <c r="C44" s="4">
        <f t="shared" si="1"/>
        <v>39536.440103719673</v>
      </c>
      <c r="D44" s="4">
        <f t="shared" si="2"/>
        <v>1.7762435128219926E-3</v>
      </c>
      <c r="E44" s="4">
        <f t="shared" si="3"/>
        <v>3.1550410168422121E-6</v>
      </c>
      <c r="F44" s="4">
        <f t="shared" si="4"/>
        <v>23567.758120036811</v>
      </c>
      <c r="G44" s="6">
        <f t="shared" si="13"/>
        <v>1.6151062215066789</v>
      </c>
      <c r="H44" s="6">
        <f t="shared" si="5"/>
        <v>-3.1550410168422121E-6</v>
      </c>
      <c r="I44" s="6">
        <f t="shared" si="6"/>
        <v>-31.095286913314698</v>
      </c>
      <c r="J44" s="6">
        <f t="shared" si="7"/>
        <v>31.098839400340342</v>
      </c>
      <c r="K44" s="6">
        <f t="shared" si="8"/>
        <v>52528.283595901645</v>
      </c>
      <c r="L44" s="9">
        <f t="shared" si="9"/>
        <v>-8.6183173850771469E-4</v>
      </c>
      <c r="M44" s="9">
        <f t="shared" si="11"/>
        <v>3.4388303115763658E-3</v>
      </c>
      <c r="N44" s="9"/>
    </row>
    <row r="45" spans="1:14">
      <c r="A45" s="5">
        <f t="shared" si="14"/>
        <v>43</v>
      </c>
      <c r="B45" s="5">
        <v>0</v>
      </c>
      <c r="C45" s="4">
        <f t="shared" si="1"/>
        <v>39536.437234897727</v>
      </c>
      <c r="D45" s="4">
        <f t="shared" si="2"/>
        <v>9.1747464838013728E-4</v>
      </c>
      <c r="E45" s="4">
        <f t="shared" si="3"/>
        <v>8.4175973042025652E-7</v>
      </c>
      <c r="F45" s="4">
        <f t="shared" si="4"/>
        <v>23567.761847627626</v>
      </c>
      <c r="G45" s="6">
        <f t="shared" si="13"/>
        <v>1.6151061043122081</v>
      </c>
      <c r="H45" s="6">
        <f t="shared" si="5"/>
        <v>-8.4175973042025652E-7</v>
      </c>
      <c r="I45" s="6">
        <f t="shared" si="6"/>
        <v>-31.096145682179142</v>
      </c>
      <c r="J45" s="6">
        <f t="shared" si="7"/>
        <v>31.097980631475899</v>
      </c>
      <c r="K45" s="6">
        <f t="shared" si="8"/>
        <v>52528.283595901645</v>
      </c>
      <c r="L45" s="9">
        <f t="shared" si="9"/>
        <v>-4.4515799877220096E-4</v>
      </c>
      <c r="M45" s="9">
        <f t="shared" si="11"/>
        <v>1.7762435128219926E-3</v>
      </c>
      <c r="N45" s="9"/>
    </row>
    <row r="46" spans="1:14">
      <c r="A46" s="5">
        <f t="shared" si="14"/>
        <v>44</v>
      </c>
      <c r="B46" s="5">
        <v>0</v>
      </c>
      <c r="C46" s="4">
        <f t="shared" si="1"/>
        <v>39536.435753078818</v>
      </c>
      <c r="D46" s="4">
        <f t="shared" si="2"/>
        <v>4.7389872692397061E-4</v>
      </c>
      <c r="E46" s="4">
        <f t="shared" si="3"/>
        <v>2.2458000338016006E-7</v>
      </c>
      <c r="F46" s="4">
        <f t="shared" si="4"/>
        <v>23567.763773022452</v>
      </c>
      <c r="G46" s="6">
        <f t="shared" si="13"/>
        <v>1.6151060437783076</v>
      </c>
      <c r="H46" s="6">
        <f t="shared" si="5"/>
        <v>-2.2458000338016006E-7</v>
      </c>
      <c r="I46" s="6">
        <f t="shared" si="6"/>
        <v>-31.096589258100597</v>
      </c>
      <c r="J46" s="6">
        <f t="shared" si="7"/>
        <v>31.097537055554444</v>
      </c>
      <c r="K46" s="6">
        <f t="shared" si="8"/>
        <v>52528.283595901645</v>
      </c>
      <c r="L46" s="9">
        <f t="shared" si="9"/>
        <v>-2.2993533590032179E-4</v>
      </c>
      <c r="M46" s="9">
        <f t="shared" si="11"/>
        <v>9.1747464838013728E-4</v>
      </c>
      <c r="N46" s="9"/>
    </row>
    <row r="47" spans="1:14">
      <c r="A47" s="5">
        <f t="shared" si="14"/>
        <v>45</v>
      </c>
      <c r="B47" s="5">
        <v>1</v>
      </c>
      <c r="C47" s="4">
        <f t="shared" si="1"/>
        <v>39536.434987682122</v>
      </c>
      <c r="D47" s="4">
        <f t="shared" si="2"/>
        <v>2.4478058053934489E-4</v>
      </c>
      <c r="E47" s="4">
        <f t="shared" si="3"/>
        <v>0.99951049875645392</v>
      </c>
      <c r="F47" s="4">
        <f t="shared" si="4"/>
        <v>23567.764767537297</v>
      </c>
      <c r="G47" s="6">
        <f t="shared" si="13"/>
        <v>1.6151060125110268</v>
      </c>
      <c r="H47" s="6">
        <f t="shared" si="5"/>
        <v>-1.9995104987564538</v>
      </c>
      <c r="I47" s="6">
        <f t="shared" si="6"/>
        <v>-31.096818376246979</v>
      </c>
      <c r="J47" s="6">
        <f t="shared" si="7"/>
        <v>31.097307937408061</v>
      </c>
      <c r="K47" s="6">
        <f t="shared" si="8"/>
        <v>52070.902603294395</v>
      </c>
      <c r="L47" s="9">
        <f t="shared" si="9"/>
        <v>-1.1876737854975663E-4</v>
      </c>
      <c r="M47" s="9">
        <f t="shared" si="11"/>
        <v>4.7389872692397061E-4</v>
      </c>
      <c r="N47" s="9"/>
    </row>
    <row r="48" spans="1:14">
      <c r="A48" s="5">
        <f t="shared" si="14"/>
        <v>46</v>
      </c>
      <c r="B48" s="5">
        <v>0</v>
      </c>
      <c r="C48" s="4">
        <f t="shared" si="1"/>
        <v>39536.434592335536</v>
      </c>
      <c r="D48" s="4">
        <f t="shared" si="2"/>
        <v>1.2643530268809788E-4</v>
      </c>
      <c r="E48" s="4">
        <f t="shared" si="3"/>
        <v>1.5985885765830931E-8</v>
      </c>
      <c r="F48" s="4">
        <f t="shared" si="4"/>
        <v>23567.765281229164</v>
      </c>
      <c r="G48" s="6">
        <f t="shared" si="13"/>
        <v>1.6151059963606924</v>
      </c>
      <c r="H48" s="6">
        <f t="shared" si="5"/>
        <v>-1.5985885765830931E-8</v>
      </c>
      <c r="I48" s="6">
        <f t="shared" si="6"/>
        <v>-31.09693672152483</v>
      </c>
      <c r="J48" s="6">
        <f t="shared" si="7"/>
        <v>31.09718959213021</v>
      </c>
      <c r="K48" s="6">
        <f t="shared" si="8"/>
        <v>52528.283595901645</v>
      </c>
      <c r="L48" s="9">
        <f t="shared" si="9"/>
        <v>-6.1346329196613103E-5</v>
      </c>
      <c r="M48" s="9">
        <f t="shared" si="11"/>
        <v>2.4478058053934489E-4</v>
      </c>
      <c r="N48" s="9"/>
    </row>
    <row r="49" spans="1:14">
      <c r="A49" s="5">
        <f t="shared" si="14"/>
        <v>47</v>
      </c>
      <c r="B49" s="5">
        <v>3</v>
      </c>
      <c r="C49" s="4">
        <f t="shared" si="1"/>
        <v>39536.434388129121</v>
      </c>
      <c r="D49" s="4">
        <f t="shared" si="2"/>
        <v>6.5306999561700257E-5</v>
      </c>
      <c r="E49" s="4">
        <f t="shared" si="3"/>
        <v>8.9996081622676343</v>
      </c>
      <c r="F49" s="4">
        <f t="shared" si="4"/>
        <v>23567.765546563882</v>
      </c>
      <c r="G49" s="6">
        <f t="shared" si="13"/>
        <v>1.61510598801864</v>
      </c>
      <c r="H49" s="6">
        <f t="shared" si="5"/>
        <v>-11.999608162267634</v>
      </c>
      <c r="I49" s="6">
        <f t="shared" si="6"/>
        <v>-31.096997849827957</v>
      </c>
      <c r="J49" s="6">
        <f t="shared" si="7"/>
        <v>31.097128463827083</v>
      </c>
      <c r="K49" s="6">
        <f t="shared" si="8"/>
        <v>51162.140618079895</v>
      </c>
      <c r="L49" s="9">
        <f t="shared" si="9"/>
        <v>-3.1686915710908794E-5</v>
      </c>
      <c r="M49" s="9">
        <f t="shared" si="11"/>
        <v>1.2643530268809788E-4</v>
      </c>
      <c r="N49" s="9"/>
    </row>
    <row r="50" spans="1:14">
      <c r="A50" s="5">
        <f t="shared" si="14"/>
        <v>48</v>
      </c>
      <c r="B50" s="5">
        <v>0</v>
      </c>
      <c r="C50" s="4">
        <f t="shared" si="1"/>
        <v>39536.434282651397</v>
      </c>
      <c r="D50" s="4">
        <f t="shared" si="2"/>
        <v>3.3732699904171344E-5</v>
      </c>
      <c r="E50" s="4">
        <f t="shared" si="3"/>
        <v>1.1378950428248813E-9</v>
      </c>
      <c r="F50" s="4">
        <f t="shared" si="4"/>
        <v>23567.765683615908</v>
      </c>
      <c r="G50" s="6">
        <f t="shared" si="13"/>
        <v>1.6151059837097612</v>
      </c>
      <c r="H50" s="6">
        <f t="shared" si="5"/>
        <v>-1.1378950428248813E-9</v>
      </c>
      <c r="I50" s="6">
        <f t="shared" si="6"/>
        <v>-31.097029424127616</v>
      </c>
      <c r="J50" s="6">
        <f t="shared" si="7"/>
        <v>31.097096889527425</v>
      </c>
      <c r="K50" s="6">
        <f t="shared" si="8"/>
        <v>52528.283595901645</v>
      </c>
      <c r="L50" s="9">
        <f t="shared" si="9"/>
        <v>-1.636708526621326E-5</v>
      </c>
      <c r="M50" s="9">
        <f t="shared" si="11"/>
        <v>6.5306999561700257E-5</v>
      </c>
      <c r="N50" s="9"/>
    </row>
  </sheetData>
  <phoneticPr fontId="3" type="noConversion"/>
  <conditionalFormatting sqref="G5:M50 G2:K4">
    <cfRule type="expression" dxfId="3" priority="1" stopIfTrue="1">
      <formula>G2&lt;$P$5</formula>
    </cfRule>
    <cfRule type="expression" dxfId="2" priority="2" stopIfTrue="1">
      <formula>G2&gt;$P$5</formula>
    </cfRule>
  </conditionalFormatting>
  <hyperlinks>
    <hyperlink ref="O22" r:id="rId1" xr:uid="{00000000-0004-0000-0800-000000000000}"/>
  </hyperlinks>
  <pageMargins left="0.75" right="0.75" top="1" bottom="1" header="0.5" footer="0.5"/>
  <pageSetup orientation="portrait" verticalDpi="0" r:id="rId2"/>
  <headerFooter alignWithMargins="0"/>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BS135"/>
  <sheetViews>
    <sheetView workbookViewId="0">
      <selection activeCell="A22" sqref="A22"/>
    </sheetView>
  </sheetViews>
  <sheetFormatPr defaultRowHeight="13.2"/>
  <cols>
    <col min="1" max="1" width="5.88671875" customWidth="1"/>
    <col min="2" max="2" width="8.6640625" customWidth="1"/>
    <col min="3" max="3" width="5" customWidth="1"/>
    <col min="4" max="4" width="9.88671875" bestFit="1" customWidth="1"/>
    <col min="5" max="5" width="10.88671875" customWidth="1"/>
    <col min="6" max="6" width="5" customWidth="1"/>
    <col min="7" max="7" width="11.5546875" customWidth="1"/>
    <col min="8" max="8" width="8.6640625" customWidth="1"/>
    <col min="9" max="9" width="4.5546875" customWidth="1"/>
    <col min="10" max="10" width="4.6640625" customWidth="1"/>
    <col min="11" max="11" width="12.33203125" customWidth="1"/>
    <col min="12" max="12" width="9.109375" customWidth="1"/>
    <col min="13" max="13" width="12" customWidth="1"/>
    <col min="14" max="14" width="8.5546875" style="10" customWidth="1"/>
    <col min="15" max="15" width="23.5546875" customWidth="1"/>
    <col min="16" max="17" width="12.44140625" bestFit="1" customWidth="1"/>
    <col min="18" max="18" width="9.6640625" bestFit="1" customWidth="1"/>
    <col min="19" max="19" width="12.5546875" bestFit="1" customWidth="1"/>
    <col min="20" max="20" width="12.44140625" bestFit="1" customWidth="1"/>
    <col min="66" max="66" width="24.33203125" customWidth="1"/>
    <col min="67" max="67" width="12.88671875" customWidth="1"/>
    <col min="69" max="69" width="10.33203125" bestFit="1" customWidth="1"/>
    <col min="71" max="71" width="10.33203125" bestFit="1" customWidth="1"/>
  </cols>
  <sheetData>
    <row r="1" spans="1:71" ht="14.4">
      <c r="A1" s="12" t="s">
        <v>0</v>
      </c>
      <c r="B1" s="91" t="s">
        <v>141</v>
      </c>
      <c r="C1" s="13" t="s">
        <v>9</v>
      </c>
      <c r="D1" s="13" t="s">
        <v>142</v>
      </c>
      <c r="E1" s="13" t="s">
        <v>81</v>
      </c>
      <c r="F1" s="14" t="s">
        <v>14</v>
      </c>
      <c r="G1" s="14" t="s">
        <v>15</v>
      </c>
      <c r="H1" s="14" t="s">
        <v>79</v>
      </c>
      <c r="I1" s="14" t="s">
        <v>91</v>
      </c>
      <c r="J1" s="14" t="s">
        <v>92</v>
      </c>
      <c r="K1" s="14" t="s">
        <v>89</v>
      </c>
      <c r="L1" s="14" t="s">
        <v>104</v>
      </c>
      <c r="M1" s="14" t="s">
        <v>105</v>
      </c>
      <c r="N1" s="14" t="s">
        <v>29</v>
      </c>
      <c r="O1" s="37" t="s">
        <v>2</v>
      </c>
      <c r="P1" s="56">
        <v>14286</v>
      </c>
      <c r="Q1" s="52" t="s">
        <v>11</v>
      </c>
      <c r="R1" s="53" t="s">
        <v>4</v>
      </c>
      <c r="S1" s="48">
        <v>3</v>
      </c>
      <c r="BN1" s="23" t="s">
        <v>40</v>
      </c>
      <c r="BO1" s="23" t="s">
        <v>41</v>
      </c>
      <c r="BQ1" s="13" t="s">
        <v>9</v>
      </c>
      <c r="BR1" s="13" t="s">
        <v>10</v>
      </c>
      <c r="BS1" s="14" t="s">
        <v>14</v>
      </c>
    </row>
    <row r="2" spans="1:71" ht="14.4">
      <c r="A2" s="5">
        <v>0</v>
      </c>
      <c r="B2">
        <v>0</v>
      </c>
      <c r="C2" s="4">
        <f>S0</f>
        <v>4999.0499999999993</v>
      </c>
      <c r="D2" s="4">
        <f>I0</f>
        <v>3</v>
      </c>
      <c r="E2" s="4">
        <f>(B2-D2)^2</f>
        <v>9</v>
      </c>
      <c r="F2" s="4">
        <v>0</v>
      </c>
      <c r="G2" s="6">
        <f t="shared" ref="G2:G33" si="0">b*C2/N</f>
        <v>3.2599718501170556</v>
      </c>
      <c r="H2" s="9">
        <f>B2-D2</f>
        <v>-3</v>
      </c>
      <c r="I2" s="9">
        <f t="shared" ref="I2:I33" si="1">B2-$P$9</f>
        <v>-25.220478000576215</v>
      </c>
      <c r="J2" s="9">
        <f t="shared" ref="J2:J33" si="2">B2+$P$9</f>
        <v>25.220478000576215</v>
      </c>
      <c r="K2" s="9">
        <f>(B2-AVERAGE($B$2:$B$50))^2</f>
        <v>344.89795918367355</v>
      </c>
      <c r="L2" s="9">
        <v>0</v>
      </c>
      <c r="M2" s="9">
        <v>0</v>
      </c>
      <c r="N2" s="9"/>
      <c r="O2" s="39" t="s">
        <v>3</v>
      </c>
      <c r="P2" s="57">
        <f>(P1-S1)*(S2)</f>
        <v>4999.0499999999993</v>
      </c>
      <c r="Q2" s="54" t="s">
        <v>12</v>
      </c>
      <c r="R2" s="55" t="s">
        <v>80</v>
      </c>
      <c r="S2" s="58">
        <v>0.35</v>
      </c>
      <c r="BN2" s="22" t="str">
        <f>ASSUMPTIONS!B6</f>
        <v>Population Size</v>
      </c>
      <c r="BO2" s="27"/>
      <c r="BP2" s="21" t="s">
        <v>78</v>
      </c>
      <c r="BQ2" s="4">
        <f>BO4</f>
        <v>0</v>
      </c>
      <c r="BR2" s="4">
        <f>BO5</f>
        <v>0</v>
      </c>
      <c r="BS2" s="4">
        <f>BO2</f>
        <v>0</v>
      </c>
    </row>
    <row r="3" spans="1:71" ht="14.4">
      <c r="A3" s="5">
        <f>A2+1</f>
        <v>1</v>
      </c>
      <c r="B3">
        <v>0</v>
      </c>
      <c r="C3" s="4">
        <f t="shared" ref="C3:C50" si="3">C2-(b/N)*C2*D2</f>
        <v>4989.2700844496485</v>
      </c>
      <c r="D3" s="4">
        <f>(1-g)*D2+(b/N)*C2*D2</f>
        <v>5.1901771390421398</v>
      </c>
      <c r="E3" s="4">
        <f t="shared" ref="E3:E50" si="4">(B3-D3)^2</f>
        <v>26.937938734635651</v>
      </c>
      <c r="F3" s="4">
        <f t="shared" ref="F3:F50" si="5">F2+g*D2</f>
        <v>7.5897384113090265</v>
      </c>
      <c r="G3" s="6">
        <f t="shared" si="0"/>
        <v>3.2535941884832114</v>
      </c>
      <c r="H3" s="9">
        <f t="shared" ref="H3:H50" si="6">B3-D3</f>
        <v>-5.1901771390421398</v>
      </c>
      <c r="I3" s="9">
        <f t="shared" si="1"/>
        <v>-25.220478000576215</v>
      </c>
      <c r="J3" s="9">
        <f t="shared" si="2"/>
        <v>25.220478000576215</v>
      </c>
      <c r="K3" s="9">
        <f t="shared" ref="K3:K50" si="7">(B3-AVERAGE($B$2:$B$50))^2</f>
        <v>344.89795918367355</v>
      </c>
      <c r="L3" s="9">
        <f t="shared" ref="L3:L50" si="8">-C3*D3/N</f>
        <v>-1.8126274347485238</v>
      </c>
      <c r="M3" s="9">
        <f>D3</f>
        <v>5.1901771390421398</v>
      </c>
      <c r="N3" s="9"/>
      <c r="O3" s="41" t="s">
        <v>110</v>
      </c>
      <c r="P3" s="41" t="s">
        <v>109</v>
      </c>
      <c r="Q3" s="41" t="s">
        <v>108</v>
      </c>
      <c r="R3" s="41" t="s">
        <v>106</v>
      </c>
      <c r="S3" s="45" t="s">
        <v>107</v>
      </c>
      <c r="BN3" s="22" t="str">
        <f>ASSUMPTIONS!B7</f>
        <v>Attack Rate</v>
      </c>
      <c r="BO3" s="33"/>
      <c r="BQ3" s="4">
        <f t="shared" ref="BQ3:BQ50" si="9">BQ2-(b/N)*BQ2*BR2</f>
        <v>0</v>
      </c>
      <c r="BR3" s="4">
        <f t="shared" ref="BR3:BR50" si="10">(1-g)*BR2+(b/N)*BQ2*BR2</f>
        <v>0</v>
      </c>
      <c r="BS3" s="4">
        <f t="shared" ref="BS3:BS50" si="11">N-BQ3-BR3</f>
        <v>14286</v>
      </c>
    </row>
    <row r="4" spans="1:71" ht="14.4">
      <c r="A4" s="5">
        <f t="shared" ref="A4:A18" si="12">A3+1</f>
        <v>2</v>
      </c>
      <c r="B4">
        <v>0</v>
      </c>
      <c r="C4" s="4">
        <f t="shared" si="3"/>
        <v>4972.3833542728626</v>
      </c>
      <c r="D4" s="4">
        <f t="shared" ref="D4:D50" si="13">(1-g)*D3+(b/N)*C3*D3</f>
        <v>8.9462117179326945</v>
      </c>
      <c r="E4" s="4">
        <f t="shared" si="4"/>
        <v>80.034704102076248</v>
      </c>
      <c r="F4" s="4">
        <f t="shared" si="5"/>
        <v>20.7204340092044</v>
      </c>
      <c r="G4" s="6">
        <f t="shared" si="0"/>
        <v>3.2425820431722334</v>
      </c>
      <c r="H4" s="9">
        <f t="shared" si="6"/>
        <v>-8.9462117179326945</v>
      </c>
      <c r="I4" s="9">
        <f t="shared" si="1"/>
        <v>-25.220478000576215</v>
      </c>
      <c r="J4" s="9">
        <f t="shared" si="2"/>
        <v>25.220478000576215</v>
      </c>
      <c r="K4" s="9">
        <f t="shared" si="7"/>
        <v>344.89795918367355</v>
      </c>
      <c r="L4" s="9">
        <f t="shared" si="8"/>
        <v>-3.11381731975706</v>
      </c>
      <c r="M4" s="9">
        <f t="shared" ref="M4:M50" si="14">D4</f>
        <v>8.9462117179326945</v>
      </c>
      <c r="N4" s="11" t="s">
        <v>30</v>
      </c>
      <c r="O4" s="46" t="s">
        <v>7</v>
      </c>
      <c r="P4" s="59">
        <v>9.3161616408662162</v>
      </c>
      <c r="Q4" s="60">
        <f>(P6*ABS(P16))^0.5</f>
        <v>3.5255054541293389</v>
      </c>
      <c r="R4" s="60">
        <f>b/Q4</f>
        <v>2.6425038230913591</v>
      </c>
      <c r="S4" s="60">
        <f>1-_xlfn.T.DIST(R4,$P$7,TRUE)</f>
        <v>5.5717912283372861E-3</v>
      </c>
      <c r="U4" s="1" t="s">
        <v>28</v>
      </c>
      <c r="V4" s="1" t="s">
        <v>6</v>
      </c>
      <c r="W4">
        <f>P4/P5</f>
        <v>3.6824042421480878</v>
      </c>
      <c r="BN4" s="22" t="s">
        <v>43</v>
      </c>
      <c r="BO4" s="22"/>
      <c r="BQ4" s="4">
        <f t="shared" si="9"/>
        <v>0</v>
      </c>
      <c r="BR4" s="4">
        <f t="shared" si="10"/>
        <v>0</v>
      </c>
      <c r="BS4" s="4">
        <f t="shared" si="11"/>
        <v>14286</v>
      </c>
    </row>
    <row r="5" spans="1:71" ht="14.4">
      <c r="A5" s="5">
        <f t="shared" si="12"/>
        <v>3</v>
      </c>
      <c r="B5">
        <v>0</v>
      </c>
      <c r="C5" s="4">
        <f t="shared" si="3"/>
        <v>4943.3745288018772</v>
      </c>
      <c r="D5" s="4">
        <f t="shared" si="13"/>
        <v>15.321901618486038</v>
      </c>
      <c r="E5" s="4">
        <f t="shared" si="4"/>
        <v>234.76066920656507</v>
      </c>
      <c r="F5" s="4">
        <f t="shared" si="5"/>
        <v>43.353569579636627</v>
      </c>
      <c r="G5" s="6">
        <f t="shared" si="0"/>
        <v>3.2236648580189802</v>
      </c>
      <c r="H5" s="9">
        <f t="shared" si="6"/>
        <v>-15.321901618486038</v>
      </c>
      <c r="I5" s="9">
        <f t="shared" si="1"/>
        <v>-25.220478000576215</v>
      </c>
      <c r="J5" s="9">
        <f t="shared" si="2"/>
        <v>25.220478000576215</v>
      </c>
      <c r="K5" s="9">
        <f t="shared" si="7"/>
        <v>344.89795918367355</v>
      </c>
      <c r="L5" s="9">
        <f t="shared" si="8"/>
        <v>-5.3018268370175088</v>
      </c>
      <c r="M5" s="9">
        <f t="shared" si="14"/>
        <v>15.321901618486038</v>
      </c>
      <c r="N5" s="11" t="s">
        <v>30</v>
      </c>
      <c r="O5" s="47" t="s">
        <v>8</v>
      </c>
      <c r="P5" s="61">
        <v>2.5299128037696756</v>
      </c>
      <c r="Q5" s="62">
        <f>(ABS(Q17)*P6)^0.5</f>
        <v>0.94629524500176365</v>
      </c>
      <c r="R5" s="62">
        <f>g/Q5</f>
        <v>2.6734920386976695</v>
      </c>
      <c r="S5" s="62">
        <f>1-_xlfn.T.DIST(R5,$P$7,TRUE)</f>
        <v>5.1449653209854063E-3</v>
      </c>
      <c r="U5" s="1" t="s">
        <v>28</v>
      </c>
      <c r="V5" s="15" t="s">
        <v>18</v>
      </c>
      <c r="W5" s="16">
        <f>1/g</f>
        <v>0.39527053996088651</v>
      </c>
      <c r="BN5" s="22" t="s">
        <v>44</v>
      </c>
      <c r="BO5" s="22"/>
      <c r="BQ5" s="4">
        <f t="shared" si="9"/>
        <v>0</v>
      </c>
      <c r="BR5" s="4">
        <f t="shared" si="10"/>
        <v>0</v>
      </c>
      <c r="BS5" s="4">
        <f t="shared" si="11"/>
        <v>14286</v>
      </c>
    </row>
    <row r="6" spans="1:71" ht="14.4">
      <c r="A6" s="5">
        <f t="shared" si="12"/>
        <v>4</v>
      </c>
      <c r="B6">
        <v>0</v>
      </c>
      <c r="C6" s="4">
        <f t="shared" si="3"/>
        <v>4893.9818529963395</v>
      </c>
      <c r="D6" s="4">
        <f t="shared" si="13"/>
        <v>25.951502341316473</v>
      </c>
      <c r="E6" s="4">
        <f t="shared" si="4"/>
        <v>673.48047377135435</v>
      </c>
      <c r="F6" s="4">
        <f t="shared" si="5"/>
        <v>82.116644662343774</v>
      </c>
      <c r="G6" s="6">
        <f t="shared" si="0"/>
        <v>3.1914549915987589</v>
      </c>
      <c r="H6" s="9">
        <f t="shared" si="6"/>
        <v>-25.951502341316473</v>
      </c>
      <c r="I6" s="9">
        <f t="shared" si="1"/>
        <v>-25.220478000576215</v>
      </c>
      <c r="J6" s="9">
        <f t="shared" si="2"/>
        <v>25.220478000576215</v>
      </c>
      <c r="K6" s="9">
        <f t="shared" si="7"/>
        <v>344.89795918367355</v>
      </c>
      <c r="L6" s="9">
        <f t="shared" si="8"/>
        <v>-8.8902549010496177</v>
      </c>
      <c r="M6" s="9">
        <f t="shared" si="14"/>
        <v>25.951502341316473</v>
      </c>
      <c r="N6" s="11" t="s">
        <v>31</v>
      </c>
      <c r="O6" s="41" t="s">
        <v>86</v>
      </c>
      <c r="P6" s="63">
        <f>SQRT(SUM(E2:E50)/P7)</f>
        <v>12.536645669981288</v>
      </c>
      <c r="Q6" s="64"/>
      <c r="R6" s="65" t="s">
        <v>115</v>
      </c>
      <c r="S6" s="65" t="s">
        <v>107</v>
      </c>
      <c r="V6" t="s">
        <v>5</v>
      </c>
      <c r="W6" s="17" t="str">
        <f>ROUNDUP(7/P5,2)&amp;" days"</f>
        <v>2.77 days</v>
      </c>
      <c r="X6" s="1" t="s">
        <v>27</v>
      </c>
      <c r="BN6" s="22" t="str">
        <f>ASSUMPTIONS!B8</f>
        <v>Infective Transmission Rate</v>
      </c>
      <c r="BO6" s="28"/>
      <c r="BP6" s="21" t="s">
        <v>76</v>
      </c>
      <c r="BQ6" s="4">
        <f t="shared" si="9"/>
        <v>0</v>
      </c>
      <c r="BR6" s="4">
        <f t="shared" si="10"/>
        <v>0</v>
      </c>
      <c r="BS6" s="4">
        <f t="shared" si="11"/>
        <v>14286</v>
      </c>
    </row>
    <row r="7" spans="1:71" ht="14.4">
      <c r="A7" s="5">
        <f t="shared" si="12"/>
        <v>5</v>
      </c>
      <c r="B7">
        <v>6</v>
      </c>
      <c r="C7" s="4">
        <f t="shared" si="3"/>
        <v>4811.158801309658</v>
      </c>
      <c r="D7" s="4">
        <f t="shared" si="13"/>
        <v>43.119515977642536</v>
      </c>
      <c r="E7" s="4">
        <f t="shared" si="4"/>
        <v>1377.8584664144596</v>
      </c>
      <c r="F7" s="4">
        <f t="shared" si="5"/>
        <v>147.77168271269903</v>
      </c>
      <c r="G7" s="6">
        <f t="shared" si="0"/>
        <v>3.1374445662100601</v>
      </c>
      <c r="H7" s="9">
        <f t="shared" si="6"/>
        <v>-37.119515977642536</v>
      </c>
      <c r="I7" s="9">
        <f t="shared" si="1"/>
        <v>-19.220478000576215</v>
      </c>
      <c r="J7" s="9">
        <f t="shared" si="2"/>
        <v>31.220478000576215</v>
      </c>
      <c r="K7" s="9">
        <f t="shared" si="7"/>
        <v>158.04081632653066</v>
      </c>
      <c r="L7" s="9">
        <f t="shared" si="8"/>
        <v>-14.521548285317603</v>
      </c>
      <c r="M7" s="9">
        <f t="shared" si="14"/>
        <v>43.119515977642536</v>
      </c>
      <c r="N7" s="9"/>
      <c r="O7" s="41" t="s">
        <v>90</v>
      </c>
      <c r="P7" s="44">
        <f>COUNT(B2:B50)-COUNT(P4:P5)</f>
        <v>47</v>
      </c>
      <c r="R7" s="66">
        <f>(SUM(K2:K50)-SUM(E2:E50))/(SUM(E2:E50)/P7)</f>
        <v>568.35628830929397</v>
      </c>
      <c r="S7" s="66">
        <f>1-_xlfn.F.DIST(R7,1,P7,TRUE)</f>
        <v>0</v>
      </c>
      <c r="W7" s="20">
        <f>2*P6/S0</f>
        <v>5.0156112341270005E-3</v>
      </c>
      <c r="X7" s="21" t="s">
        <v>35</v>
      </c>
      <c r="BN7" s="22" t="str">
        <f>ASSUMPTIONS!B9</f>
        <v>Recovery Rate</v>
      </c>
      <c r="BO7" s="29"/>
      <c r="BP7" s="21" t="s">
        <v>77</v>
      </c>
      <c r="BQ7" s="4">
        <f t="shared" si="9"/>
        <v>0</v>
      </c>
      <c r="BR7" s="4">
        <f t="shared" si="10"/>
        <v>0</v>
      </c>
      <c r="BS7" s="4">
        <f t="shared" si="11"/>
        <v>14286</v>
      </c>
    </row>
    <row r="8" spans="1:71" ht="14.4">
      <c r="A8" s="5">
        <f t="shared" si="12"/>
        <v>6</v>
      </c>
      <c r="B8">
        <v>39</v>
      </c>
      <c r="C8" s="4">
        <f t="shared" si="3"/>
        <v>4675.8737102079958</v>
      </c>
      <c r="D8" s="4">
        <f t="shared" si="13"/>
        <v>69.315991515116011</v>
      </c>
      <c r="E8" s="4">
        <f t="shared" si="4"/>
        <v>919.059341544586</v>
      </c>
      <c r="F8" s="4">
        <f t="shared" si="5"/>
        <v>256.86029827688799</v>
      </c>
      <c r="G8" s="6">
        <f t="shared" si="0"/>
        <v>3.0492226863064906</v>
      </c>
      <c r="H8" s="9">
        <f t="shared" si="6"/>
        <v>-30.315991515116011</v>
      </c>
      <c r="I8" s="9">
        <f t="shared" si="1"/>
        <v>13.779521999423785</v>
      </c>
      <c r="J8" s="9">
        <f t="shared" si="2"/>
        <v>64.220478000576207</v>
      </c>
      <c r="K8" s="9">
        <f t="shared" si="7"/>
        <v>417.32653061224482</v>
      </c>
      <c r="L8" s="9">
        <f t="shared" si="8"/>
        <v>-22.687443820700786</v>
      </c>
      <c r="M8" s="9">
        <f t="shared" si="14"/>
        <v>69.315991515116011</v>
      </c>
      <c r="N8" s="9"/>
      <c r="O8" s="41" t="s">
        <v>93</v>
      </c>
      <c r="P8" s="50">
        <v>0.05</v>
      </c>
      <c r="BN8" s="22" t="str">
        <f>ASSUMPTIONS!B10</f>
        <v>Susceptible Cost Rate</v>
      </c>
      <c r="BO8" s="29"/>
      <c r="BQ8" s="4">
        <f t="shared" si="9"/>
        <v>0</v>
      </c>
      <c r="BR8" s="4">
        <f t="shared" si="10"/>
        <v>0</v>
      </c>
      <c r="BS8" s="4">
        <f t="shared" si="11"/>
        <v>14286</v>
      </c>
    </row>
    <row r="9" spans="1:71" ht="14.4">
      <c r="A9" s="5">
        <f t="shared" si="12"/>
        <v>7</v>
      </c>
      <c r="B9">
        <v>114</v>
      </c>
      <c r="C9" s="4">
        <f t="shared" si="3"/>
        <v>4464.513816356276</v>
      </c>
      <c r="D9" s="4">
        <f t="shared" si="13"/>
        <v>105.31247092675378</v>
      </c>
      <c r="E9" s="4">
        <f t="shared" si="4"/>
        <v>75.473161398498405</v>
      </c>
      <c r="F9" s="4">
        <f t="shared" si="5"/>
        <v>432.22371271697017</v>
      </c>
      <c r="G9" s="6">
        <f t="shared" si="0"/>
        <v>2.9113910374531415</v>
      </c>
      <c r="H9" s="9">
        <f t="shared" si="6"/>
        <v>8.6875290732462247</v>
      </c>
      <c r="I9" s="9">
        <f t="shared" si="1"/>
        <v>88.779521999423793</v>
      </c>
      <c r="J9" s="9">
        <f t="shared" si="2"/>
        <v>139.22047800057621</v>
      </c>
      <c r="K9" s="9">
        <f t="shared" si="7"/>
        <v>9106.6122448979604</v>
      </c>
      <c r="L9" s="9">
        <f t="shared" si="8"/>
        <v>-32.911170480688142</v>
      </c>
      <c r="M9" s="9">
        <f t="shared" si="14"/>
        <v>105.31247092675378</v>
      </c>
      <c r="N9" s="9"/>
      <c r="O9" s="41" t="s">
        <v>87</v>
      </c>
      <c r="P9" s="66">
        <f>P6*TINV(P8,P7)</f>
        <v>25.220478000576215</v>
      </c>
      <c r="Q9" s="1"/>
      <c r="BN9" s="22" t="str">
        <f>ASSUMPTIONS!B11</f>
        <v>Infective Cost Rate</v>
      </c>
      <c r="BO9" s="29"/>
      <c r="BQ9" s="4">
        <f t="shared" si="9"/>
        <v>0</v>
      </c>
      <c r="BR9" s="4">
        <f t="shared" si="10"/>
        <v>0</v>
      </c>
      <c r="BS9" s="4">
        <f t="shared" si="11"/>
        <v>14286</v>
      </c>
    </row>
    <row r="10" spans="1:71" ht="14.4">
      <c r="A10" s="5">
        <f t="shared" si="12"/>
        <v>8</v>
      </c>
      <c r="B10">
        <v>183</v>
      </c>
      <c r="C10" s="4">
        <f t="shared" si="3"/>
        <v>4157.908032368081</v>
      </c>
      <c r="D10" s="4">
        <f t="shared" si="13"/>
        <v>145.48688632073311</v>
      </c>
      <c r="E10" s="4">
        <f t="shared" si="4"/>
        <v>1407.233697913601</v>
      </c>
      <c r="F10" s="4">
        <f t="shared" si="5"/>
        <v>698.65508131118622</v>
      </c>
      <c r="G10" s="6">
        <f t="shared" si="0"/>
        <v>2.7114478032617275</v>
      </c>
      <c r="H10" s="9">
        <f t="shared" si="6"/>
        <v>37.513113679266894</v>
      </c>
      <c r="I10" s="9">
        <f t="shared" si="1"/>
        <v>157.77952199942379</v>
      </c>
      <c r="J10" s="9">
        <f t="shared" si="2"/>
        <v>208.22047800057621</v>
      </c>
      <c r="K10" s="9">
        <f t="shared" si="7"/>
        <v>27036.755102040814</v>
      </c>
      <c r="L10" s="9">
        <f t="shared" si="8"/>
        <v>-42.343629654010783</v>
      </c>
      <c r="M10" s="9">
        <f t="shared" si="14"/>
        <v>145.48688632073311</v>
      </c>
      <c r="N10" s="9"/>
      <c r="O10" s="41" t="s">
        <v>88</v>
      </c>
      <c r="P10" s="51">
        <f>1-SUM(E2:E50)/SUM(K2:K50)</f>
        <v>0.92362148418254797</v>
      </c>
      <c r="Q10" s="1"/>
      <c r="BN10" s="22" t="str">
        <f>ASSUMPTIONS!B12</f>
        <v>Recovered Cost Rate</v>
      </c>
      <c r="BO10" s="29"/>
      <c r="BQ10" s="4">
        <f t="shared" si="9"/>
        <v>0</v>
      </c>
      <c r="BR10" s="4">
        <f t="shared" si="10"/>
        <v>0</v>
      </c>
      <c r="BS10" s="4">
        <f t="shared" si="11"/>
        <v>14286</v>
      </c>
    </row>
    <row r="11" spans="1:71" ht="14.4">
      <c r="A11" s="5">
        <f t="shared" si="12"/>
        <v>9</v>
      </c>
      <c r="B11">
        <v>180</v>
      </c>
      <c r="C11" s="4">
        <f t="shared" si="3"/>
        <v>3763.4279340503404</v>
      </c>
      <c r="D11" s="4">
        <f t="shared" si="13"/>
        <v>171.89784815506758</v>
      </c>
      <c r="E11" s="4">
        <f t="shared" si="4"/>
        <v>65.644864518341848</v>
      </c>
      <c r="F11" s="4">
        <f t="shared" si="5"/>
        <v>1066.7242177945923</v>
      </c>
      <c r="G11" s="6">
        <f t="shared" si="0"/>
        <v>2.4542001230130315</v>
      </c>
      <c r="H11" s="9">
        <f t="shared" si="6"/>
        <v>8.1021518449324219</v>
      </c>
      <c r="I11" s="9">
        <f t="shared" si="1"/>
        <v>154.77952199942379</v>
      </c>
      <c r="J11" s="9">
        <f t="shared" si="2"/>
        <v>205.22047800057621</v>
      </c>
      <c r="K11" s="9">
        <f t="shared" si="7"/>
        <v>26059.183673469382</v>
      </c>
      <c r="L11" s="9">
        <f t="shared" si="8"/>
        <v>-45.283855771379329</v>
      </c>
      <c r="M11" s="9">
        <f t="shared" si="14"/>
        <v>171.89784815506758</v>
      </c>
      <c r="N11" s="9"/>
      <c r="O11" s="43" t="s">
        <v>112</v>
      </c>
      <c r="Q11" s="1"/>
      <c r="BN11" s="22" t="str">
        <f>ASSUMPTIONS!B13</f>
        <v>Mild Symptoms Rate</v>
      </c>
      <c r="BO11" s="29"/>
      <c r="BQ11" s="4">
        <f t="shared" si="9"/>
        <v>0</v>
      </c>
      <c r="BR11" s="4">
        <f t="shared" si="10"/>
        <v>0</v>
      </c>
      <c r="BS11" s="4">
        <f t="shared" si="11"/>
        <v>14286</v>
      </c>
    </row>
    <row r="12" spans="1:71" ht="14.4">
      <c r="A12" s="5">
        <f t="shared" si="12"/>
        <v>10</v>
      </c>
      <c r="B12">
        <v>136</v>
      </c>
      <c r="C12" s="4">
        <f t="shared" si="3"/>
        <v>3341.5562139624981</v>
      </c>
      <c r="D12" s="4">
        <f t="shared" si="13"/>
        <v>158.88300125494891</v>
      </c>
      <c r="E12" s="4">
        <f t="shared" si="4"/>
        <v>523.63174643399327</v>
      </c>
      <c r="F12" s="4">
        <f t="shared" si="5"/>
        <v>1501.6107847825533</v>
      </c>
      <c r="G12" s="6">
        <f t="shared" si="0"/>
        <v>2.1790898656947757</v>
      </c>
      <c r="H12" s="9">
        <f t="shared" si="6"/>
        <v>-22.883001254948908</v>
      </c>
      <c r="I12" s="9">
        <f t="shared" si="1"/>
        <v>110.77952199942379</v>
      </c>
      <c r="J12" s="9">
        <f t="shared" si="2"/>
        <v>161.22047800057621</v>
      </c>
      <c r="K12" s="9">
        <f t="shared" si="7"/>
        <v>13789.469387755102</v>
      </c>
      <c r="L12" s="9">
        <f t="shared" si="8"/>
        <v>-37.163410341347188</v>
      </c>
      <c r="M12" s="9">
        <f t="shared" si="14"/>
        <v>158.88300125494891</v>
      </c>
      <c r="N12" s="9"/>
      <c r="O12" s="42" t="s">
        <v>102</v>
      </c>
      <c r="P12" s="60">
        <f>-AVERAGE(C2:C50)*AVERAGE(D2:D50)/'2013US'!N</f>
        <v>-4.0720622471017425</v>
      </c>
      <c r="Q12" s="60">
        <f>AVERAGE(L2:L50)</f>
        <v>-5.048221238738015</v>
      </c>
      <c r="BN12" s="22" t="str">
        <f>ASSUMPTIONS!B14</f>
        <v>Workforce Cost Rate</v>
      </c>
      <c r="BO12" s="29"/>
      <c r="BQ12" s="4">
        <f t="shared" si="9"/>
        <v>0</v>
      </c>
      <c r="BR12" s="4">
        <f t="shared" si="10"/>
        <v>0</v>
      </c>
      <c r="BS12" s="4">
        <f t="shared" si="11"/>
        <v>14286</v>
      </c>
    </row>
    <row r="13" spans="1:71" ht="14.4">
      <c r="A13" s="5">
        <f t="shared" si="12"/>
        <v>11</v>
      </c>
      <c r="B13">
        <v>93</v>
      </c>
      <c r="C13" s="4">
        <f t="shared" si="3"/>
        <v>2995.3358760966685</v>
      </c>
      <c r="D13" s="4">
        <f t="shared" si="13"/>
        <v>103.14319994452973</v>
      </c>
      <c r="E13" s="4">
        <f t="shared" si="4"/>
        <v>102.88450511470785</v>
      </c>
      <c r="F13" s="4">
        <f t="shared" si="5"/>
        <v>1903.570923958802</v>
      </c>
      <c r="G13" s="6">
        <f t="shared" si="0"/>
        <v>1.9533132570630116</v>
      </c>
      <c r="H13" s="9">
        <f t="shared" si="6"/>
        <v>-10.143199944529727</v>
      </c>
      <c r="I13" s="9">
        <f t="shared" si="1"/>
        <v>67.779521999423793</v>
      </c>
      <c r="J13" s="9">
        <f t="shared" si="2"/>
        <v>118.22047800057621</v>
      </c>
      <c r="K13" s="9">
        <f t="shared" si="7"/>
        <v>5539.6122448979595</v>
      </c>
      <c r="L13" s="9">
        <f t="shared" si="8"/>
        <v>-21.625964382560671</v>
      </c>
      <c r="M13" s="9">
        <f t="shared" si="14"/>
        <v>103.14319994452973</v>
      </c>
      <c r="N13" s="9"/>
      <c r="O13" s="43" t="s">
        <v>103</v>
      </c>
      <c r="P13" s="62">
        <f>AVERAGE(D2:D50)</f>
        <v>18.692683633815463</v>
      </c>
      <c r="Q13" s="62">
        <f>AVERAGE(M2:M50)</f>
        <v>18.631459144019544</v>
      </c>
      <c r="R13" s="42" t="s">
        <v>114</v>
      </c>
      <c r="BN13" s="22" t="str">
        <f>ASSUMPTIONS!B15</f>
        <v>Workforce Only Option</v>
      </c>
      <c r="BO13" s="29"/>
      <c r="BQ13" s="4">
        <f t="shared" si="9"/>
        <v>0</v>
      </c>
      <c r="BR13" s="4">
        <f t="shared" si="10"/>
        <v>0</v>
      </c>
      <c r="BS13" s="4">
        <f t="shared" si="11"/>
        <v>14286</v>
      </c>
    </row>
    <row r="14" spans="1:71">
      <c r="A14" s="5">
        <f t="shared" si="12"/>
        <v>12</v>
      </c>
      <c r="B14">
        <v>56</v>
      </c>
      <c r="C14" s="4">
        <f t="shared" si="3"/>
        <v>2793.8648962691177</v>
      </c>
      <c r="D14" s="4">
        <f t="shared" si="13"/>
        <v>43.670877610639053</v>
      </c>
      <c r="E14" s="4">
        <f t="shared" si="4"/>
        <v>152.00725889184139</v>
      </c>
      <c r="F14" s="4">
        <f t="shared" si="5"/>
        <v>2164.5142261202436</v>
      </c>
      <c r="G14" s="6">
        <f t="shared" si="0"/>
        <v>1.821930349739957</v>
      </c>
      <c r="H14" s="9">
        <f t="shared" si="6"/>
        <v>12.329122389360947</v>
      </c>
      <c r="I14" s="9">
        <f t="shared" si="1"/>
        <v>30.779521999423785</v>
      </c>
      <c r="J14" s="9">
        <f t="shared" si="2"/>
        <v>81.220478000576207</v>
      </c>
      <c r="K14" s="9">
        <f t="shared" si="7"/>
        <v>1400.8979591836737</v>
      </c>
      <c r="L14" s="9">
        <f t="shared" si="8"/>
        <v>-8.5405664248655615</v>
      </c>
      <c r="M14" s="9">
        <f t="shared" si="14"/>
        <v>43.670877610639053</v>
      </c>
      <c r="N14" s="9"/>
      <c r="O14" s="41" t="s">
        <v>111</v>
      </c>
      <c r="P14" s="67">
        <f t="array" ref="P14:Q15">MMULT(Q12:Q13,TRANSPOSE(Q12:Q13))</f>
        <v>25.48453767524558</v>
      </c>
      <c r="Q14" s="68">
        <v>-94.055727759519058</v>
      </c>
      <c r="R14" s="37">
        <f>INT(P14)</f>
        <v>25</v>
      </c>
      <c r="S14" s="38">
        <f>INT(Q14)</f>
        <v>-95</v>
      </c>
      <c r="BQ14" s="4">
        <f t="shared" si="9"/>
        <v>0</v>
      </c>
      <c r="BR14" s="4">
        <f t="shared" si="10"/>
        <v>0</v>
      </c>
      <c r="BS14" s="4">
        <f t="shared" si="11"/>
        <v>14286</v>
      </c>
    </row>
    <row r="15" spans="1:71">
      <c r="A15" s="5">
        <f t="shared" si="12"/>
        <v>13</v>
      </c>
      <c r="B15">
        <v>46</v>
      </c>
      <c r="C15" s="4">
        <f t="shared" si="3"/>
        <v>2714.2995989505152</v>
      </c>
      <c r="D15" s="4">
        <f t="shared" si="13"/>
        <v>12.75266251022731</v>
      </c>
      <c r="E15" s="4">
        <f t="shared" si="4"/>
        <v>1105.3854501588446</v>
      </c>
      <c r="F15" s="4">
        <f t="shared" si="5"/>
        <v>2274.9977385392576</v>
      </c>
      <c r="G15" s="6">
        <f t="shared" si="0"/>
        <v>1.7700443655019842</v>
      </c>
      <c r="H15" s="9">
        <f t="shared" si="6"/>
        <v>33.24733748977269</v>
      </c>
      <c r="I15" s="9">
        <f t="shared" si="1"/>
        <v>20.779521999423785</v>
      </c>
      <c r="J15" s="9">
        <f t="shared" si="2"/>
        <v>71.220478000576207</v>
      </c>
      <c r="K15" s="9">
        <f t="shared" si="7"/>
        <v>752.32653061224482</v>
      </c>
      <c r="L15" s="9">
        <f t="shared" si="8"/>
        <v>-2.4229698121980441</v>
      </c>
      <c r="M15" s="9">
        <f t="shared" si="14"/>
        <v>12.75266251022731</v>
      </c>
      <c r="N15" s="9"/>
      <c r="P15" s="69">
        <v>-94.055727759519058</v>
      </c>
      <c r="Q15" s="70">
        <v>347.13126983526951</v>
      </c>
      <c r="R15" s="39">
        <f>INT(P15)</f>
        <v>-95</v>
      </c>
      <c r="S15" s="40">
        <f>INT(Q15)</f>
        <v>347</v>
      </c>
      <c r="BQ15" s="4">
        <f t="shared" si="9"/>
        <v>0</v>
      </c>
      <c r="BR15" s="4">
        <f t="shared" si="10"/>
        <v>0</v>
      </c>
      <c r="BS15" s="4">
        <f t="shared" si="11"/>
        <v>14286</v>
      </c>
    </row>
    <row r="16" spans="1:71">
      <c r="A16" s="5">
        <f t="shared" si="12"/>
        <v>14</v>
      </c>
      <c r="B16">
        <v>21</v>
      </c>
      <c r="C16" s="4">
        <f t="shared" si="3"/>
        <v>2691.7268205291389</v>
      </c>
      <c r="D16" s="4">
        <f t="shared" si="13"/>
        <v>3.0623167648259439</v>
      </c>
      <c r="E16" s="4">
        <f t="shared" si="4"/>
        <v>321.76047984544437</v>
      </c>
      <c r="F16" s="4">
        <f t="shared" si="5"/>
        <v>2307.2608627060354</v>
      </c>
      <c r="G16" s="6">
        <f t="shared" si="0"/>
        <v>1.7553242442324197</v>
      </c>
      <c r="H16" s="9">
        <f t="shared" si="6"/>
        <v>17.937683235174056</v>
      </c>
      <c r="I16" s="9">
        <f t="shared" si="1"/>
        <v>-4.2204780005762146</v>
      </c>
      <c r="J16" s="9">
        <f t="shared" si="2"/>
        <v>46.220478000576215</v>
      </c>
      <c r="K16" s="9">
        <f t="shared" si="7"/>
        <v>5.8979591836734624</v>
      </c>
      <c r="L16" s="9">
        <f t="shared" si="8"/>
        <v>-0.57699287196122195</v>
      </c>
      <c r="M16" s="9">
        <f t="shared" si="14"/>
        <v>3.0623167648259439</v>
      </c>
      <c r="N16" s="9"/>
      <c r="O16" s="41" t="s">
        <v>113</v>
      </c>
      <c r="P16" s="67">
        <f t="array" ref="P16:Q17">MINVERSE(R14:S15)</f>
        <v>-0.99142857142856988</v>
      </c>
      <c r="Q16" s="68">
        <v>-0.27142857142857102</v>
      </c>
      <c r="BQ16" s="4">
        <f t="shared" si="9"/>
        <v>0</v>
      </c>
      <c r="BR16" s="4">
        <f t="shared" si="10"/>
        <v>0</v>
      </c>
      <c r="BS16" s="4">
        <f t="shared" si="11"/>
        <v>14286</v>
      </c>
    </row>
    <row r="17" spans="1:71">
      <c r="A17" s="5">
        <f t="shared" si="12"/>
        <v>15</v>
      </c>
      <c r="B17">
        <v>15</v>
      </c>
      <c r="C17" s="4">
        <f t="shared" si="3"/>
        <v>2686.3514616683206</v>
      </c>
      <c r="D17" s="4">
        <f t="shared" si="13"/>
        <v>0.69028123311262579</v>
      </c>
      <c r="E17" s="4">
        <f t="shared" si="4"/>
        <v>204.76805118740873</v>
      </c>
      <c r="F17" s="4">
        <f t="shared" si="5"/>
        <v>2315.0082570985669</v>
      </c>
      <c r="G17" s="6">
        <f t="shared" si="0"/>
        <v>1.7518188744980612</v>
      </c>
      <c r="H17" s="9">
        <f t="shared" si="6"/>
        <v>14.309718766887375</v>
      </c>
      <c r="I17" s="9">
        <f t="shared" si="1"/>
        <v>-10.220478000576215</v>
      </c>
      <c r="J17" s="9">
        <f t="shared" si="2"/>
        <v>40.220478000576215</v>
      </c>
      <c r="K17" s="9">
        <f t="shared" si="7"/>
        <v>12.755102040816338</v>
      </c>
      <c r="L17" s="9">
        <f t="shared" si="8"/>
        <v>-0.12980106394612298</v>
      </c>
      <c r="M17" s="9">
        <f t="shared" si="14"/>
        <v>0.69028123311262579</v>
      </c>
      <c r="N17" s="9"/>
      <c r="O17" s="21"/>
      <c r="P17" s="69">
        <v>-0.27142857142857102</v>
      </c>
      <c r="Q17" s="70">
        <v>-7.1428571428571327E-2</v>
      </c>
      <c r="BQ17" s="4">
        <f t="shared" si="9"/>
        <v>0</v>
      </c>
      <c r="BR17" s="4">
        <f t="shared" si="10"/>
        <v>0</v>
      </c>
      <c r="BS17" s="4">
        <f t="shared" si="11"/>
        <v>14286</v>
      </c>
    </row>
    <row r="18" spans="1:71">
      <c r="A18" s="5">
        <f t="shared" si="12"/>
        <v>16</v>
      </c>
      <c r="B18">
        <v>5</v>
      </c>
      <c r="C18" s="4">
        <f t="shared" si="3"/>
        <v>2685.1422139754422</v>
      </c>
      <c r="D18" s="4">
        <f t="shared" si="13"/>
        <v>0.15317759613756721</v>
      </c>
      <c r="E18" s="4">
        <f t="shared" si="4"/>
        <v>23.491687414582813</v>
      </c>
      <c r="F18" s="4">
        <f t="shared" si="5"/>
        <v>2316.7546084284204</v>
      </c>
      <c r="G18" s="6">
        <f t="shared" si="0"/>
        <v>1.7510303019815625</v>
      </c>
      <c r="H18" s="9">
        <f t="shared" si="6"/>
        <v>4.8468224038624328</v>
      </c>
      <c r="I18" s="9">
        <f t="shared" si="1"/>
        <v>-20.220478000576215</v>
      </c>
      <c r="J18" s="9">
        <f t="shared" si="2"/>
        <v>30.220478000576215</v>
      </c>
      <c r="K18" s="9">
        <f t="shared" si="7"/>
        <v>184.1836734693878</v>
      </c>
      <c r="L18" s="9">
        <f t="shared" si="8"/>
        <v>-2.8790678260133231E-2</v>
      </c>
      <c r="M18" s="9">
        <f t="shared" si="14"/>
        <v>0.15317759613756721</v>
      </c>
      <c r="N18" s="9"/>
      <c r="BQ18" s="4">
        <f t="shared" si="9"/>
        <v>0</v>
      </c>
      <c r="BR18" s="4">
        <f t="shared" si="10"/>
        <v>0</v>
      </c>
      <c r="BS18" s="4">
        <f t="shared" si="11"/>
        <v>14286</v>
      </c>
    </row>
    <row r="19" spans="1:71">
      <c r="A19" s="5">
        <f>A18+1</f>
        <v>17</v>
      </c>
      <c r="B19">
        <v>8</v>
      </c>
      <c r="C19" s="4">
        <f t="shared" si="3"/>
        <v>2684.8739953630206</v>
      </c>
      <c r="D19" s="4">
        <f t="shared" si="13"/>
        <v>3.3870246840049606E-2</v>
      </c>
      <c r="E19" s="4">
        <f t="shared" si="4"/>
        <v>63.459223244180208</v>
      </c>
      <c r="F19" s="4">
        <f t="shared" si="5"/>
        <v>2317.1421343901393</v>
      </c>
      <c r="G19" s="6">
        <f t="shared" si="0"/>
        <v>1.7508553917233789</v>
      </c>
      <c r="H19" s="9">
        <f t="shared" si="6"/>
        <v>7.96612975315995</v>
      </c>
      <c r="I19" s="9">
        <f t="shared" si="1"/>
        <v>-17.220478000576215</v>
      </c>
      <c r="J19" s="9">
        <f t="shared" si="2"/>
        <v>33.220478000576215</v>
      </c>
      <c r="K19" s="9">
        <f t="shared" si="7"/>
        <v>111.75510204081635</v>
      </c>
      <c r="L19" s="9">
        <f t="shared" si="8"/>
        <v>-6.3654868372795548E-3</v>
      </c>
      <c r="M19" s="9">
        <f t="shared" si="14"/>
        <v>3.3870246840049606E-2</v>
      </c>
      <c r="N19" s="9"/>
      <c r="O19" s="1" t="s">
        <v>16</v>
      </c>
      <c r="P19" s="8"/>
      <c r="BQ19" s="4">
        <f t="shared" si="9"/>
        <v>0</v>
      </c>
      <c r="BR19" s="4">
        <f t="shared" si="10"/>
        <v>0</v>
      </c>
      <c r="BS19" s="4">
        <f t="shared" si="11"/>
        <v>14286</v>
      </c>
    </row>
    <row r="20" spans="1:71">
      <c r="A20" s="5">
        <f t="shared" ref="A20:A35" si="15">A19+1</f>
        <v>18</v>
      </c>
      <c r="B20">
        <v>0</v>
      </c>
      <c r="C20" s="4">
        <f t="shared" si="3"/>
        <v>2684.8146934587216</v>
      </c>
      <c r="D20" s="4">
        <f t="shared" si="13"/>
        <v>7.4833799914712992E-3</v>
      </c>
      <c r="E20" s="4">
        <f t="shared" si="4"/>
        <v>5.6000976096752985E-5</v>
      </c>
      <c r="F20" s="4">
        <f t="shared" si="5"/>
        <v>2317.2278231612868</v>
      </c>
      <c r="G20" s="6">
        <f t="shared" si="0"/>
        <v>1.7508167198679918</v>
      </c>
      <c r="H20" s="9">
        <f t="shared" si="6"/>
        <v>-7.4833799914712992E-3</v>
      </c>
      <c r="I20" s="9">
        <f t="shared" si="1"/>
        <v>-25.220478000576215</v>
      </c>
      <c r="J20" s="9">
        <f t="shared" si="2"/>
        <v>25.220478000576215</v>
      </c>
      <c r="K20" s="9">
        <f t="shared" si="7"/>
        <v>344.89795918367355</v>
      </c>
      <c r="L20" s="9">
        <f t="shared" si="8"/>
        <v>-1.4063760715271698E-3</v>
      </c>
      <c r="M20" s="9">
        <f t="shared" si="14"/>
        <v>7.4833799914712992E-3</v>
      </c>
      <c r="O20" s="1" t="s">
        <v>17</v>
      </c>
      <c r="P20" s="7"/>
      <c r="BQ20" s="4">
        <f t="shared" si="9"/>
        <v>0</v>
      </c>
      <c r="BR20" s="4">
        <f t="shared" si="10"/>
        <v>0</v>
      </c>
      <c r="BS20" s="4">
        <f t="shared" si="11"/>
        <v>14286</v>
      </c>
    </row>
    <row r="21" spans="1:71">
      <c r="A21" s="5">
        <f t="shared" si="15"/>
        <v>19</v>
      </c>
      <c r="B21">
        <v>0</v>
      </c>
      <c r="C21" s="4">
        <f t="shared" si="3"/>
        <v>2684.8015914319117</v>
      </c>
      <c r="D21" s="4">
        <f t="shared" si="13"/>
        <v>1.6531079457677931E-3</v>
      </c>
      <c r="E21" s="4">
        <f t="shared" si="4"/>
        <v>2.7327658803606126E-6</v>
      </c>
      <c r="F21" s="4">
        <f t="shared" si="5"/>
        <v>2317.2467554601426</v>
      </c>
      <c r="G21" s="6">
        <f t="shared" si="0"/>
        <v>1.7508081757969023</v>
      </c>
      <c r="H21" s="9">
        <f t="shared" si="6"/>
        <v>-1.6531079457677931E-3</v>
      </c>
      <c r="I21" s="9">
        <f t="shared" si="1"/>
        <v>-25.220478000576215</v>
      </c>
      <c r="J21" s="9">
        <f t="shared" si="2"/>
        <v>25.220478000576215</v>
      </c>
      <c r="K21" s="9">
        <f t="shared" si="7"/>
        <v>344.89795918367355</v>
      </c>
      <c r="L21" s="9">
        <f t="shared" si="8"/>
        <v>-3.1067246560311559E-4</v>
      </c>
      <c r="M21" s="9">
        <f t="shared" si="14"/>
        <v>1.6531079457677931E-3</v>
      </c>
      <c r="O21" s="1" t="s">
        <v>19</v>
      </c>
      <c r="BQ21" s="4">
        <f t="shared" si="9"/>
        <v>0</v>
      </c>
      <c r="BR21" s="4">
        <f t="shared" si="10"/>
        <v>0</v>
      </c>
      <c r="BS21" s="4">
        <f t="shared" si="11"/>
        <v>14286</v>
      </c>
    </row>
    <row r="22" spans="1:71">
      <c r="A22" s="5">
        <f t="shared" si="15"/>
        <v>20</v>
      </c>
      <c r="B22">
        <v>0</v>
      </c>
      <c r="C22" s="4">
        <f t="shared" si="3"/>
        <v>2684.7986971570049</v>
      </c>
      <c r="D22" s="4">
        <f t="shared" si="13"/>
        <v>3.6516389468154104E-4</v>
      </c>
      <c r="E22" s="4">
        <f t="shared" si="4"/>
        <v>1.333446699789916E-7</v>
      </c>
      <c r="F22" s="4">
        <f t="shared" si="5"/>
        <v>2317.2509376791004</v>
      </c>
      <c r="G22" s="6">
        <f t="shared" si="0"/>
        <v>1.7508062883873499</v>
      </c>
      <c r="H22" s="9">
        <f t="shared" si="6"/>
        <v>-3.6516389468154104E-4</v>
      </c>
      <c r="I22" s="9">
        <f t="shared" si="1"/>
        <v>-25.220478000576215</v>
      </c>
      <c r="J22" s="9">
        <f t="shared" si="2"/>
        <v>25.220478000576215</v>
      </c>
      <c r="K22" s="9">
        <f t="shared" si="7"/>
        <v>344.89795918367355</v>
      </c>
      <c r="L22" s="9">
        <f t="shared" si="8"/>
        <v>-6.862603588756678E-5</v>
      </c>
      <c r="M22" s="9">
        <f t="shared" si="14"/>
        <v>3.6516389468154104E-4</v>
      </c>
      <c r="O22" s="18" t="s">
        <v>25</v>
      </c>
      <c r="BQ22" s="4">
        <f t="shared" si="9"/>
        <v>0</v>
      </c>
      <c r="BR22" s="4">
        <f t="shared" si="10"/>
        <v>0</v>
      </c>
      <c r="BS22" s="4">
        <f t="shared" si="11"/>
        <v>14286</v>
      </c>
    </row>
    <row r="23" spans="1:71">
      <c r="A23" s="5">
        <f t="shared" si="15"/>
        <v>21</v>
      </c>
      <c r="B23">
        <v>0</v>
      </c>
      <c r="C23" s="4">
        <f t="shared" si="3"/>
        <v>2684.7980578257616</v>
      </c>
      <c r="D23" s="4">
        <f t="shared" si="13"/>
        <v>8.0662325152767024E-5</v>
      </c>
      <c r="E23" s="4">
        <f t="shared" si="4"/>
        <v>6.5064106990507117E-9</v>
      </c>
      <c r="F23" s="4">
        <f t="shared" si="5"/>
        <v>2317.2518615119129</v>
      </c>
      <c r="G23" s="6">
        <f t="shared" si="0"/>
        <v>1.7508058714677641</v>
      </c>
      <c r="H23" s="9">
        <f t="shared" si="6"/>
        <v>-8.0662325152767024E-5</v>
      </c>
      <c r="I23" s="9">
        <f t="shared" si="1"/>
        <v>-25.220478000576215</v>
      </c>
      <c r="J23" s="9">
        <f t="shared" si="2"/>
        <v>25.220478000576215</v>
      </c>
      <c r="K23" s="9">
        <f t="shared" si="7"/>
        <v>344.89795918367355</v>
      </c>
      <c r="L23" s="9">
        <f t="shared" si="8"/>
        <v>-1.515904059287827E-5</v>
      </c>
      <c r="M23" s="9">
        <f t="shared" si="14"/>
        <v>8.0662325152767024E-5</v>
      </c>
      <c r="BQ23" s="4">
        <f t="shared" si="9"/>
        <v>0</v>
      </c>
      <c r="BR23" s="4">
        <f t="shared" si="10"/>
        <v>0</v>
      </c>
      <c r="BS23" s="4">
        <f t="shared" si="11"/>
        <v>14286</v>
      </c>
    </row>
    <row r="24" spans="1:71">
      <c r="A24" s="5">
        <f t="shared" si="15"/>
        <v>22</v>
      </c>
      <c r="B24">
        <v>0</v>
      </c>
      <c r="C24" s="4">
        <f t="shared" si="3"/>
        <v>2684.7979166016889</v>
      </c>
      <c r="D24" s="4">
        <f t="shared" si="13"/>
        <v>1.781774845065537E-5</v>
      </c>
      <c r="E24" s="4">
        <f t="shared" si="4"/>
        <v>3.1747215985083183E-10</v>
      </c>
      <c r="F24" s="4">
        <f t="shared" si="5"/>
        <v>2317.252065580562</v>
      </c>
      <c r="G24" s="6">
        <f t="shared" si="0"/>
        <v>1.7508057793729659</v>
      </c>
      <c r="H24" s="9">
        <f t="shared" si="6"/>
        <v>-1.781774845065537E-5</v>
      </c>
      <c r="I24" s="9">
        <f t="shared" si="1"/>
        <v>-25.220478000576215</v>
      </c>
      <c r="J24" s="9">
        <f t="shared" si="2"/>
        <v>25.220478000576215</v>
      </c>
      <c r="K24" s="9">
        <f t="shared" si="7"/>
        <v>344.89795918367355</v>
      </c>
      <c r="L24" s="9">
        <f t="shared" si="8"/>
        <v>-3.3485268037836001E-6</v>
      </c>
      <c r="M24" s="9">
        <f t="shared" si="14"/>
        <v>1.781774845065537E-5</v>
      </c>
      <c r="O24" s="11" t="s">
        <v>12</v>
      </c>
      <c r="P24" s="21" t="s">
        <v>95</v>
      </c>
      <c r="BQ24" s="4">
        <f t="shared" si="9"/>
        <v>0</v>
      </c>
      <c r="BR24" s="4">
        <f t="shared" si="10"/>
        <v>0</v>
      </c>
      <c r="BS24" s="4">
        <f t="shared" si="11"/>
        <v>14286</v>
      </c>
    </row>
    <row r="25" spans="1:71">
      <c r="A25" s="5">
        <f t="shared" si="15"/>
        <v>23</v>
      </c>
      <c r="B25">
        <v>0</v>
      </c>
      <c r="C25" s="4">
        <f t="shared" si="3"/>
        <v>2684.7978854062721</v>
      </c>
      <c r="D25" s="4">
        <f t="shared" si="13"/>
        <v>3.9358154738161715E-6</v>
      </c>
      <c r="E25" s="4">
        <f t="shared" si="4"/>
        <v>1.5490643443930815E-11</v>
      </c>
      <c r="F25" s="4">
        <f t="shared" si="5"/>
        <v>2317.252110657912</v>
      </c>
      <c r="G25" s="6">
        <f t="shared" si="0"/>
        <v>1.7508057590298647</v>
      </c>
      <c r="H25" s="9">
        <f t="shared" si="6"/>
        <v>-3.9358154738161715E-6</v>
      </c>
      <c r="I25" s="9">
        <f t="shared" si="1"/>
        <v>-25.220478000576215</v>
      </c>
      <c r="J25" s="9">
        <f t="shared" si="2"/>
        <v>25.220478000576215</v>
      </c>
      <c r="K25" s="9">
        <f t="shared" si="7"/>
        <v>344.89795918367355</v>
      </c>
      <c r="L25" s="9">
        <f t="shared" si="8"/>
        <v>-7.3966604098074635E-7</v>
      </c>
      <c r="M25" s="9">
        <f t="shared" si="14"/>
        <v>3.9358154738161715E-6</v>
      </c>
      <c r="O25" s="11" t="s">
        <v>32</v>
      </c>
      <c r="P25" s="21" t="s">
        <v>96</v>
      </c>
      <c r="BQ25" s="4">
        <f t="shared" si="9"/>
        <v>0</v>
      </c>
      <c r="BR25" s="4">
        <f t="shared" si="10"/>
        <v>0</v>
      </c>
      <c r="BS25" s="4">
        <f t="shared" si="11"/>
        <v>14286</v>
      </c>
    </row>
    <row r="26" spans="1:71">
      <c r="A26" s="5">
        <f t="shared" si="15"/>
        <v>24</v>
      </c>
      <c r="B26">
        <v>0</v>
      </c>
      <c r="C26" s="4">
        <f t="shared" si="3"/>
        <v>2684.7978785154237</v>
      </c>
      <c r="D26" s="4">
        <f t="shared" si="13"/>
        <v>8.693939113700341E-7</v>
      </c>
      <c r="E26" s="4">
        <f t="shared" si="4"/>
        <v>7.5584577312728676E-13</v>
      </c>
      <c r="F26" s="4">
        <f t="shared" si="5"/>
        <v>2317.2521206151819</v>
      </c>
      <c r="G26" s="6">
        <f t="shared" si="0"/>
        <v>1.7508057545362161</v>
      </c>
      <c r="H26" s="9">
        <f t="shared" si="6"/>
        <v>-8.693939113700341E-7</v>
      </c>
      <c r="I26" s="9">
        <f t="shared" si="1"/>
        <v>-25.220478000576215</v>
      </c>
      <c r="J26" s="9">
        <f t="shared" si="2"/>
        <v>25.220478000576215</v>
      </c>
      <c r="K26" s="9">
        <f t="shared" si="7"/>
        <v>344.89795918367355</v>
      </c>
      <c r="L26" s="9">
        <f t="shared" si="8"/>
        <v>-1.6338701727848899E-7</v>
      </c>
      <c r="M26" s="9">
        <f t="shared" si="14"/>
        <v>8.693939113700341E-7</v>
      </c>
      <c r="N26" s="9"/>
      <c r="O26" s="32" t="s">
        <v>75</v>
      </c>
      <c r="P26" s="21" t="s">
        <v>97</v>
      </c>
      <c r="Q26" s="9"/>
      <c r="BQ26" s="4">
        <f t="shared" si="9"/>
        <v>0</v>
      </c>
      <c r="BR26" s="4">
        <f t="shared" si="10"/>
        <v>0</v>
      </c>
      <c r="BS26" s="4">
        <f t="shared" si="11"/>
        <v>14286</v>
      </c>
    </row>
    <row r="27" spans="1:71">
      <c r="A27" s="5">
        <f t="shared" si="15"/>
        <v>25</v>
      </c>
      <c r="B27">
        <v>0</v>
      </c>
      <c r="C27" s="4">
        <f t="shared" si="3"/>
        <v>2684.7978769932838</v>
      </c>
      <c r="D27" s="4">
        <f t="shared" si="13"/>
        <v>1.9204298646099101E-7</v>
      </c>
      <c r="E27" s="4">
        <f t="shared" si="4"/>
        <v>3.6880508648856377E-14</v>
      </c>
      <c r="F27" s="4">
        <f t="shared" si="5"/>
        <v>2317.2521228146725</v>
      </c>
      <c r="G27" s="6">
        <f t="shared" si="0"/>
        <v>1.750805753543601</v>
      </c>
      <c r="H27" s="9">
        <f t="shared" si="6"/>
        <v>-1.9204298646099101E-7</v>
      </c>
      <c r="I27" s="9">
        <f t="shared" si="1"/>
        <v>-25.220478000576215</v>
      </c>
      <c r="J27" s="9">
        <f t="shared" si="2"/>
        <v>25.220478000576215</v>
      </c>
      <c r="K27" s="9">
        <f t="shared" si="7"/>
        <v>344.89795918367355</v>
      </c>
      <c r="L27" s="9">
        <f t="shared" si="8"/>
        <v>-3.6091040343127444E-8</v>
      </c>
      <c r="M27" s="9">
        <f t="shared" si="14"/>
        <v>1.9204298646099101E-7</v>
      </c>
      <c r="N27" s="9"/>
      <c r="O27" s="9"/>
      <c r="BQ27" s="4">
        <f t="shared" si="9"/>
        <v>0</v>
      </c>
      <c r="BR27" s="4">
        <f t="shared" si="10"/>
        <v>0</v>
      </c>
      <c r="BS27" s="4">
        <f t="shared" si="11"/>
        <v>14286</v>
      </c>
    </row>
    <row r="28" spans="1:71">
      <c r="A28" s="5">
        <f t="shared" si="15"/>
        <v>26</v>
      </c>
      <c r="B28">
        <v>0</v>
      </c>
      <c r="C28" s="4">
        <f t="shared" si="3"/>
        <v>2684.7978766570536</v>
      </c>
      <c r="D28" s="4">
        <f t="shared" si="13"/>
        <v>4.2420941762762279E-8</v>
      </c>
      <c r="E28" s="4">
        <f t="shared" si="4"/>
        <v>1.799536300039669E-15</v>
      </c>
      <c r="F28" s="4">
        <f t="shared" si="5"/>
        <v>2317.2521233005245</v>
      </c>
      <c r="G28" s="6">
        <f t="shared" si="0"/>
        <v>1.7508057533243391</v>
      </c>
      <c r="H28" s="9">
        <f t="shared" si="6"/>
        <v>-4.2420941762762279E-8</v>
      </c>
      <c r="I28" s="9">
        <f t="shared" si="1"/>
        <v>-25.220478000576215</v>
      </c>
      <c r="J28" s="9">
        <f t="shared" si="2"/>
        <v>25.220478000576215</v>
      </c>
      <c r="K28" s="9">
        <f t="shared" si="7"/>
        <v>344.89795918367355</v>
      </c>
      <c r="L28" s="9">
        <f t="shared" si="8"/>
        <v>-7.9722563608047523E-9</v>
      </c>
      <c r="M28" s="9">
        <f t="shared" si="14"/>
        <v>4.2420941762762279E-8</v>
      </c>
      <c r="N28" s="9"/>
      <c r="O28" s="32" t="s">
        <v>100</v>
      </c>
      <c r="P28" s="21" t="s">
        <v>98</v>
      </c>
      <c r="BQ28" s="4">
        <f t="shared" si="9"/>
        <v>0</v>
      </c>
      <c r="BR28" s="4">
        <f t="shared" si="10"/>
        <v>0</v>
      </c>
      <c r="BS28" s="4">
        <f t="shared" si="11"/>
        <v>14286</v>
      </c>
    </row>
    <row r="29" spans="1:71">
      <c r="A29" s="5">
        <f t="shared" si="15"/>
        <v>27</v>
      </c>
      <c r="B29">
        <v>0</v>
      </c>
      <c r="C29" s="4">
        <f t="shared" si="3"/>
        <v>2684.7978765827829</v>
      </c>
      <c r="D29" s="4">
        <f t="shared" si="13"/>
        <v>9.3704869488631687E-9</v>
      </c>
      <c r="E29" s="4">
        <f t="shared" si="4"/>
        <v>8.7806025658814983E-17</v>
      </c>
      <c r="F29" s="4">
        <f t="shared" si="5"/>
        <v>2317.2521234078458</v>
      </c>
      <c r="G29" s="6">
        <f t="shared" si="0"/>
        <v>1.7508057532759058</v>
      </c>
      <c r="H29" s="9">
        <f t="shared" si="6"/>
        <v>-9.3704869488631687E-9</v>
      </c>
      <c r="I29" s="9">
        <f t="shared" si="1"/>
        <v>-25.220478000576215</v>
      </c>
      <c r="J29" s="9">
        <f t="shared" si="2"/>
        <v>25.220478000576215</v>
      </c>
      <c r="K29" s="9">
        <f t="shared" si="7"/>
        <v>344.89795918367355</v>
      </c>
      <c r="L29" s="9">
        <f t="shared" si="8"/>
        <v>-1.7610152220953742E-9</v>
      </c>
      <c r="M29" s="9">
        <f t="shared" si="14"/>
        <v>9.3704869488631687E-9</v>
      </c>
      <c r="N29" s="9"/>
      <c r="O29" s="32" t="s">
        <v>101</v>
      </c>
      <c r="P29" s="21" t="s">
        <v>99</v>
      </c>
      <c r="BQ29" s="4">
        <f t="shared" si="9"/>
        <v>0</v>
      </c>
      <c r="BR29" s="4">
        <f t="shared" si="10"/>
        <v>0</v>
      </c>
      <c r="BS29" s="4">
        <f t="shared" si="11"/>
        <v>14286</v>
      </c>
    </row>
    <row r="30" spans="1:71">
      <c r="A30" s="5">
        <f t="shared" si="15"/>
        <v>28</v>
      </c>
      <c r="B30">
        <v>0</v>
      </c>
      <c r="C30" s="4">
        <f t="shared" si="3"/>
        <v>2684.797876566377</v>
      </c>
      <c r="D30" s="4">
        <f t="shared" si="13"/>
        <v>2.06987450044402E-9</v>
      </c>
      <c r="E30" s="4">
        <f t="shared" si="4"/>
        <v>4.2843804475883815E-18</v>
      </c>
      <c r="F30" s="4">
        <f t="shared" si="5"/>
        <v>2317.2521234315523</v>
      </c>
      <c r="G30" s="6">
        <f t="shared" si="0"/>
        <v>1.7508057532652073</v>
      </c>
      <c r="H30" s="9">
        <f t="shared" si="6"/>
        <v>-2.06987450044402E-9</v>
      </c>
      <c r="I30" s="9">
        <f t="shared" si="1"/>
        <v>-25.220478000576215</v>
      </c>
      <c r="J30" s="9">
        <f t="shared" si="2"/>
        <v>25.220478000576215</v>
      </c>
      <c r="K30" s="9">
        <f t="shared" si="7"/>
        <v>344.89795918367355</v>
      </c>
      <c r="L30" s="9">
        <f t="shared" si="8"/>
        <v>-3.8899584653163905E-10</v>
      </c>
      <c r="M30" s="9">
        <f t="shared" si="14"/>
        <v>2.06987450044402E-9</v>
      </c>
      <c r="N30" s="9"/>
      <c r="BQ30" s="4">
        <f t="shared" si="9"/>
        <v>0</v>
      </c>
      <c r="BR30" s="4">
        <f t="shared" si="10"/>
        <v>0</v>
      </c>
      <c r="BS30" s="4">
        <f t="shared" si="11"/>
        <v>14286</v>
      </c>
    </row>
    <row r="31" spans="1:71">
      <c r="A31" s="5">
        <f t="shared" si="15"/>
        <v>29</v>
      </c>
      <c r="B31">
        <v>0</v>
      </c>
      <c r="C31" s="4">
        <f t="shared" si="3"/>
        <v>2684.7978765627531</v>
      </c>
      <c r="D31" s="4">
        <f t="shared" si="13"/>
        <v>4.5722068348866973E-10</v>
      </c>
      <c r="E31" s="4">
        <f t="shared" si="4"/>
        <v>2.0905075340984631E-19</v>
      </c>
      <c r="F31" s="4">
        <f t="shared" si="5"/>
        <v>2317.2521234367887</v>
      </c>
      <c r="G31" s="6">
        <f t="shared" si="0"/>
        <v>1.750805753262844</v>
      </c>
      <c r="H31" s="9">
        <f t="shared" si="6"/>
        <v>-4.5722068348866973E-10</v>
      </c>
      <c r="I31" s="9">
        <f t="shared" si="1"/>
        <v>-25.220478000576215</v>
      </c>
      <c r="J31" s="9">
        <f t="shared" si="2"/>
        <v>25.220478000576215</v>
      </c>
      <c r="K31" s="9">
        <f t="shared" si="7"/>
        <v>344.89795918367355</v>
      </c>
      <c r="L31" s="9">
        <f t="shared" si="8"/>
        <v>-8.5926439881768937E-11</v>
      </c>
      <c r="M31" s="9">
        <f t="shared" si="14"/>
        <v>4.5722068348866973E-10</v>
      </c>
      <c r="N31" s="9"/>
      <c r="BQ31" s="4">
        <f t="shared" si="9"/>
        <v>0</v>
      </c>
      <c r="BR31" s="4">
        <f t="shared" si="10"/>
        <v>0</v>
      </c>
      <c r="BS31" s="4">
        <f t="shared" si="11"/>
        <v>14286</v>
      </c>
    </row>
    <row r="32" spans="1:71">
      <c r="A32" s="5">
        <f t="shared" si="15"/>
        <v>30</v>
      </c>
      <c r="B32">
        <v>0</v>
      </c>
      <c r="C32" s="4">
        <f t="shared" si="3"/>
        <v>2684.7978765619528</v>
      </c>
      <c r="D32" s="4">
        <f t="shared" si="13"/>
        <v>1.0099682534509467E-10</v>
      </c>
      <c r="E32" s="4">
        <f t="shared" si="4"/>
        <v>1.0200358729787557E-20</v>
      </c>
      <c r="F32" s="4">
        <f t="shared" si="5"/>
        <v>2317.2521234379456</v>
      </c>
      <c r="G32" s="6">
        <f t="shared" si="0"/>
        <v>1.750805753262322</v>
      </c>
      <c r="H32" s="9">
        <f t="shared" si="6"/>
        <v>-1.0099682534509467E-10</v>
      </c>
      <c r="I32" s="9">
        <f t="shared" si="1"/>
        <v>-25.220478000576215</v>
      </c>
      <c r="J32" s="9">
        <f t="shared" si="2"/>
        <v>25.220478000576215</v>
      </c>
      <c r="K32" s="9">
        <f t="shared" si="7"/>
        <v>344.89795918367355</v>
      </c>
      <c r="L32" s="9">
        <f t="shared" si="8"/>
        <v>-1.8980544744925701E-11</v>
      </c>
      <c r="M32" s="9">
        <f t="shared" si="14"/>
        <v>1.0099682534509467E-10</v>
      </c>
      <c r="N32" s="9"/>
      <c r="BQ32" s="4">
        <f t="shared" si="9"/>
        <v>0</v>
      </c>
      <c r="BR32" s="4">
        <f t="shared" si="10"/>
        <v>0</v>
      </c>
      <c r="BS32" s="4">
        <f t="shared" si="11"/>
        <v>14286</v>
      </c>
    </row>
    <row r="33" spans="1:71">
      <c r="A33" s="5">
        <f t="shared" si="15"/>
        <v>31</v>
      </c>
      <c r="B33">
        <v>0</v>
      </c>
      <c r="C33" s="4">
        <f t="shared" si="3"/>
        <v>2684.7978765617759</v>
      </c>
      <c r="D33" s="4">
        <f t="shared" si="13"/>
        <v>2.2309486639871611E-11</v>
      </c>
      <c r="E33" s="4">
        <f t="shared" si="4"/>
        <v>4.9771319413460989E-22</v>
      </c>
      <c r="F33" s="4">
        <f t="shared" si="5"/>
        <v>2317.2521234382011</v>
      </c>
      <c r="G33" s="6">
        <f t="shared" si="0"/>
        <v>1.7508057532622068</v>
      </c>
      <c r="H33" s="9">
        <f t="shared" si="6"/>
        <v>-2.2309486639871611E-11</v>
      </c>
      <c r="I33" s="9">
        <f t="shared" si="1"/>
        <v>-25.220478000576215</v>
      </c>
      <c r="J33" s="9">
        <f t="shared" si="2"/>
        <v>25.220478000576215</v>
      </c>
      <c r="K33" s="9">
        <f t="shared" si="7"/>
        <v>344.89795918367355</v>
      </c>
      <c r="L33" s="9">
        <f t="shared" si="8"/>
        <v>-4.192668511683509E-12</v>
      </c>
      <c r="M33" s="9">
        <f t="shared" si="14"/>
        <v>2.2309486639871611E-11</v>
      </c>
      <c r="N33" s="9"/>
      <c r="BQ33" s="4">
        <f t="shared" si="9"/>
        <v>0</v>
      </c>
      <c r="BR33" s="4">
        <f t="shared" si="10"/>
        <v>0</v>
      </c>
      <c r="BS33" s="4">
        <f t="shared" si="11"/>
        <v>14286</v>
      </c>
    </row>
    <row r="34" spans="1:71">
      <c r="A34" s="5">
        <f t="shared" si="15"/>
        <v>32</v>
      </c>
      <c r="B34">
        <v>0</v>
      </c>
      <c r="C34" s="4">
        <f t="shared" si="3"/>
        <v>2684.7978765617368</v>
      </c>
      <c r="D34" s="4">
        <f t="shared" si="13"/>
        <v>4.9280083055454575E-12</v>
      </c>
      <c r="E34" s="4">
        <f t="shared" si="4"/>
        <v>2.4285265859525012E-23</v>
      </c>
      <c r="F34" s="4">
        <f t="shared" si="5"/>
        <v>2317.2521234382575</v>
      </c>
      <c r="G34" s="6">
        <f t="shared" ref="G34:G50" si="16">b*C34/N</f>
        <v>1.7508057532621812</v>
      </c>
      <c r="H34" s="9">
        <f t="shared" si="6"/>
        <v>-4.9280083055454575E-12</v>
      </c>
      <c r="I34" s="9">
        <f t="shared" ref="I34:I50" si="17">B34-$P$9</f>
        <v>-25.220478000576215</v>
      </c>
      <c r="J34" s="9">
        <f t="shared" ref="J34:J50" si="18">B34+$P$9</f>
        <v>25.220478000576215</v>
      </c>
      <c r="K34" s="9">
        <f t="shared" si="7"/>
        <v>344.89795918367355</v>
      </c>
      <c r="L34" s="9">
        <f t="shared" si="8"/>
        <v>-9.2613091379021751E-13</v>
      </c>
      <c r="M34" s="9">
        <f t="shared" si="14"/>
        <v>4.9280083055454575E-12</v>
      </c>
      <c r="N34" s="9"/>
      <c r="BQ34" s="4">
        <f t="shared" si="9"/>
        <v>0</v>
      </c>
      <c r="BR34" s="4">
        <f t="shared" si="10"/>
        <v>0</v>
      </c>
      <c r="BS34" s="4">
        <f t="shared" si="11"/>
        <v>14286</v>
      </c>
    </row>
    <row r="35" spans="1:71">
      <c r="A35" s="5">
        <f t="shared" si="15"/>
        <v>33</v>
      </c>
      <c r="B35">
        <v>0</v>
      </c>
      <c r="C35" s="4">
        <f t="shared" si="3"/>
        <v>2684.7978765617281</v>
      </c>
      <c r="D35" s="4">
        <f t="shared" si="13"/>
        <v>1.0885622897355013E-12</v>
      </c>
      <c r="E35" s="4">
        <f t="shared" si="4"/>
        <v>1.1849678586341976E-24</v>
      </c>
      <c r="F35" s="4">
        <f t="shared" si="5"/>
        <v>2317.2521234382698</v>
      </c>
      <c r="G35" s="6">
        <f t="shared" si="16"/>
        <v>1.7508057532621757</v>
      </c>
      <c r="H35" s="9">
        <f t="shared" si="6"/>
        <v>-1.0885622897355013E-12</v>
      </c>
      <c r="I35" s="9">
        <f t="shared" si="17"/>
        <v>-25.220478000576215</v>
      </c>
      <c r="J35" s="9">
        <f t="shared" si="18"/>
        <v>25.220478000576215</v>
      </c>
      <c r="K35" s="9">
        <f t="shared" si="7"/>
        <v>344.89795918367355</v>
      </c>
      <c r="L35" s="9">
        <f t="shared" si="8"/>
        <v>-2.0457578916331E-13</v>
      </c>
      <c r="M35" s="9">
        <f t="shared" si="14"/>
        <v>1.0885622897355013E-12</v>
      </c>
      <c r="N35" s="9"/>
      <c r="BQ35" s="4">
        <f t="shared" si="9"/>
        <v>0</v>
      </c>
      <c r="BR35" s="4">
        <f t="shared" si="10"/>
        <v>0</v>
      </c>
      <c r="BS35" s="4">
        <f t="shared" si="11"/>
        <v>14286</v>
      </c>
    </row>
    <row r="36" spans="1:71">
      <c r="A36" s="5">
        <f>A35+1</f>
        <v>34</v>
      </c>
      <c r="B36">
        <v>0</v>
      </c>
      <c r="C36" s="4">
        <f t="shared" si="3"/>
        <v>2684.7978765617263</v>
      </c>
      <c r="D36" s="4">
        <f t="shared" si="13"/>
        <v>2.4045573488598419E-13</v>
      </c>
      <c r="E36" s="4">
        <f t="shared" si="4"/>
        <v>5.7818960439558716E-26</v>
      </c>
      <c r="F36" s="4">
        <f t="shared" si="5"/>
        <v>2317.2521234382725</v>
      </c>
      <c r="G36" s="6">
        <f t="shared" si="16"/>
        <v>1.7508057532621746</v>
      </c>
      <c r="H36" s="9">
        <f t="shared" si="6"/>
        <v>-2.4045573488598419E-13</v>
      </c>
      <c r="I36" s="9">
        <f t="shared" si="17"/>
        <v>-25.220478000576215</v>
      </c>
      <c r="J36" s="9">
        <f t="shared" si="18"/>
        <v>25.220478000576215</v>
      </c>
      <c r="K36" s="9">
        <f t="shared" si="7"/>
        <v>344.89795918367355</v>
      </c>
      <c r="L36" s="9">
        <f t="shared" si="8"/>
        <v>-4.5189349463039318E-14</v>
      </c>
      <c r="M36" s="9">
        <f t="shared" si="14"/>
        <v>2.4045573488598419E-13</v>
      </c>
      <c r="N36" s="9"/>
      <c r="BQ36" s="4">
        <f t="shared" si="9"/>
        <v>0</v>
      </c>
      <c r="BR36" s="4">
        <f t="shared" si="10"/>
        <v>0</v>
      </c>
      <c r="BS36" s="4">
        <f t="shared" si="11"/>
        <v>14286</v>
      </c>
    </row>
    <row r="37" spans="1:71">
      <c r="A37" s="5">
        <f t="shared" ref="A37:A50" si="19">A36+1</f>
        <v>35</v>
      </c>
      <c r="B37">
        <v>0</v>
      </c>
      <c r="C37" s="4">
        <f t="shared" si="3"/>
        <v>2684.7978765617258</v>
      </c>
      <c r="D37" s="4">
        <f t="shared" si="13"/>
        <v>5.3114976501351348E-14</v>
      </c>
      <c r="E37" s="4">
        <f t="shared" si="4"/>
        <v>2.8212007287391059E-27</v>
      </c>
      <c r="F37" s="4">
        <f t="shared" si="5"/>
        <v>2317.252123438273</v>
      </c>
      <c r="G37" s="6">
        <f t="shared" si="16"/>
        <v>1.7508057532621741</v>
      </c>
      <c r="H37" s="9">
        <f t="shared" si="6"/>
        <v>-5.3114976501351348E-14</v>
      </c>
      <c r="I37" s="9">
        <f t="shared" si="17"/>
        <v>-25.220478000576215</v>
      </c>
      <c r="J37" s="9">
        <f t="shared" si="18"/>
        <v>25.220478000576215</v>
      </c>
      <c r="K37" s="9">
        <f t="shared" si="7"/>
        <v>344.89795918367355</v>
      </c>
      <c r="L37" s="9">
        <f t="shared" si="8"/>
        <v>-9.9820086885380137E-15</v>
      </c>
      <c r="M37" s="9">
        <f t="shared" si="14"/>
        <v>5.3114976501351348E-14</v>
      </c>
      <c r="N37" s="9"/>
      <c r="BQ37" s="4">
        <f t="shared" si="9"/>
        <v>0</v>
      </c>
      <c r="BR37" s="4">
        <f t="shared" si="10"/>
        <v>0</v>
      </c>
      <c r="BS37" s="4">
        <f t="shared" si="11"/>
        <v>14286</v>
      </c>
    </row>
    <row r="38" spans="1:71">
      <c r="A38" s="5">
        <f t="shared" si="19"/>
        <v>36</v>
      </c>
      <c r="B38">
        <v>0</v>
      </c>
      <c r="C38" s="4">
        <f t="shared" si="3"/>
        <v>2684.7978765617258</v>
      </c>
      <c r="D38" s="4">
        <f t="shared" si="13"/>
        <v>1.173272382160825E-14</v>
      </c>
      <c r="E38" s="4">
        <f t="shared" si="4"/>
        <v>1.3765680827413371E-28</v>
      </c>
      <c r="F38" s="4">
        <f t="shared" si="5"/>
        <v>2317.252123438273</v>
      </c>
      <c r="G38" s="6">
        <f t="shared" si="16"/>
        <v>1.7508057532621741</v>
      </c>
      <c r="H38" s="9">
        <f t="shared" si="6"/>
        <v>-1.173272382160825E-14</v>
      </c>
      <c r="I38" s="9">
        <f t="shared" si="17"/>
        <v>-25.220478000576215</v>
      </c>
      <c r="J38" s="9">
        <f t="shared" si="18"/>
        <v>25.220478000576215</v>
      </c>
      <c r="K38" s="9">
        <f t="shared" si="7"/>
        <v>344.89795918367355</v>
      </c>
      <c r="L38" s="9">
        <f t="shared" si="8"/>
        <v>-2.2049553410709093E-15</v>
      </c>
      <c r="M38" s="9">
        <f t="shared" si="14"/>
        <v>1.173272382160825E-14</v>
      </c>
      <c r="N38" s="9"/>
      <c r="BQ38" s="4">
        <f t="shared" si="9"/>
        <v>0</v>
      </c>
      <c r="BR38" s="4">
        <f t="shared" si="10"/>
        <v>0</v>
      </c>
      <c r="BS38" s="4">
        <f t="shared" si="11"/>
        <v>14286</v>
      </c>
    </row>
    <row r="39" spans="1:71">
      <c r="A39" s="5">
        <f t="shared" si="19"/>
        <v>37</v>
      </c>
      <c r="B39">
        <v>0</v>
      </c>
      <c r="C39" s="4">
        <f t="shared" si="3"/>
        <v>2684.7978765617258</v>
      </c>
      <c r="D39" s="4">
        <f t="shared" si="13"/>
        <v>2.5916759705359468E-15</v>
      </c>
      <c r="E39" s="4">
        <f t="shared" si="4"/>
        <v>6.7167843362534425E-30</v>
      </c>
      <c r="F39" s="4">
        <f t="shared" si="5"/>
        <v>2317.252123438273</v>
      </c>
      <c r="G39" s="6">
        <f t="shared" si="16"/>
        <v>1.7508057532621741</v>
      </c>
      <c r="H39" s="9">
        <f t="shared" si="6"/>
        <v>-2.5916759705359468E-15</v>
      </c>
      <c r="I39" s="9">
        <f t="shared" si="17"/>
        <v>-25.220478000576215</v>
      </c>
      <c r="J39" s="9">
        <f t="shared" si="18"/>
        <v>25.220478000576215</v>
      </c>
      <c r="K39" s="9">
        <f t="shared" si="7"/>
        <v>344.89795918367355</v>
      </c>
      <c r="L39" s="9">
        <f t="shared" si="8"/>
        <v>-4.8705908878839143E-16</v>
      </c>
      <c r="M39" s="9">
        <f t="shared" si="14"/>
        <v>2.5916759705359468E-15</v>
      </c>
      <c r="N39" s="9"/>
      <c r="BQ39" s="4">
        <f t="shared" si="9"/>
        <v>0</v>
      </c>
      <c r="BR39" s="4">
        <f t="shared" si="10"/>
        <v>0</v>
      </c>
      <c r="BS39" s="4">
        <f t="shared" si="11"/>
        <v>14286</v>
      </c>
    </row>
    <row r="40" spans="1:71">
      <c r="A40" s="5">
        <f t="shared" si="19"/>
        <v>38</v>
      </c>
      <c r="B40" s="5">
        <v>0</v>
      </c>
      <c r="C40" s="4">
        <f t="shared" si="3"/>
        <v>2684.7978765617258</v>
      </c>
      <c r="D40" s="4">
        <f t="shared" si="13"/>
        <v>5.7248294926051828E-16</v>
      </c>
      <c r="E40" s="4">
        <f t="shared" si="4"/>
        <v>3.2773672719402116E-31</v>
      </c>
      <c r="F40" s="4">
        <f t="shared" si="5"/>
        <v>2317.252123438273</v>
      </c>
      <c r="G40" s="6">
        <f t="shared" si="16"/>
        <v>1.7508057532621741</v>
      </c>
      <c r="H40" s="9">
        <f t="shared" si="6"/>
        <v>-5.7248294926051828E-16</v>
      </c>
      <c r="I40" s="9">
        <f t="shared" si="17"/>
        <v>-25.220478000576215</v>
      </c>
      <c r="J40" s="9">
        <f t="shared" si="18"/>
        <v>25.220478000576215</v>
      </c>
      <c r="K40" s="9">
        <f t="shared" si="7"/>
        <v>344.89795918367355</v>
      </c>
      <c r="L40" s="9">
        <f t="shared" si="8"/>
        <v>-1.0758791869959637E-16</v>
      </c>
      <c r="M40" s="9">
        <f t="shared" si="14"/>
        <v>5.7248294926051828E-16</v>
      </c>
      <c r="N40" s="9"/>
      <c r="BQ40" s="4">
        <f t="shared" si="9"/>
        <v>0</v>
      </c>
      <c r="BR40" s="4">
        <f t="shared" si="10"/>
        <v>0</v>
      </c>
      <c r="BS40" s="4">
        <f t="shared" si="11"/>
        <v>14286</v>
      </c>
    </row>
    <row r="41" spans="1:71">
      <c r="A41" s="5">
        <f t="shared" si="19"/>
        <v>39</v>
      </c>
      <c r="B41" s="5">
        <v>0</v>
      </c>
      <c r="C41" s="4">
        <f t="shared" si="3"/>
        <v>2684.7978765617258</v>
      </c>
      <c r="D41" s="4">
        <f t="shared" si="13"/>
        <v>1.2645744719632036E-16</v>
      </c>
      <c r="E41" s="4">
        <f t="shared" si="4"/>
        <v>1.5991485951410151E-32</v>
      </c>
      <c r="F41" s="4">
        <f t="shared" si="5"/>
        <v>2317.252123438273</v>
      </c>
      <c r="G41" s="6">
        <f t="shared" si="16"/>
        <v>1.7508057532621741</v>
      </c>
      <c r="H41" s="9">
        <f t="shared" si="6"/>
        <v>-1.2645744719632036E-16</v>
      </c>
      <c r="I41" s="9">
        <f t="shared" si="17"/>
        <v>-25.220478000576215</v>
      </c>
      <c r="J41" s="9">
        <f t="shared" si="18"/>
        <v>25.220478000576215</v>
      </c>
      <c r="K41" s="9">
        <f t="shared" si="7"/>
        <v>344.89795918367355</v>
      </c>
      <c r="L41" s="9">
        <f t="shared" si="8"/>
        <v>-2.3765412691312996E-17</v>
      </c>
      <c r="M41" s="9">
        <f t="shared" si="14"/>
        <v>1.2645744719632036E-16</v>
      </c>
      <c r="N41" s="9"/>
      <c r="BQ41" s="4">
        <f t="shared" si="9"/>
        <v>0</v>
      </c>
      <c r="BR41" s="4">
        <f t="shared" si="10"/>
        <v>0</v>
      </c>
      <c r="BS41" s="4">
        <f t="shared" si="11"/>
        <v>14286</v>
      </c>
    </row>
    <row r="42" spans="1:71">
      <c r="A42" s="5">
        <f t="shared" si="19"/>
        <v>40</v>
      </c>
      <c r="B42" s="5">
        <v>1</v>
      </c>
      <c r="C42" s="4">
        <f t="shared" si="3"/>
        <v>2684.7978765617258</v>
      </c>
      <c r="D42" s="4">
        <f t="shared" si="13"/>
        <v>2.7933558496487091E-17</v>
      </c>
      <c r="E42" s="4">
        <f t="shared" si="4"/>
        <v>1</v>
      </c>
      <c r="F42" s="4">
        <f t="shared" si="5"/>
        <v>2317.252123438273</v>
      </c>
      <c r="G42" s="6">
        <f t="shared" si="16"/>
        <v>1.7508057532621741</v>
      </c>
      <c r="H42" s="9">
        <f t="shared" si="6"/>
        <v>1</v>
      </c>
      <c r="I42" s="9">
        <f t="shared" si="17"/>
        <v>-24.220478000576215</v>
      </c>
      <c r="J42" s="9">
        <f t="shared" si="18"/>
        <v>26.220478000576215</v>
      </c>
      <c r="K42" s="9">
        <f t="shared" si="7"/>
        <v>308.75510204081638</v>
      </c>
      <c r="L42" s="9">
        <f t="shared" si="8"/>
        <v>-5.2496121052905851E-18</v>
      </c>
      <c r="M42" s="9">
        <f t="shared" si="14"/>
        <v>2.7933558496487091E-17</v>
      </c>
      <c r="N42" s="9"/>
      <c r="BQ42" s="4">
        <f t="shared" si="9"/>
        <v>0</v>
      </c>
      <c r="BR42" s="4">
        <f t="shared" si="10"/>
        <v>0</v>
      </c>
      <c r="BS42" s="4">
        <f t="shared" si="11"/>
        <v>14286</v>
      </c>
    </row>
    <row r="43" spans="1:71">
      <c r="A43" s="5">
        <f t="shared" si="19"/>
        <v>41</v>
      </c>
      <c r="B43" s="5">
        <v>0</v>
      </c>
      <c r="C43" s="4">
        <f t="shared" si="3"/>
        <v>2684.7978765617258</v>
      </c>
      <c r="D43" s="4">
        <f t="shared" si="13"/>
        <v>6.1703261261102762E-18</v>
      </c>
      <c r="E43" s="4">
        <f t="shared" si="4"/>
        <v>3.8072924502559046E-35</v>
      </c>
      <c r="F43" s="4">
        <f t="shared" si="5"/>
        <v>2317.252123438273</v>
      </c>
      <c r="G43" s="6">
        <f t="shared" si="16"/>
        <v>1.7508057532621741</v>
      </c>
      <c r="H43" s="9">
        <f t="shared" si="6"/>
        <v>-6.1703261261102762E-18</v>
      </c>
      <c r="I43" s="9">
        <f t="shared" si="17"/>
        <v>-25.220478000576215</v>
      </c>
      <c r="J43" s="9">
        <f t="shared" si="18"/>
        <v>25.220478000576215</v>
      </c>
      <c r="K43" s="9">
        <f t="shared" si="7"/>
        <v>344.89795918367355</v>
      </c>
      <c r="L43" s="9">
        <f t="shared" si="8"/>
        <v>-1.1596023016291621E-18</v>
      </c>
      <c r="M43" s="9">
        <f t="shared" si="14"/>
        <v>6.1703261261102762E-18</v>
      </c>
      <c r="N43" s="9"/>
      <c r="BQ43" s="4">
        <f t="shared" si="9"/>
        <v>0</v>
      </c>
      <c r="BR43" s="4">
        <f t="shared" si="10"/>
        <v>0</v>
      </c>
      <c r="BS43" s="4">
        <f t="shared" si="11"/>
        <v>14286</v>
      </c>
    </row>
    <row r="44" spans="1:71">
      <c r="A44" s="5">
        <f t="shared" si="19"/>
        <v>42</v>
      </c>
      <c r="B44" s="5">
        <v>3</v>
      </c>
      <c r="C44" s="4">
        <f t="shared" si="3"/>
        <v>2684.7978765617258</v>
      </c>
      <c r="D44" s="4">
        <f t="shared" si="13"/>
        <v>1.3629815373271202E-18</v>
      </c>
      <c r="E44" s="4">
        <f t="shared" si="4"/>
        <v>9</v>
      </c>
      <c r="F44" s="4">
        <f t="shared" si="5"/>
        <v>2317.252123438273</v>
      </c>
      <c r="G44" s="6">
        <f t="shared" si="16"/>
        <v>1.7508057532621741</v>
      </c>
      <c r="H44" s="9">
        <f t="shared" si="6"/>
        <v>3</v>
      </c>
      <c r="I44" s="9">
        <f t="shared" si="17"/>
        <v>-22.220478000576215</v>
      </c>
      <c r="J44" s="9">
        <f t="shared" si="18"/>
        <v>28.220478000576215</v>
      </c>
      <c r="K44" s="9">
        <f t="shared" si="7"/>
        <v>242.46938775510208</v>
      </c>
      <c r="L44" s="9">
        <f t="shared" si="8"/>
        <v>-2.5614797264515533E-19</v>
      </c>
      <c r="M44" s="9">
        <f t="shared" si="14"/>
        <v>1.3629815373271202E-18</v>
      </c>
      <c r="N44" s="9"/>
      <c r="BQ44" s="4">
        <f t="shared" si="9"/>
        <v>0</v>
      </c>
      <c r="BR44" s="4">
        <f t="shared" si="10"/>
        <v>0</v>
      </c>
      <c r="BS44" s="4">
        <f t="shared" si="11"/>
        <v>14286</v>
      </c>
    </row>
    <row r="45" spans="1:71">
      <c r="A45" s="5">
        <f t="shared" si="19"/>
        <v>43</v>
      </c>
      <c r="B45" s="5">
        <v>0</v>
      </c>
      <c r="C45" s="4">
        <f t="shared" si="3"/>
        <v>2684.7978765617258</v>
      </c>
      <c r="D45" s="4">
        <f t="shared" si="13"/>
        <v>3.010730118840077E-19</v>
      </c>
      <c r="E45" s="4">
        <f t="shared" si="4"/>
        <v>9.0644958484907839E-38</v>
      </c>
      <c r="F45" s="4">
        <f t="shared" si="5"/>
        <v>2317.252123438273</v>
      </c>
      <c r="G45" s="6">
        <f t="shared" si="16"/>
        <v>1.7508057532621741</v>
      </c>
      <c r="H45" s="9">
        <f t="shared" si="6"/>
        <v>-3.010730118840077E-19</v>
      </c>
      <c r="I45" s="9">
        <f t="shared" si="17"/>
        <v>-25.220478000576215</v>
      </c>
      <c r="J45" s="9">
        <f t="shared" si="18"/>
        <v>25.220478000576215</v>
      </c>
      <c r="K45" s="9">
        <f t="shared" si="7"/>
        <v>344.89795918367355</v>
      </c>
      <c r="L45" s="9">
        <f t="shared" si="8"/>
        <v>-5.6581281184112219E-20</v>
      </c>
      <c r="M45" s="9">
        <f t="shared" si="14"/>
        <v>3.010730118840077E-19</v>
      </c>
      <c r="N45" s="9"/>
      <c r="BQ45" s="4">
        <f t="shared" si="9"/>
        <v>0</v>
      </c>
      <c r="BR45" s="4">
        <f t="shared" si="10"/>
        <v>0</v>
      </c>
      <c r="BS45" s="4">
        <f t="shared" si="11"/>
        <v>14286</v>
      </c>
    </row>
    <row r="46" spans="1:71">
      <c r="A46" s="5">
        <f t="shared" si="19"/>
        <v>44</v>
      </c>
      <c r="B46" s="5">
        <v>0</v>
      </c>
      <c r="C46" s="4">
        <f t="shared" si="3"/>
        <v>2684.7978765617258</v>
      </c>
      <c r="D46" s="4">
        <f t="shared" si="13"/>
        <v>6.6504905607648491E-20</v>
      </c>
      <c r="E46" s="4">
        <f t="shared" si="4"/>
        <v>4.4229024698822354E-39</v>
      </c>
      <c r="F46" s="4">
        <f t="shared" si="5"/>
        <v>2317.252123438273</v>
      </c>
      <c r="G46" s="6">
        <f t="shared" si="16"/>
        <v>1.7508057532621741</v>
      </c>
      <c r="H46" s="9">
        <f t="shared" si="6"/>
        <v>-6.6504905607648491E-20</v>
      </c>
      <c r="I46" s="9">
        <f t="shared" si="17"/>
        <v>-25.220478000576215</v>
      </c>
      <c r="J46" s="9">
        <f t="shared" si="18"/>
        <v>25.220478000576215</v>
      </c>
      <c r="K46" s="9">
        <f t="shared" si="7"/>
        <v>344.89795918367355</v>
      </c>
      <c r="L46" s="9">
        <f t="shared" si="8"/>
        <v>-1.2498406086822952E-20</v>
      </c>
      <c r="M46" s="9">
        <f t="shared" si="14"/>
        <v>6.6504905607648491E-20</v>
      </c>
      <c r="N46" s="9"/>
      <c r="BQ46" s="4">
        <f t="shared" si="9"/>
        <v>0</v>
      </c>
      <c r="BR46" s="4">
        <f t="shared" si="10"/>
        <v>0</v>
      </c>
      <c r="BS46" s="4">
        <f t="shared" si="11"/>
        <v>14286</v>
      </c>
    </row>
    <row r="47" spans="1:71">
      <c r="A47" s="5">
        <f t="shared" si="19"/>
        <v>45</v>
      </c>
      <c r="B47" s="5">
        <v>1</v>
      </c>
      <c r="C47" s="4">
        <f t="shared" si="3"/>
        <v>2684.7978765617258</v>
      </c>
      <c r="D47" s="4">
        <f t="shared" si="13"/>
        <v>1.4690464755393676E-20</v>
      </c>
      <c r="E47" s="4">
        <f t="shared" si="4"/>
        <v>1</v>
      </c>
      <c r="F47" s="4">
        <f t="shared" si="5"/>
        <v>2317.252123438273</v>
      </c>
      <c r="G47" s="6">
        <f t="shared" si="16"/>
        <v>1.7508057532621741</v>
      </c>
      <c r="H47" s="9">
        <f t="shared" si="6"/>
        <v>1</v>
      </c>
      <c r="I47" s="9">
        <f t="shared" si="17"/>
        <v>-24.220478000576215</v>
      </c>
      <c r="J47" s="9">
        <f t="shared" si="18"/>
        <v>26.220478000576215</v>
      </c>
      <c r="K47" s="9">
        <f t="shared" si="7"/>
        <v>308.75510204081638</v>
      </c>
      <c r="L47" s="9">
        <f t="shared" si="8"/>
        <v>-2.7608097844733176E-21</v>
      </c>
      <c r="M47" s="9">
        <f t="shared" si="14"/>
        <v>1.4690464755393676E-20</v>
      </c>
      <c r="N47" s="9"/>
      <c r="BQ47" s="4">
        <f t="shared" si="9"/>
        <v>0</v>
      </c>
      <c r="BR47" s="4">
        <f t="shared" si="10"/>
        <v>0</v>
      </c>
      <c r="BS47" s="4">
        <f t="shared" si="11"/>
        <v>14286</v>
      </c>
    </row>
    <row r="48" spans="1:71">
      <c r="A48" s="5">
        <f t="shared" si="19"/>
        <v>46</v>
      </c>
      <c r="B48" s="5">
        <v>0</v>
      </c>
      <c r="C48" s="4">
        <f t="shared" si="3"/>
        <v>2684.7978765617258</v>
      </c>
      <c r="D48" s="4">
        <f t="shared" si="13"/>
        <v>3.2450200892345035E-21</v>
      </c>
      <c r="E48" s="4">
        <f t="shared" si="4"/>
        <v>1.0530155379535505E-41</v>
      </c>
      <c r="F48" s="4">
        <f t="shared" si="5"/>
        <v>2317.252123438273</v>
      </c>
      <c r="G48" s="6">
        <f t="shared" si="16"/>
        <v>1.7508057532621741</v>
      </c>
      <c r="H48" s="9">
        <f t="shared" si="6"/>
        <v>-3.2450200892345035E-21</v>
      </c>
      <c r="I48" s="9">
        <f t="shared" si="17"/>
        <v>-25.220478000576215</v>
      </c>
      <c r="J48" s="9">
        <f t="shared" si="18"/>
        <v>25.220478000576215</v>
      </c>
      <c r="K48" s="9">
        <f t="shared" si="7"/>
        <v>344.89795918367355</v>
      </c>
      <c r="L48" s="9">
        <f t="shared" si="8"/>
        <v>-6.0984341628005997E-22</v>
      </c>
      <c r="M48" s="9">
        <f t="shared" si="14"/>
        <v>3.2450200892345035E-21</v>
      </c>
      <c r="N48" s="9"/>
      <c r="BQ48" s="4">
        <f t="shared" si="9"/>
        <v>0</v>
      </c>
      <c r="BR48" s="4">
        <f t="shared" si="10"/>
        <v>0</v>
      </c>
      <c r="BS48" s="4">
        <f t="shared" si="11"/>
        <v>14286</v>
      </c>
    </row>
    <row r="49" spans="1:71">
      <c r="A49" s="5">
        <f t="shared" si="19"/>
        <v>47</v>
      </c>
      <c r="B49" s="5">
        <v>3</v>
      </c>
      <c r="C49" s="4">
        <f t="shared" si="3"/>
        <v>2684.7978765617258</v>
      </c>
      <c r="D49" s="4">
        <f t="shared" si="13"/>
        <v>7.168020586734202E-22</v>
      </c>
      <c r="E49" s="4">
        <f t="shared" si="4"/>
        <v>9</v>
      </c>
      <c r="F49" s="4">
        <f t="shared" si="5"/>
        <v>2317.252123438273</v>
      </c>
      <c r="G49" s="6">
        <f t="shared" si="16"/>
        <v>1.7508057532621741</v>
      </c>
      <c r="H49" s="9">
        <f t="shared" si="6"/>
        <v>3</v>
      </c>
      <c r="I49" s="9">
        <f t="shared" si="17"/>
        <v>-22.220478000576215</v>
      </c>
      <c r="J49" s="9">
        <f t="shared" si="18"/>
        <v>28.220478000576215</v>
      </c>
      <c r="K49" s="9">
        <f t="shared" si="7"/>
        <v>242.46938775510208</v>
      </c>
      <c r="L49" s="9">
        <f t="shared" si="8"/>
        <v>-1.3471011095068403E-22</v>
      </c>
      <c r="M49" s="9">
        <f t="shared" si="14"/>
        <v>7.168020586734202E-22</v>
      </c>
      <c r="N49" s="9"/>
      <c r="BQ49" s="4">
        <f t="shared" si="9"/>
        <v>0</v>
      </c>
      <c r="BR49" s="4">
        <f t="shared" si="10"/>
        <v>0</v>
      </c>
      <c r="BS49" s="4">
        <f t="shared" si="11"/>
        <v>14286</v>
      </c>
    </row>
    <row r="50" spans="1:71">
      <c r="A50" s="5">
        <f t="shared" si="19"/>
        <v>48</v>
      </c>
      <c r="B50" s="5">
        <v>0</v>
      </c>
      <c r="C50" s="4">
        <f t="shared" si="3"/>
        <v>2684.7978765617258</v>
      </c>
      <c r="D50" s="4">
        <f t="shared" si="13"/>
        <v>1.5833652094266673E-22</v>
      </c>
      <c r="E50" s="4">
        <f t="shared" si="4"/>
        <v>2.507045386422754E-44</v>
      </c>
      <c r="F50" s="4">
        <f t="shared" si="5"/>
        <v>2317.252123438273</v>
      </c>
      <c r="G50" s="6">
        <f t="shared" si="16"/>
        <v>1.7508057532621741</v>
      </c>
      <c r="H50" s="9">
        <f t="shared" si="6"/>
        <v>-1.5833652094266673E-22</v>
      </c>
      <c r="I50" s="9">
        <f t="shared" si="17"/>
        <v>-25.220478000576215</v>
      </c>
      <c r="J50" s="9">
        <f t="shared" si="18"/>
        <v>25.220478000576215</v>
      </c>
      <c r="K50" s="9">
        <f t="shared" si="7"/>
        <v>344.89795918367355</v>
      </c>
      <c r="L50" s="9">
        <f t="shared" si="8"/>
        <v>-2.9756513734358312E-23</v>
      </c>
      <c r="M50" s="9">
        <f t="shared" si="14"/>
        <v>1.5833652094266673E-22</v>
      </c>
      <c r="N50" s="9"/>
      <c r="BQ50" s="4">
        <f t="shared" si="9"/>
        <v>0</v>
      </c>
      <c r="BR50" s="4">
        <f t="shared" si="10"/>
        <v>0</v>
      </c>
      <c r="BS50" s="4">
        <f t="shared" si="11"/>
        <v>14286</v>
      </c>
    </row>
    <row r="51" spans="1:71">
      <c r="H51" s="9"/>
      <c r="I51" s="9"/>
      <c r="J51" s="9"/>
      <c r="K51" s="9"/>
      <c r="L51" s="9"/>
      <c r="M51" s="9"/>
    </row>
    <row r="52" spans="1:71">
      <c r="H52" s="9"/>
      <c r="I52" s="9"/>
      <c r="J52" s="9"/>
      <c r="K52" s="9"/>
      <c r="L52" s="9"/>
      <c r="M52" s="9"/>
    </row>
    <row r="53" spans="1:71">
      <c r="H53" s="9"/>
      <c r="I53" s="9"/>
      <c r="J53" s="9"/>
      <c r="K53" s="9"/>
      <c r="L53" s="9"/>
      <c r="M53" s="9"/>
    </row>
    <row r="54" spans="1:71">
      <c r="H54" s="9"/>
      <c r="I54" s="9"/>
      <c r="J54" s="9"/>
      <c r="K54" s="9"/>
      <c r="L54" s="9"/>
      <c r="M54" s="9"/>
    </row>
    <row r="55" spans="1:71">
      <c r="H55" s="9"/>
      <c r="I55" s="9"/>
      <c r="J55" s="9"/>
      <c r="K55" s="9"/>
      <c r="L55" s="9"/>
      <c r="M55" s="9"/>
    </row>
    <row r="56" spans="1:71">
      <c r="H56" s="9"/>
      <c r="I56" s="9"/>
      <c r="J56" s="9"/>
      <c r="K56" s="9"/>
      <c r="L56" s="9"/>
      <c r="M56" s="9"/>
    </row>
    <row r="57" spans="1:71">
      <c r="H57" s="9"/>
      <c r="I57" s="9"/>
      <c r="J57" s="9"/>
      <c r="K57" s="9"/>
      <c r="L57" s="9"/>
      <c r="M57" s="9"/>
    </row>
    <row r="58" spans="1:71">
      <c r="H58" s="9"/>
      <c r="I58" s="9"/>
      <c r="J58" s="9"/>
      <c r="K58" s="9"/>
      <c r="L58" s="9"/>
      <c r="M58" s="9"/>
    </row>
    <row r="59" spans="1:71">
      <c r="H59" s="9"/>
      <c r="I59" s="9"/>
      <c r="J59" s="9"/>
      <c r="K59" s="9"/>
      <c r="L59" s="9"/>
      <c r="M59" s="9"/>
    </row>
    <row r="60" spans="1:71">
      <c r="H60" s="9"/>
      <c r="I60" s="9"/>
      <c r="J60" s="9"/>
      <c r="K60" s="9"/>
      <c r="L60" s="9"/>
      <c r="M60" s="9"/>
    </row>
    <row r="61" spans="1:71">
      <c r="H61" s="9"/>
      <c r="I61" s="9"/>
      <c r="J61" s="9"/>
      <c r="K61" s="9"/>
      <c r="L61" s="9"/>
      <c r="M61" s="9"/>
    </row>
    <row r="62" spans="1:71">
      <c r="H62" s="9"/>
      <c r="I62" s="9"/>
      <c r="J62" s="9"/>
      <c r="K62" s="9"/>
      <c r="L62" s="9"/>
      <c r="M62" s="9"/>
    </row>
    <row r="63" spans="1:71">
      <c r="H63" s="9"/>
      <c r="I63" s="9"/>
      <c r="J63" s="9"/>
      <c r="K63" s="9"/>
      <c r="L63" s="9"/>
      <c r="M63" s="9"/>
    </row>
    <row r="64" spans="1:71">
      <c r="H64" s="9"/>
      <c r="I64" s="9"/>
      <c r="J64" s="9"/>
      <c r="K64" s="9"/>
      <c r="L64" s="9"/>
      <c r="M64" s="9"/>
    </row>
    <row r="65" spans="8:13">
      <c r="H65" s="9"/>
      <c r="I65" s="9"/>
      <c r="J65" s="9"/>
      <c r="K65" s="9"/>
      <c r="L65" s="9"/>
      <c r="M65" s="9"/>
    </row>
    <row r="66" spans="8:13">
      <c r="H66" s="9"/>
      <c r="I66" s="9"/>
      <c r="J66" s="9"/>
      <c r="K66" s="9"/>
      <c r="L66" s="9"/>
      <c r="M66" s="9"/>
    </row>
    <row r="67" spans="8:13">
      <c r="H67" s="9"/>
      <c r="I67" s="9"/>
      <c r="J67" s="9"/>
      <c r="K67" s="9"/>
      <c r="L67" s="9"/>
      <c r="M67" s="9"/>
    </row>
    <row r="68" spans="8:13">
      <c r="H68" s="9"/>
      <c r="I68" s="9"/>
      <c r="J68" s="9"/>
      <c r="K68" s="9"/>
      <c r="L68" s="9"/>
      <c r="M68" s="9"/>
    </row>
    <row r="69" spans="8:13">
      <c r="H69" s="9"/>
      <c r="I69" s="9"/>
      <c r="J69" s="9"/>
      <c r="K69" s="9"/>
      <c r="L69" s="9"/>
      <c r="M69" s="9"/>
    </row>
    <row r="70" spans="8:13">
      <c r="H70" s="9"/>
      <c r="I70" s="9"/>
      <c r="J70" s="9"/>
      <c r="K70" s="9"/>
      <c r="L70" s="9"/>
      <c r="M70" s="9"/>
    </row>
    <row r="71" spans="8:13">
      <c r="H71" s="9"/>
      <c r="I71" s="9"/>
      <c r="J71" s="9"/>
      <c r="K71" s="9"/>
      <c r="L71" s="9"/>
      <c r="M71" s="9"/>
    </row>
    <row r="72" spans="8:13">
      <c r="H72" s="9"/>
      <c r="I72" s="9"/>
      <c r="J72" s="9"/>
      <c r="K72" s="9"/>
      <c r="L72" s="9"/>
      <c r="M72" s="9"/>
    </row>
    <row r="73" spans="8:13">
      <c r="H73" s="9"/>
      <c r="I73" s="9"/>
      <c r="J73" s="9"/>
      <c r="K73" s="9"/>
      <c r="L73" s="9"/>
      <c r="M73" s="9"/>
    </row>
    <row r="74" spans="8:13">
      <c r="H74" s="9"/>
      <c r="I74" s="9"/>
      <c r="J74" s="9"/>
      <c r="K74" s="9"/>
      <c r="L74" s="9"/>
      <c r="M74" s="9"/>
    </row>
    <row r="75" spans="8:13">
      <c r="H75" s="9"/>
      <c r="I75" s="9"/>
      <c r="J75" s="9"/>
      <c r="K75" s="9"/>
      <c r="L75" s="9"/>
      <c r="M75" s="9"/>
    </row>
    <row r="76" spans="8:13">
      <c r="H76" s="9"/>
      <c r="I76" s="9"/>
      <c r="J76" s="9"/>
      <c r="K76" s="9"/>
      <c r="L76" s="9"/>
      <c r="M76" s="9"/>
    </row>
    <row r="77" spans="8:13">
      <c r="H77" s="9"/>
      <c r="I77" s="9"/>
      <c r="J77" s="9"/>
      <c r="K77" s="9"/>
      <c r="L77" s="9"/>
      <c r="M77" s="9"/>
    </row>
    <row r="78" spans="8:13">
      <c r="H78" s="9"/>
      <c r="I78" s="9"/>
      <c r="J78" s="9"/>
      <c r="K78" s="9"/>
      <c r="L78" s="9"/>
      <c r="M78" s="9"/>
    </row>
    <row r="79" spans="8:13">
      <c r="H79" s="9"/>
      <c r="I79" s="9"/>
      <c r="J79" s="9"/>
      <c r="K79" s="9"/>
      <c r="L79" s="9"/>
      <c r="M79" s="9"/>
    </row>
    <row r="80" spans="8:13">
      <c r="H80" s="9"/>
      <c r="I80" s="9"/>
      <c r="J80" s="9"/>
      <c r="K80" s="9"/>
      <c r="L80" s="9"/>
      <c r="M80" s="9"/>
    </row>
    <row r="81" spans="8:13">
      <c r="H81" s="9"/>
      <c r="I81" s="9"/>
      <c r="J81" s="9"/>
      <c r="K81" s="9"/>
      <c r="L81" s="9"/>
      <c r="M81" s="9"/>
    </row>
    <row r="82" spans="8:13">
      <c r="H82" s="9"/>
      <c r="I82" s="9"/>
      <c r="J82" s="9"/>
      <c r="K82" s="9"/>
      <c r="L82" s="9"/>
      <c r="M82" s="9"/>
    </row>
    <row r="83" spans="8:13">
      <c r="H83" s="9"/>
      <c r="I83" s="9"/>
      <c r="J83" s="9"/>
      <c r="K83" s="9"/>
      <c r="L83" s="9"/>
      <c r="M83" s="9"/>
    </row>
    <row r="84" spans="8:13">
      <c r="H84" s="9"/>
      <c r="I84" s="9"/>
      <c r="J84" s="9"/>
      <c r="K84" s="9"/>
      <c r="L84" s="9"/>
      <c r="M84" s="9"/>
    </row>
    <row r="85" spans="8:13">
      <c r="H85" s="9"/>
      <c r="I85" s="9"/>
      <c r="J85" s="9"/>
      <c r="K85" s="9"/>
      <c r="L85" s="9"/>
      <c r="M85" s="9"/>
    </row>
    <row r="86" spans="8:13">
      <c r="H86" s="9"/>
      <c r="I86" s="9"/>
      <c r="J86" s="9"/>
      <c r="K86" s="9"/>
      <c r="L86" s="9"/>
      <c r="M86" s="9"/>
    </row>
    <row r="87" spans="8:13">
      <c r="H87" s="9"/>
      <c r="I87" s="9"/>
      <c r="J87" s="9"/>
      <c r="K87" s="9"/>
      <c r="L87" s="9"/>
      <c r="M87" s="9"/>
    </row>
    <row r="88" spans="8:13">
      <c r="H88" s="9"/>
      <c r="I88" s="9"/>
      <c r="J88" s="9"/>
      <c r="K88" s="9"/>
      <c r="L88" s="9"/>
      <c r="M88" s="9"/>
    </row>
    <row r="89" spans="8:13">
      <c r="H89" s="9"/>
      <c r="I89" s="9"/>
      <c r="J89" s="9"/>
      <c r="K89" s="9"/>
      <c r="L89" s="9"/>
      <c r="M89" s="9"/>
    </row>
    <row r="90" spans="8:13">
      <c r="H90" s="9"/>
      <c r="I90" s="9"/>
      <c r="J90" s="9"/>
      <c r="K90" s="9"/>
      <c r="L90" s="9"/>
      <c r="M90" s="9"/>
    </row>
    <row r="91" spans="8:13">
      <c r="H91" s="9"/>
      <c r="I91" s="9"/>
      <c r="J91" s="9"/>
      <c r="K91" s="9"/>
      <c r="L91" s="9"/>
      <c r="M91" s="9"/>
    </row>
    <row r="92" spans="8:13">
      <c r="H92" s="9"/>
      <c r="I92" s="9"/>
      <c r="J92" s="9"/>
      <c r="K92" s="9"/>
      <c r="L92" s="9"/>
      <c r="M92" s="9"/>
    </row>
    <row r="93" spans="8:13">
      <c r="H93" s="9"/>
      <c r="I93" s="9"/>
      <c r="J93" s="9"/>
      <c r="K93" s="9"/>
      <c r="L93" s="9"/>
      <c r="M93" s="9"/>
    </row>
    <row r="94" spans="8:13">
      <c r="H94" s="9"/>
      <c r="I94" s="9"/>
      <c r="J94" s="9"/>
      <c r="K94" s="9"/>
      <c r="L94" s="9"/>
      <c r="M94" s="9"/>
    </row>
    <row r="95" spans="8:13">
      <c r="H95" s="9"/>
      <c r="I95" s="9"/>
      <c r="J95" s="9"/>
      <c r="K95" s="9"/>
      <c r="L95" s="9"/>
      <c r="M95" s="9"/>
    </row>
    <row r="96" spans="8:13">
      <c r="H96" s="9"/>
      <c r="I96" s="9"/>
      <c r="J96" s="9"/>
      <c r="K96" s="9"/>
      <c r="L96" s="9"/>
      <c r="M96" s="9"/>
    </row>
    <row r="97" spans="8:13">
      <c r="H97" s="9"/>
      <c r="I97" s="9"/>
      <c r="J97" s="9"/>
      <c r="K97" s="9"/>
      <c r="L97" s="9"/>
      <c r="M97" s="9"/>
    </row>
    <row r="98" spans="8:13">
      <c r="H98" s="9"/>
      <c r="I98" s="9"/>
      <c r="J98" s="9"/>
      <c r="K98" s="9"/>
      <c r="L98" s="9"/>
      <c r="M98" s="9"/>
    </row>
    <row r="99" spans="8:13">
      <c r="H99" s="9"/>
      <c r="I99" s="9"/>
      <c r="J99" s="9"/>
      <c r="K99" s="9"/>
      <c r="L99" s="9"/>
      <c r="M99" s="9"/>
    </row>
    <row r="100" spans="8:13">
      <c r="H100" s="9"/>
      <c r="I100" s="9"/>
      <c r="J100" s="9"/>
      <c r="K100" s="9"/>
      <c r="L100" s="9"/>
      <c r="M100" s="9"/>
    </row>
    <row r="101" spans="8:13">
      <c r="H101" s="9"/>
      <c r="I101" s="9"/>
      <c r="J101" s="9"/>
      <c r="K101" s="9"/>
      <c r="L101" s="9"/>
      <c r="M101" s="9"/>
    </row>
    <row r="102" spans="8:13">
      <c r="H102" s="9"/>
      <c r="I102" s="9"/>
      <c r="J102" s="9"/>
      <c r="K102" s="9"/>
      <c r="L102" s="9"/>
      <c r="M102" s="9"/>
    </row>
    <row r="103" spans="8:13">
      <c r="H103" s="9"/>
      <c r="I103" s="9"/>
      <c r="J103" s="9"/>
      <c r="K103" s="9"/>
      <c r="L103" s="9"/>
      <c r="M103" s="9"/>
    </row>
    <row r="104" spans="8:13">
      <c r="H104" s="9"/>
      <c r="I104" s="9"/>
      <c r="J104" s="9"/>
      <c r="K104" s="9"/>
      <c r="L104" s="9"/>
      <c r="M104" s="9"/>
    </row>
    <row r="105" spans="8:13">
      <c r="H105" s="9"/>
      <c r="I105" s="9"/>
      <c r="J105" s="9"/>
      <c r="K105" s="9"/>
      <c r="L105" s="9"/>
      <c r="M105" s="9"/>
    </row>
    <row r="106" spans="8:13">
      <c r="H106" s="9"/>
      <c r="I106" s="9"/>
      <c r="J106" s="9"/>
      <c r="K106" s="9"/>
      <c r="L106" s="9"/>
      <c r="M106" s="9"/>
    </row>
    <row r="107" spans="8:13">
      <c r="H107" s="9"/>
      <c r="I107" s="9"/>
      <c r="J107" s="9"/>
      <c r="K107" s="9"/>
      <c r="L107" s="9"/>
      <c r="M107" s="9"/>
    </row>
    <row r="108" spans="8:13">
      <c r="H108" s="9"/>
      <c r="I108" s="9"/>
      <c r="J108" s="9"/>
      <c r="K108" s="9"/>
      <c r="L108" s="9"/>
      <c r="M108" s="9"/>
    </row>
    <row r="109" spans="8:13">
      <c r="H109" s="9"/>
      <c r="I109" s="9"/>
      <c r="J109" s="9"/>
      <c r="K109" s="9"/>
      <c r="L109" s="9"/>
      <c r="M109" s="9"/>
    </row>
    <row r="110" spans="8:13">
      <c r="H110" s="9"/>
      <c r="I110" s="9"/>
      <c r="J110" s="9"/>
      <c r="K110" s="9"/>
      <c r="L110" s="9"/>
      <c r="M110" s="9"/>
    </row>
    <row r="111" spans="8:13">
      <c r="H111" s="9"/>
      <c r="I111" s="9"/>
      <c r="J111" s="9"/>
      <c r="K111" s="9"/>
      <c r="L111" s="9"/>
      <c r="M111" s="9"/>
    </row>
    <row r="112" spans="8:13">
      <c r="H112" s="9"/>
      <c r="I112" s="9"/>
      <c r="J112" s="9"/>
      <c r="K112" s="9"/>
      <c r="L112" s="9"/>
      <c r="M112" s="9"/>
    </row>
    <row r="113" spans="8:13">
      <c r="H113" s="9"/>
      <c r="I113" s="9"/>
      <c r="J113" s="9"/>
      <c r="K113" s="9"/>
      <c r="L113" s="9"/>
      <c r="M113" s="9"/>
    </row>
    <row r="114" spans="8:13">
      <c r="H114" s="9"/>
      <c r="I114" s="9"/>
      <c r="J114" s="9"/>
      <c r="K114" s="9"/>
      <c r="L114" s="9"/>
      <c r="M114" s="9"/>
    </row>
    <row r="115" spans="8:13">
      <c r="H115" s="9"/>
      <c r="I115" s="9"/>
      <c r="J115" s="9"/>
      <c r="K115" s="9"/>
      <c r="L115" s="9"/>
      <c r="M115" s="9"/>
    </row>
    <row r="116" spans="8:13">
      <c r="H116" s="9"/>
      <c r="I116" s="9"/>
      <c r="J116" s="9"/>
      <c r="K116" s="9"/>
      <c r="L116" s="9"/>
      <c r="M116" s="9"/>
    </row>
    <row r="117" spans="8:13">
      <c r="H117" s="9"/>
      <c r="I117" s="9"/>
      <c r="J117" s="9"/>
      <c r="K117" s="9"/>
      <c r="L117" s="9"/>
      <c r="M117" s="9"/>
    </row>
    <row r="118" spans="8:13">
      <c r="H118" s="9"/>
      <c r="I118" s="9"/>
      <c r="J118" s="9"/>
      <c r="K118" s="9"/>
      <c r="L118" s="9"/>
      <c r="M118" s="9"/>
    </row>
    <row r="119" spans="8:13">
      <c r="H119" s="9"/>
      <c r="I119" s="9"/>
      <c r="J119" s="9"/>
      <c r="K119" s="9"/>
      <c r="L119" s="9"/>
      <c r="M119" s="9"/>
    </row>
    <row r="120" spans="8:13">
      <c r="H120" s="9"/>
      <c r="I120" s="9"/>
      <c r="J120" s="9"/>
      <c r="K120" s="9"/>
      <c r="L120" s="9"/>
      <c r="M120" s="9"/>
    </row>
    <row r="121" spans="8:13">
      <c r="H121" s="9"/>
      <c r="I121" s="9"/>
      <c r="J121" s="9"/>
      <c r="K121" s="9"/>
      <c r="L121" s="9"/>
      <c r="M121" s="9"/>
    </row>
    <row r="122" spans="8:13">
      <c r="H122" s="9"/>
      <c r="I122" s="9"/>
      <c r="J122" s="9"/>
      <c r="K122" s="9"/>
      <c r="L122" s="9"/>
      <c r="M122" s="9"/>
    </row>
    <row r="123" spans="8:13">
      <c r="H123" s="9"/>
      <c r="I123" s="9"/>
      <c r="J123" s="9"/>
      <c r="K123" s="9"/>
      <c r="L123" s="9"/>
      <c r="M123" s="9"/>
    </row>
    <row r="124" spans="8:13">
      <c r="H124" s="9"/>
      <c r="I124" s="9"/>
      <c r="J124" s="9"/>
      <c r="K124" s="9"/>
      <c r="L124" s="9"/>
      <c r="M124" s="9"/>
    </row>
    <row r="125" spans="8:13">
      <c r="H125" s="9"/>
      <c r="I125" s="9"/>
      <c r="J125" s="9"/>
      <c r="K125" s="9"/>
      <c r="L125" s="9"/>
      <c r="M125" s="9"/>
    </row>
    <row r="126" spans="8:13">
      <c r="H126" s="9"/>
      <c r="I126" s="9"/>
      <c r="J126" s="9"/>
      <c r="K126" s="9"/>
      <c r="L126" s="9"/>
      <c r="M126" s="9"/>
    </row>
    <row r="127" spans="8:13">
      <c r="H127" s="9"/>
      <c r="I127" s="9"/>
      <c r="J127" s="9"/>
      <c r="K127" s="9"/>
      <c r="L127" s="9"/>
      <c r="M127" s="9"/>
    </row>
    <row r="128" spans="8:13">
      <c r="H128" s="9"/>
      <c r="I128" s="9"/>
      <c r="J128" s="9"/>
      <c r="K128" s="9"/>
      <c r="L128" s="9"/>
      <c r="M128" s="9"/>
    </row>
    <row r="129" spans="8:13">
      <c r="H129" s="9"/>
      <c r="I129" s="9"/>
      <c r="J129" s="9"/>
      <c r="K129" s="9"/>
      <c r="L129" s="9"/>
      <c r="M129" s="9"/>
    </row>
    <row r="130" spans="8:13">
      <c r="H130" s="9"/>
      <c r="I130" s="9"/>
      <c r="J130" s="9"/>
      <c r="K130" s="9"/>
      <c r="L130" s="9"/>
      <c r="M130" s="9"/>
    </row>
    <row r="131" spans="8:13">
      <c r="H131" s="9"/>
      <c r="I131" s="9"/>
      <c r="J131" s="9"/>
      <c r="K131" s="9"/>
      <c r="L131" s="9"/>
      <c r="M131" s="9"/>
    </row>
    <row r="132" spans="8:13">
      <c r="H132" s="9"/>
      <c r="I132" s="9"/>
      <c r="J132" s="9"/>
      <c r="K132" s="9"/>
      <c r="L132" s="9"/>
      <c r="M132" s="9"/>
    </row>
    <row r="133" spans="8:13">
      <c r="H133" s="9"/>
      <c r="I133" s="9"/>
      <c r="J133" s="9"/>
      <c r="K133" s="9"/>
      <c r="L133" s="9"/>
      <c r="M133" s="9"/>
    </row>
    <row r="134" spans="8:13">
      <c r="H134" s="9"/>
      <c r="I134" s="9"/>
      <c r="J134" s="9"/>
      <c r="K134" s="9"/>
      <c r="L134" s="9"/>
      <c r="M134" s="9"/>
    </row>
    <row r="135" spans="8:13">
      <c r="H135" s="9"/>
      <c r="I135" s="9"/>
      <c r="J135" s="9"/>
      <c r="K135" s="9"/>
      <c r="L135" s="9"/>
      <c r="M135" s="9"/>
    </row>
  </sheetData>
  <conditionalFormatting sqref="G2:G50">
    <cfRule type="expression" dxfId="1" priority="1" stopIfTrue="1">
      <formula>G2&lt;$P$5</formula>
    </cfRule>
    <cfRule type="expression" dxfId="0" priority="2" stopIfTrue="1">
      <formula>G2&gt;$P$5</formula>
    </cfRule>
  </conditionalFormatting>
  <hyperlinks>
    <hyperlink ref="O22" r:id="rId1" xr:uid="{00000000-0004-0000-0900-000000000000}"/>
  </hyperlinks>
  <pageMargins left="0.75" right="0.75" top="1" bottom="1" header="0.5" footer="0.5"/>
  <pageSetup orientation="portrait" verticalDpi="0" r:id="rId2"/>
  <headerFooter alignWithMargins="0"/>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K261"/>
  <sheetViews>
    <sheetView workbookViewId="0">
      <selection activeCell="J3" sqref="J3"/>
    </sheetView>
  </sheetViews>
  <sheetFormatPr defaultRowHeight="13.2"/>
  <cols>
    <col min="1" max="1" width="4.88671875" customWidth="1"/>
    <col min="2" max="2" width="5.88671875" customWidth="1"/>
    <col min="3" max="3" width="6.88671875" customWidth="1"/>
    <col min="4" max="4" width="13.109375" customWidth="1"/>
    <col min="5" max="5" width="12.88671875" customWidth="1"/>
    <col min="6" max="6" width="9" customWidth="1"/>
    <col min="7" max="7" width="10.44140625" customWidth="1"/>
    <col min="8" max="8" width="8.6640625" customWidth="1"/>
  </cols>
  <sheetData>
    <row r="1" spans="1:11" ht="39.6">
      <c r="A1" s="145" t="s">
        <v>20</v>
      </c>
      <c r="B1" s="145" t="s">
        <v>0</v>
      </c>
      <c r="C1" s="145" t="s">
        <v>21</v>
      </c>
      <c r="D1" s="145" t="s">
        <v>22</v>
      </c>
      <c r="E1" s="145" t="s">
        <v>23</v>
      </c>
      <c r="F1" s="145" t="s">
        <v>24</v>
      </c>
      <c r="G1" s="146" t="s">
        <v>208</v>
      </c>
      <c r="H1" s="146" t="s">
        <v>209</v>
      </c>
    </row>
    <row r="2" spans="1:11" ht="15.6">
      <c r="A2">
        <v>2009</v>
      </c>
      <c r="B2">
        <v>40</v>
      </c>
      <c r="C2">
        <v>46519</v>
      </c>
      <c r="D2">
        <v>3641</v>
      </c>
      <c r="E2">
        <v>7.83</v>
      </c>
      <c r="F2">
        <v>7.51</v>
      </c>
      <c r="G2">
        <f>(E2-F2)</f>
        <v>0.32000000000000028</v>
      </c>
      <c r="H2">
        <f>INT(MAX(0,G2*D2))</f>
        <v>1165</v>
      </c>
      <c r="J2" s="19" t="s">
        <v>34</v>
      </c>
    </row>
    <row r="3" spans="1:11">
      <c r="A3">
        <v>2009</v>
      </c>
      <c r="B3">
        <v>41</v>
      </c>
      <c r="C3">
        <v>46582</v>
      </c>
      <c r="D3">
        <v>3891</v>
      </c>
      <c r="E3">
        <v>8.35</v>
      </c>
      <c r="F3">
        <v>7.61</v>
      </c>
      <c r="G3">
        <f t="shared" ref="G3:G66" si="0">(E3-F3)/100</f>
        <v>7.3999999999999934E-3</v>
      </c>
      <c r="H3">
        <f t="shared" ref="H3:H66" si="1">INT(MAX(0,G3*D3))</f>
        <v>28</v>
      </c>
      <c r="J3" s="18" t="s">
        <v>25</v>
      </c>
    </row>
    <row r="4" spans="1:11">
      <c r="A4">
        <v>2009</v>
      </c>
      <c r="B4">
        <v>42</v>
      </c>
      <c r="C4">
        <v>47581</v>
      </c>
      <c r="D4">
        <v>4088</v>
      </c>
      <c r="E4">
        <v>8.59</v>
      </c>
      <c r="F4">
        <v>7.71</v>
      </c>
      <c r="G4">
        <f t="shared" si="0"/>
        <v>8.7999999999999988E-3</v>
      </c>
      <c r="H4">
        <f t="shared" si="1"/>
        <v>35</v>
      </c>
    </row>
    <row r="5" spans="1:11">
      <c r="A5">
        <v>2009</v>
      </c>
      <c r="B5">
        <v>43</v>
      </c>
      <c r="C5">
        <v>46573</v>
      </c>
      <c r="D5">
        <v>4070</v>
      </c>
      <c r="E5">
        <v>8.74</v>
      </c>
      <c r="F5">
        <v>7.81</v>
      </c>
      <c r="G5">
        <f t="shared" si="0"/>
        <v>9.3000000000000062E-3</v>
      </c>
      <c r="H5">
        <f t="shared" si="1"/>
        <v>37</v>
      </c>
    </row>
    <row r="6" spans="1:11">
      <c r="A6">
        <v>2009</v>
      </c>
      <c r="B6">
        <v>44</v>
      </c>
      <c r="C6">
        <v>47467</v>
      </c>
      <c r="D6">
        <v>4165</v>
      </c>
      <c r="E6">
        <v>8.77</v>
      </c>
      <c r="F6">
        <v>7.92</v>
      </c>
      <c r="G6">
        <f t="shared" si="0"/>
        <v>8.4999999999999971E-3</v>
      </c>
      <c r="H6">
        <f t="shared" si="1"/>
        <v>35</v>
      </c>
    </row>
    <row r="7" spans="1:11">
      <c r="A7">
        <v>2009</v>
      </c>
      <c r="B7">
        <v>45</v>
      </c>
      <c r="C7">
        <v>47429</v>
      </c>
      <c r="D7">
        <v>4205</v>
      </c>
      <c r="E7">
        <v>8.8699999999999992</v>
      </c>
      <c r="F7">
        <v>8.0299999999999994</v>
      </c>
      <c r="G7">
        <f t="shared" si="0"/>
        <v>8.3999999999999977E-3</v>
      </c>
      <c r="H7">
        <f t="shared" si="1"/>
        <v>35</v>
      </c>
    </row>
    <row r="8" spans="1:11">
      <c r="A8">
        <v>2009</v>
      </c>
      <c r="B8">
        <v>46</v>
      </c>
      <c r="C8">
        <v>46629</v>
      </c>
      <c r="D8">
        <v>3938</v>
      </c>
      <c r="E8">
        <v>8.4499999999999993</v>
      </c>
      <c r="F8">
        <v>8.14</v>
      </c>
      <c r="G8">
        <f t="shared" si="0"/>
        <v>3.0999999999999873E-3</v>
      </c>
      <c r="H8">
        <f t="shared" si="1"/>
        <v>12</v>
      </c>
    </row>
    <row r="9" spans="1:11">
      <c r="A9">
        <v>2009</v>
      </c>
      <c r="B9">
        <v>47</v>
      </c>
      <c r="C9">
        <v>46526</v>
      </c>
      <c r="D9">
        <v>3841</v>
      </c>
      <c r="E9">
        <v>8.26</v>
      </c>
      <c r="F9">
        <v>8.25</v>
      </c>
      <c r="G9">
        <f t="shared" si="0"/>
        <v>9.9999999999997863E-5</v>
      </c>
      <c r="H9">
        <f t="shared" si="1"/>
        <v>0</v>
      </c>
    </row>
    <row r="10" spans="1:11">
      <c r="A10">
        <v>2009</v>
      </c>
      <c r="B10">
        <v>48</v>
      </c>
      <c r="C10">
        <v>47905</v>
      </c>
      <c r="D10">
        <v>3912</v>
      </c>
      <c r="E10">
        <v>8.17</v>
      </c>
      <c r="F10">
        <v>8.36</v>
      </c>
      <c r="G10">
        <f t="shared" si="0"/>
        <v>-1.899999999999995E-3</v>
      </c>
      <c r="H10">
        <f t="shared" si="1"/>
        <v>0</v>
      </c>
    </row>
    <row r="11" spans="1:11">
      <c r="A11">
        <v>2009</v>
      </c>
      <c r="B11">
        <v>49</v>
      </c>
      <c r="C11">
        <v>49392</v>
      </c>
      <c r="D11">
        <v>4089</v>
      </c>
      <c r="E11">
        <v>8.2799999999999994</v>
      </c>
      <c r="F11">
        <v>8.4600000000000009</v>
      </c>
      <c r="G11">
        <f t="shared" si="0"/>
        <v>-1.8000000000000149E-3</v>
      </c>
      <c r="H11">
        <f t="shared" si="1"/>
        <v>0</v>
      </c>
    </row>
    <row r="12" spans="1:11">
      <c r="A12">
        <v>2009</v>
      </c>
      <c r="B12">
        <v>50</v>
      </c>
      <c r="C12">
        <v>49216</v>
      </c>
      <c r="D12">
        <v>4083</v>
      </c>
      <c r="E12">
        <v>8.3000000000000007</v>
      </c>
      <c r="F12">
        <v>8.56</v>
      </c>
      <c r="G12">
        <f t="shared" si="0"/>
        <v>-2.5999999999999977E-3</v>
      </c>
      <c r="H12">
        <f t="shared" si="1"/>
        <v>0</v>
      </c>
    </row>
    <row r="13" spans="1:11">
      <c r="A13">
        <v>2009</v>
      </c>
      <c r="B13">
        <v>51</v>
      </c>
      <c r="C13">
        <v>49213</v>
      </c>
      <c r="D13">
        <v>3905</v>
      </c>
      <c r="E13">
        <v>7.93</v>
      </c>
      <c r="F13">
        <v>8.64</v>
      </c>
      <c r="G13">
        <f t="shared" si="0"/>
        <v>-7.1000000000000082E-3</v>
      </c>
      <c r="H13">
        <f t="shared" si="1"/>
        <v>0</v>
      </c>
      <c r="K13" s="21"/>
    </row>
    <row r="14" spans="1:11">
      <c r="A14">
        <v>2009</v>
      </c>
      <c r="B14">
        <v>52</v>
      </c>
      <c r="C14">
        <v>49833</v>
      </c>
      <c r="D14">
        <v>4372</v>
      </c>
      <c r="E14">
        <v>8.77</v>
      </c>
      <c r="F14">
        <v>8.7200000000000006</v>
      </c>
      <c r="G14">
        <f t="shared" si="0"/>
        <v>4.9999999999998939E-4</v>
      </c>
      <c r="H14">
        <f t="shared" si="1"/>
        <v>2</v>
      </c>
    </row>
    <row r="15" spans="1:11">
      <c r="A15">
        <v>2010</v>
      </c>
      <c r="B15">
        <v>1</v>
      </c>
      <c r="C15">
        <v>51474</v>
      </c>
      <c r="D15">
        <v>4501</v>
      </c>
      <c r="E15">
        <v>8.74</v>
      </c>
      <c r="F15">
        <v>8.7899999999999991</v>
      </c>
      <c r="G15">
        <f t="shared" si="0"/>
        <v>-4.9999999999998939E-4</v>
      </c>
      <c r="H15">
        <f t="shared" si="1"/>
        <v>0</v>
      </c>
    </row>
    <row r="16" spans="1:11">
      <c r="A16">
        <v>2010</v>
      </c>
      <c r="B16">
        <v>2</v>
      </c>
      <c r="C16">
        <v>51453</v>
      </c>
      <c r="D16">
        <v>4533</v>
      </c>
      <c r="E16">
        <v>8.81</v>
      </c>
      <c r="F16">
        <v>8.85</v>
      </c>
      <c r="G16">
        <f t="shared" si="0"/>
        <v>-3.9999999999999145E-4</v>
      </c>
      <c r="H16">
        <f t="shared" si="1"/>
        <v>0</v>
      </c>
    </row>
    <row r="17" spans="1:8">
      <c r="A17">
        <v>2010</v>
      </c>
      <c r="B17">
        <v>3</v>
      </c>
      <c r="C17">
        <v>49996</v>
      </c>
      <c r="D17">
        <v>4351</v>
      </c>
      <c r="E17">
        <v>8.6999999999999993</v>
      </c>
      <c r="F17">
        <v>8.9</v>
      </c>
      <c r="G17">
        <f t="shared" si="0"/>
        <v>-2.0000000000000104E-3</v>
      </c>
      <c r="H17">
        <f t="shared" si="1"/>
        <v>0</v>
      </c>
    </row>
    <row r="18" spans="1:8">
      <c r="A18">
        <v>2010</v>
      </c>
      <c r="B18">
        <v>4</v>
      </c>
      <c r="C18">
        <v>48509</v>
      </c>
      <c r="D18">
        <v>4110</v>
      </c>
      <c r="E18">
        <v>8.4700000000000006</v>
      </c>
      <c r="F18">
        <v>8.93</v>
      </c>
      <c r="G18">
        <f t="shared" si="0"/>
        <v>-4.5999999999999904E-3</v>
      </c>
      <c r="H18">
        <f t="shared" si="1"/>
        <v>0</v>
      </c>
    </row>
    <row r="19" spans="1:8">
      <c r="A19">
        <v>2010</v>
      </c>
      <c r="B19">
        <v>5</v>
      </c>
      <c r="C19">
        <v>49127</v>
      </c>
      <c r="D19">
        <v>4116</v>
      </c>
      <c r="E19">
        <v>8.3800000000000008</v>
      </c>
      <c r="F19">
        <v>8.9600000000000009</v>
      </c>
      <c r="G19">
        <f t="shared" si="0"/>
        <v>-5.8000000000000005E-3</v>
      </c>
      <c r="H19">
        <f t="shared" si="1"/>
        <v>0</v>
      </c>
    </row>
    <row r="20" spans="1:8">
      <c r="A20">
        <v>2010</v>
      </c>
      <c r="B20">
        <v>6</v>
      </c>
      <c r="C20">
        <v>50182</v>
      </c>
      <c r="D20">
        <v>4170</v>
      </c>
      <c r="E20">
        <v>8.31</v>
      </c>
      <c r="F20">
        <v>8.9600000000000009</v>
      </c>
      <c r="G20">
        <f t="shared" si="0"/>
        <v>-6.5000000000000032E-3</v>
      </c>
      <c r="H20">
        <f t="shared" si="1"/>
        <v>0</v>
      </c>
    </row>
    <row r="21" spans="1:8">
      <c r="A21">
        <v>2010</v>
      </c>
      <c r="B21">
        <v>7</v>
      </c>
      <c r="C21">
        <v>50532</v>
      </c>
      <c r="D21">
        <v>4262</v>
      </c>
      <c r="E21">
        <v>8.43</v>
      </c>
      <c r="F21">
        <v>8.9600000000000009</v>
      </c>
      <c r="G21">
        <f t="shared" si="0"/>
        <v>-5.3000000000000113E-3</v>
      </c>
      <c r="H21">
        <f t="shared" si="1"/>
        <v>0</v>
      </c>
    </row>
    <row r="22" spans="1:8">
      <c r="A22">
        <v>2010</v>
      </c>
      <c r="B22">
        <v>8</v>
      </c>
      <c r="C22">
        <v>50227</v>
      </c>
      <c r="D22">
        <v>4327</v>
      </c>
      <c r="E22">
        <v>8.61</v>
      </c>
      <c r="F22">
        <v>8.94</v>
      </c>
      <c r="G22">
        <f t="shared" si="0"/>
        <v>-3.3000000000000008E-3</v>
      </c>
      <c r="H22">
        <f t="shared" si="1"/>
        <v>0</v>
      </c>
    </row>
    <row r="23" spans="1:8">
      <c r="A23">
        <v>2010</v>
      </c>
      <c r="B23">
        <v>9</v>
      </c>
      <c r="C23">
        <v>50389</v>
      </c>
      <c r="D23">
        <v>4373</v>
      </c>
      <c r="E23">
        <v>8.68</v>
      </c>
      <c r="F23">
        <v>8.91</v>
      </c>
      <c r="G23">
        <f t="shared" si="0"/>
        <v>-2.3000000000000043E-3</v>
      </c>
      <c r="H23">
        <f t="shared" si="1"/>
        <v>0</v>
      </c>
    </row>
    <row r="24" spans="1:8">
      <c r="A24">
        <v>2010</v>
      </c>
      <c r="B24">
        <v>10</v>
      </c>
      <c r="C24">
        <v>50268</v>
      </c>
      <c r="D24">
        <v>4414</v>
      </c>
      <c r="E24">
        <v>8.7799999999999994</v>
      </c>
      <c r="F24">
        <v>8.86</v>
      </c>
      <c r="G24">
        <f t="shared" si="0"/>
        <v>-8.0000000000000069E-4</v>
      </c>
      <c r="H24">
        <f t="shared" si="1"/>
        <v>0</v>
      </c>
    </row>
    <row r="25" spans="1:8">
      <c r="A25">
        <v>2010</v>
      </c>
      <c r="B25">
        <v>11</v>
      </c>
      <c r="C25">
        <v>49355</v>
      </c>
      <c r="D25">
        <v>4269</v>
      </c>
      <c r="E25">
        <v>8.65</v>
      </c>
      <c r="F25">
        <v>8.81</v>
      </c>
      <c r="G25">
        <f t="shared" si="0"/>
        <v>-1.6000000000000014E-3</v>
      </c>
      <c r="H25">
        <f t="shared" si="1"/>
        <v>0</v>
      </c>
    </row>
    <row r="26" spans="1:8">
      <c r="A26">
        <v>2010</v>
      </c>
      <c r="B26">
        <v>12</v>
      </c>
      <c r="C26">
        <v>48346</v>
      </c>
      <c r="D26">
        <v>4117</v>
      </c>
      <c r="E26">
        <v>8.52</v>
      </c>
      <c r="F26">
        <v>8.74</v>
      </c>
      <c r="G26">
        <f t="shared" si="0"/>
        <v>-2.2000000000000062E-3</v>
      </c>
      <c r="H26">
        <f t="shared" si="1"/>
        <v>0</v>
      </c>
    </row>
    <row r="27" spans="1:8">
      <c r="A27">
        <v>2010</v>
      </c>
      <c r="B27">
        <v>13</v>
      </c>
      <c r="C27">
        <v>48873</v>
      </c>
      <c r="D27">
        <v>4020</v>
      </c>
      <c r="E27">
        <v>8.23</v>
      </c>
      <c r="F27">
        <v>8.66</v>
      </c>
      <c r="G27">
        <f t="shared" si="0"/>
        <v>-4.2999999999999974E-3</v>
      </c>
      <c r="H27">
        <f t="shared" si="1"/>
        <v>0</v>
      </c>
    </row>
    <row r="28" spans="1:8">
      <c r="A28">
        <v>2010</v>
      </c>
      <c r="B28">
        <v>14</v>
      </c>
      <c r="C28">
        <v>47820</v>
      </c>
      <c r="D28">
        <v>4002</v>
      </c>
      <c r="E28">
        <v>8.3699999999999992</v>
      </c>
      <c r="F28">
        <v>8.57</v>
      </c>
      <c r="G28">
        <f t="shared" si="0"/>
        <v>-2.0000000000000104E-3</v>
      </c>
      <c r="H28">
        <f t="shared" si="1"/>
        <v>0</v>
      </c>
    </row>
    <row r="29" spans="1:8">
      <c r="A29">
        <v>2010</v>
      </c>
      <c r="B29">
        <v>15</v>
      </c>
      <c r="C29">
        <v>47134</v>
      </c>
      <c r="D29">
        <v>3743</v>
      </c>
      <c r="E29">
        <v>7.94</v>
      </c>
      <c r="F29">
        <v>8.48</v>
      </c>
      <c r="G29">
        <f t="shared" si="0"/>
        <v>-5.4000000000000003E-3</v>
      </c>
      <c r="H29">
        <f t="shared" si="1"/>
        <v>0</v>
      </c>
    </row>
    <row r="30" spans="1:8">
      <c r="A30">
        <v>2010</v>
      </c>
      <c r="B30">
        <v>16</v>
      </c>
      <c r="C30">
        <v>46653</v>
      </c>
      <c r="D30">
        <v>3582</v>
      </c>
      <c r="E30">
        <v>7.68</v>
      </c>
      <c r="F30">
        <v>8.3800000000000008</v>
      </c>
      <c r="G30">
        <f t="shared" si="0"/>
        <v>-7.0000000000000106E-3</v>
      </c>
      <c r="H30">
        <f t="shared" si="1"/>
        <v>0</v>
      </c>
    </row>
    <row r="31" spans="1:8">
      <c r="A31">
        <v>2010</v>
      </c>
      <c r="B31">
        <v>17</v>
      </c>
      <c r="C31">
        <v>46361</v>
      </c>
      <c r="D31">
        <v>3617</v>
      </c>
      <c r="E31">
        <v>7.8</v>
      </c>
      <c r="F31">
        <v>8.27</v>
      </c>
      <c r="G31">
        <f t="shared" si="0"/>
        <v>-4.6999999999999976E-3</v>
      </c>
      <c r="H31">
        <f t="shared" si="1"/>
        <v>0</v>
      </c>
    </row>
    <row r="32" spans="1:8">
      <c r="A32">
        <v>2010</v>
      </c>
      <c r="B32">
        <v>18</v>
      </c>
      <c r="C32">
        <v>46315</v>
      </c>
      <c r="D32">
        <v>3544</v>
      </c>
      <c r="E32">
        <v>7.65</v>
      </c>
      <c r="F32">
        <v>8.16</v>
      </c>
      <c r="G32">
        <f t="shared" si="0"/>
        <v>-5.0999999999999978E-3</v>
      </c>
      <c r="H32">
        <f t="shared" si="1"/>
        <v>0</v>
      </c>
    </row>
    <row r="33" spans="1:8">
      <c r="A33">
        <v>2010</v>
      </c>
      <c r="B33">
        <v>19</v>
      </c>
      <c r="C33">
        <v>46398</v>
      </c>
      <c r="D33">
        <v>3471</v>
      </c>
      <c r="E33">
        <v>7.48</v>
      </c>
      <c r="F33">
        <v>8.0399999999999991</v>
      </c>
      <c r="G33">
        <f t="shared" si="0"/>
        <v>-5.5999999999999869E-3</v>
      </c>
      <c r="H33">
        <f t="shared" si="1"/>
        <v>0</v>
      </c>
    </row>
    <row r="34" spans="1:8">
      <c r="A34">
        <v>2010</v>
      </c>
      <c r="B34">
        <v>20</v>
      </c>
      <c r="C34">
        <v>45593</v>
      </c>
      <c r="D34">
        <v>3420</v>
      </c>
      <c r="E34">
        <v>7.5</v>
      </c>
      <c r="F34">
        <v>7.93</v>
      </c>
      <c r="G34">
        <f t="shared" si="0"/>
        <v>-4.2999999999999974E-3</v>
      </c>
      <c r="H34">
        <f t="shared" si="1"/>
        <v>0</v>
      </c>
    </row>
    <row r="35" spans="1:8">
      <c r="A35">
        <v>2010</v>
      </c>
      <c r="B35">
        <v>21</v>
      </c>
      <c r="C35">
        <v>45567</v>
      </c>
      <c r="D35">
        <v>3260</v>
      </c>
      <c r="E35">
        <v>7.15</v>
      </c>
      <c r="F35">
        <v>7.82</v>
      </c>
      <c r="G35">
        <f t="shared" si="0"/>
        <v>-6.6999999999999994E-3</v>
      </c>
      <c r="H35">
        <f t="shared" si="1"/>
        <v>0</v>
      </c>
    </row>
    <row r="36" spans="1:8">
      <c r="A36">
        <v>2010</v>
      </c>
      <c r="B36">
        <v>22</v>
      </c>
      <c r="C36">
        <v>45234</v>
      </c>
      <c r="D36">
        <v>3257</v>
      </c>
      <c r="E36">
        <v>7.2</v>
      </c>
      <c r="F36">
        <v>7.71</v>
      </c>
      <c r="G36">
        <f t="shared" si="0"/>
        <v>-5.0999999999999978E-3</v>
      </c>
      <c r="H36">
        <f t="shared" si="1"/>
        <v>0</v>
      </c>
    </row>
    <row r="37" spans="1:8">
      <c r="A37">
        <v>2010</v>
      </c>
      <c r="B37">
        <v>23</v>
      </c>
      <c r="C37">
        <v>45026</v>
      </c>
      <c r="D37">
        <v>3314</v>
      </c>
      <c r="E37">
        <v>7.36</v>
      </c>
      <c r="F37">
        <v>7.6</v>
      </c>
      <c r="G37">
        <f t="shared" si="0"/>
        <v>-2.3999999999999933E-3</v>
      </c>
      <c r="H37">
        <f t="shared" si="1"/>
        <v>0</v>
      </c>
    </row>
    <row r="38" spans="1:8">
      <c r="A38">
        <v>2010</v>
      </c>
      <c r="B38">
        <v>24</v>
      </c>
      <c r="C38">
        <v>45197</v>
      </c>
      <c r="D38">
        <v>3179</v>
      </c>
      <c r="E38">
        <v>7.03</v>
      </c>
      <c r="F38">
        <v>7.5</v>
      </c>
      <c r="G38">
        <f t="shared" si="0"/>
        <v>-4.6999999999999976E-3</v>
      </c>
      <c r="H38">
        <f t="shared" si="1"/>
        <v>0</v>
      </c>
    </row>
    <row r="39" spans="1:8">
      <c r="A39">
        <v>2010</v>
      </c>
      <c r="B39">
        <v>25</v>
      </c>
      <c r="C39">
        <v>44703</v>
      </c>
      <c r="D39">
        <v>3149</v>
      </c>
      <c r="E39">
        <v>7.04</v>
      </c>
      <c r="F39">
        <v>7.41</v>
      </c>
      <c r="G39">
        <f t="shared" si="0"/>
        <v>-3.700000000000001E-3</v>
      </c>
      <c r="H39">
        <f t="shared" si="1"/>
        <v>0</v>
      </c>
    </row>
    <row r="40" spans="1:8">
      <c r="A40">
        <v>2010</v>
      </c>
      <c r="B40">
        <v>26</v>
      </c>
      <c r="C40">
        <v>44730</v>
      </c>
      <c r="D40">
        <v>3155</v>
      </c>
      <c r="E40">
        <v>7.05</v>
      </c>
      <c r="F40">
        <v>7.32</v>
      </c>
      <c r="G40">
        <f t="shared" si="0"/>
        <v>-2.7000000000000045E-3</v>
      </c>
      <c r="H40">
        <f t="shared" si="1"/>
        <v>0</v>
      </c>
    </row>
    <row r="41" spans="1:8">
      <c r="A41">
        <v>2010</v>
      </c>
      <c r="B41">
        <v>27</v>
      </c>
      <c r="C41">
        <v>45657</v>
      </c>
      <c r="D41">
        <v>3223</v>
      </c>
      <c r="E41">
        <v>7.06</v>
      </c>
      <c r="F41">
        <v>7.25</v>
      </c>
      <c r="G41">
        <f t="shared" si="0"/>
        <v>-1.9000000000000039E-3</v>
      </c>
      <c r="H41">
        <f t="shared" si="1"/>
        <v>0</v>
      </c>
    </row>
    <row r="42" spans="1:8">
      <c r="A42">
        <v>2010</v>
      </c>
      <c r="B42">
        <v>28</v>
      </c>
      <c r="C42">
        <v>44927</v>
      </c>
      <c r="D42">
        <v>3127</v>
      </c>
      <c r="E42">
        <v>6.96</v>
      </c>
      <c r="F42">
        <v>7.19</v>
      </c>
      <c r="G42">
        <f t="shared" si="0"/>
        <v>-2.3000000000000043E-3</v>
      </c>
      <c r="H42">
        <f t="shared" si="1"/>
        <v>0</v>
      </c>
    </row>
    <row r="43" spans="1:8">
      <c r="A43">
        <v>2010</v>
      </c>
      <c r="B43">
        <v>29</v>
      </c>
      <c r="C43">
        <v>44694</v>
      </c>
      <c r="D43">
        <v>3097</v>
      </c>
      <c r="E43">
        <v>6.93</v>
      </c>
      <c r="F43">
        <v>7.13</v>
      </c>
      <c r="G43">
        <f t="shared" si="0"/>
        <v>-2.0000000000000018E-3</v>
      </c>
      <c r="H43">
        <f t="shared" si="1"/>
        <v>0</v>
      </c>
    </row>
    <row r="44" spans="1:8">
      <c r="A44">
        <v>2010</v>
      </c>
      <c r="B44">
        <v>30</v>
      </c>
      <c r="C44">
        <v>44350</v>
      </c>
      <c r="D44">
        <v>2967</v>
      </c>
      <c r="E44">
        <v>6.69</v>
      </c>
      <c r="F44">
        <v>7.1</v>
      </c>
      <c r="G44">
        <f t="shared" si="0"/>
        <v>-4.0999999999999925E-3</v>
      </c>
      <c r="H44">
        <f t="shared" si="1"/>
        <v>0</v>
      </c>
    </row>
    <row r="45" spans="1:8">
      <c r="A45">
        <v>2010</v>
      </c>
      <c r="B45">
        <v>31</v>
      </c>
      <c r="C45">
        <v>44793</v>
      </c>
      <c r="D45">
        <v>3034</v>
      </c>
      <c r="E45">
        <v>6.77</v>
      </c>
      <c r="F45">
        <v>7.07</v>
      </c>
      <c r="G45">
        <f t="shared" si="0"/>
        <v>-3.000000000000007E-3</v>
      </c>
      <c r="H45">
        <f t="shared" si="1"/>
        <v>0</v>
      </c>
    </row>
    <row r="46" spans="1:8">
      <c r="A46">
        <v>2010</v>
      </c>
      <c r="B46">
        <v>32</v>
      </c>
      <c r="C46">
        <v>44469</v>
      </c>
      <c r="D46">
        <v>2936</v>
      </c>
      <c r="E46">
        <v>6.6</v>
      </c>
      <c r="F46">
        <v>7.06</v>
      </c>
      <c r="G46">
        <f t="shared" si="0"/>
        <v>-4.5999999999999999E-3</v>
      </c>
      <c r="H46">
        <f t="shared" si="1"/>
        <v>0</v>
      </c>
    </row>
    <row r="47" spans="1:8">
      <c r="A47">
        <v>2010</v>
      </c>
      <c r="B47">
        <v>33</v>
      </c>
      <c r="C47">
        <v>44461</v>
      </c>
      <c r="D47">
        <v>3019</v>
      </c>
      <c r="E47">
        <v>6.79</v>
      </c>
      <c r="F47">
        <v>7.06</v>
      </c>
      <c r="G47">
        <f t="shared" si="0"/>
        <v>-2.6999999999999958E-3</v>
      </c>
      <c r="H47">
        <f t="shared" si="1"/>
        <v>0</v>
      </c>
    </row>
    <row r="48" spans="1:8">
      <c r="A48">
        <v>2010</v>
      </c>
      <c r="B48">
        <v>34</v>
      </c>
      <c r="C48">
        <v>44400</v>
      </c>
      <c r="D48">
        <v>2904</v>
      </c>
      <c r="E48">
        <v>6.54</v>
      </c>
      <c r="F48">
        <v>7.07</v>
      </c>
      <c r="G48">
        <f t="shared" si="0"/>
        <v>-5.3000000000000026E-3</v>
      </c>
      <c r="H48">
        <f t="shared" si="1"/>
        <v>0</v>
      </c>
    </row>
    <row r="49" spans="1:8">
      <c r="A49">
        <v>2010</v>
      </c>
      <c r="B49">
        <v>35</v>
      </c>
      <c r="C49">
        <v>44406</v>
      </c>
      <c r="D49">
        <v>3059</v>
      </c>
      <c r="E49">
        <v>6.89</v>
      </c>
      <c r="F49">
        <v>7.09</v>
      </c>
      <c r="G49">
        <f t="shared" si="0"/>
        <v>-2.0000000000000018E-3</v>
      </c>
      <c r="H49">
        <f t="shared" si="1"/>
        <v>0</v>
      </c>
    </row>
    <row r="50" spans="1:8">
      <c r="A50">
        <v>2010</v>
      </c>
      <c r="B50">
        <v>36</v>
      </c>
      <c r="C50">
        <v>44913</v>
      </c>
      <c r="D50">
        <v>3178</v>
      </c>
      <c r="E50">
        <v>7.08</v>
      </c>
      <c r="F50">
        <v>7.13</v>
      </c>
      <c r="G50">
        <f t="shared" si="0"/>
        <v>-4.9999999999999828E-4</v>
      </c>
      <c r="H50">
        <f t="shared" si="1"/>
        <v>0</v>
      </c>
    </row>
    <row r="51" spans="1:8">
      <c r="A51">
        <v>2010</v>
      </c>
      <c r="B51">
        <v>37</v>
      </c>
      <c r="C51">
        <v>45301</v>
      </c>
      <c r="D51">
        <v>3202</v>
      </c>
      <c r="E51">
        <v>7.07</v>
      </c>
      <c r="F51">
        <v>7.19</v>
      </c>
      <c r="G51">
        <f t="shared" si="0"/>
        <v>-1.200000000000001E-3</v>
      </c>
      <c r="H51">
        <f t="shared" si="1"/>
        <v>0</v>
      </c>
    </row>
    <row r="52" spans="1:8">
      <c r="A52">
        <v>2010</v>
      </c>
      <c r="B52">
        <v>38</v>
      </c>
      <c r="C52">
        <v>45165</v>
      </c>
      <c r="D52">
        <v>3108</v>
      </c>
      <c r="E52">
        <v>6.88</v>
      </c>
      <c r="F52">
        <v>7.25</v>
      </c>
      <c r="G52">
        <f t="shared" si="0"/>
        <v>-3.700000000000001E-3</v>
      </c>
      <c r="H52">
        <f t="shared" si="1"/>
        <v>0</v>
      </c>
    </row>
    <row r="53" spans="1:8">
      <c r="A53">
        <v>2010</v>
      </c>
      <c r="B53">
        <v>39</v>
      </c>
      <c r="C53">
        <v>45357</v>
      </c>
      <c r="D53">
        <v>3228</v>
      </c>
      <c r="E53">
        <v>7.12</v>
      </c>
      <c r="F53">
        <v>7.32</v>
      </c>
      <c r="G53">
        <f t="shared" si="0"/>
        <v>-2.0000000000000018E-3</v>
      </c>
      <c r="H53">
        <f t="shared" si="1"/>
        <v>0</v>
      </c>
    </row>
    <row r="54" spans="1:8">
      <c r="A54">
        <v>2010</v>
      </c>
      <c r="B54">
        <v>40</v>
      </c>
      <c r="C54">
        <v>46636</v>
      </c>
      <c r="D54">
        <v>3268</v>
      </c>
      <c r="E54">
        <v>7.01</v>
      </c>
      <c r="F54">
        <v>7.4</v>
      </c>
      <c r="G54">
        <f t="shared" si="0"/>
        <v>-3.9000000000000059E-3</v>
      </c>
      <c r="H54">
        <f t="shared" si="1"/>
        <v>0</v>
      </c>
    </row>
    <row r="55" spans="1:8">
      <c r="A55">
        <v>2010</v>
      </c>
      <c r="B55">
        <v>41</v>
      </c>
      <c r="C55">
        <v>46617</v>
      </c>
      <c r="D55">
        <v>3473</v>
      </c>
      <c r="E55">
        <v>7.45</v>
      </c>
      <c r="F55">
        <v>7.49</v>
      </c>
      <c r="G55">
        <f t="shared" si="0"/>
        <v>-4.0000000000000034E-4</v>
      </c>
      <c r="H55">
        <f t="shared" si="1"/>
        <v>0</v>
      </c>
    </row>
    <row r="56" spans="1:8">
      <c r="A56">
        <v>2010</v>
      </c>
      <c r="B56">
        <v>42</v>
      </c>
      <c r="C56">
        <v>47142</v>
      </c>
      <c r="D56">
        <v>3435</v>
      </c>
      <c r="E56">
        <v>7.29</v>
      </c>
      <c r="F56">
        <v>7.59</v>
      </c>
      <c r="G56">
        <f t="shared" si="0"/>
        <v>-2.9999999999999983E-3</v>
      </c>
      <c r="H56">
        <f t="shared" si="1"/>
        <v>0</v>
      </c>
    </row>
    <row r="57" spans="1:8">
      <c r="A57">
        <v>2010</v>
      </c>
      <c r="B57">
        <v>43</v>
      </c>
      <c r="C57">
        <v>46620</v>
      </c>
      <c r="D57">
        <v>3508</v>
      </c>
      <c r="E57">
        <v>7.52</v>
      </c>
      <c r="F57">
        <v>7.69</v>
      </c>
      <c r="G57">
        <f t="shared" si="0"/>
        <v>-1.7000000000000081E-3</v>
      </c>
      <c r="H57">
        <f t="shared" si="1"/>
        <v>0</v>
      </c>
    </row>
    <row r="58" spans="1:8">
      <c r="A58">
        <v>2010</v>
      </c>
      <c r="B58">
        <v>44</v>
      </c>
      <c r="C58">
        <v>47490</v>
      </c>
      <c r="D58">
        <v>3510</v>
      </c>
      <c r="E58">
        <v>7.39</v>
      </c>
      <c r="F58">
        <v>7.8</v>
      </c>
      <c r="G58">
        <f t="shared" si="0"/>
        <v>-4.1000000000000012E-3</v>
      </c>
      <c r="H58">
        <f t="shared" si="1"/>
        <v>0</v>
      </c>
    </row>
    <row r="59" spans="1:8">
      <c r="A59">
        <v>2010</v>
      </c>
      <c r="B59">
        <v>45</v>
      </c>
      <c r="C59">
        <v>48474</v>
      </c>
      <c r="D59">
        <v>3618</v>
      </c>
      <c r="E59">
        <v>7.46</v>
      </c>
      <c r="F59">
        <v>7.91</v>
      </c>
      <c r="G59">
        <f t="shared" si="0"/>
        <v>-4.5000000000000014E-3</v>
      </c>
      <c r="H59">
        <f t="shared" si="1"/>
        <v>0</v>
      </c>
    </row>
    <row r="60" spans="1:8">
      <c r="A60">
        <v>2010</v>
      </c>
      <c r="B60">
        <v>46</v>
      </c>
      <c r="C60">
        <v>48186</v>
      </c>
      <c r="D60">
        <v>3558</v>
      </c>
      <c r="E60">
        <v>7.38</v>
      </c>
      <c r="F60">
        <v>8.02</v>
      </c>
      <c r="G60">
        <f t="shared" si="0"/>
        <v>-6.3999999999999968E-3</v>
      </c>
      <c r="H60">
        <f t="shared" si="1"/>
        <v>0</v>
      </c>
    </row>
    <row r="61" spans="1:8">
      <c r="A61">
        <v>2010</v>
      </c>
      <c r="B61">
        <v>47</v>
      </c>
      <c r="C61">
        <v>47812</v>
      </c>
      <c r="D61">
        <v>3626</v>
      </c>
      <c r="E61">
        <v>7.58</v>
      </c>
      <c r="F61">
        <v>8.1199999999999992</v>
      </c>
      <c r="G61">
        <f t="shared" si="0"/>
        <v>-5.3999999999999916E-3</v>
      </c>
      <c r="H61">
        <f t="shared" si="1"/>
        <v>0</v>
      </c>
    </row>
    <row r="62" spans="1:8">
      <c r="A62">
        <v>2010</v>
      </c>
      <c r="B62">
        <v>48</v>
      </c>
      <c r="C62">
        <v>48954</v>
      </c>
      <c r="D62">
        <v>3873</v>
      </c>
      <c r="E62">
        <v>7.91</v>
      </c>
      <c r="F62">
        <v>8.23</v>
      </c>
      <c r="G62">
        <f t="shared" si="0"/>
        <v>-3.2000000000000028E-3</v>
      </c>
      <c r="H62">
        <f t="shared" si="1"/>
        <v>0</v>
      </c>
    </row>
    <row r="63" spans="1:8">
      <c r="A63">
        <v>2010</v>
      </c>
      <c r="B63">
        <v>49</v>
      </c>
      <c r="C63">
        <v>50365</v>
      </c>
      <c r="D63">
        <v>3851</v>
      </c>
      <c r="E63">
        <v>7.65</v>
      </c>
      <c r="F63">
        <v>8.33</v>
      </c>
      <c r="G63">
        <f t="shared" si="0"/>
        <v>-6.799999999999997E-3</v>
      </c>
      <c r="H63">
        <f t="shared" si="1"/>
        <v>0</v>
      </c>
    </row>
    <row r="64" spans="1:8">
      <c r="A64">
        <v>2010</v>
      </c>
      <c r="B64">
        <v>50</v>
      </c>
      <c r="C64">
        <v>51290</v>
      </c>
      <c r="D64">
        <v>4052</v>
      </c>
      <c r="E64">
        <v>7.9</v>
      </c>
      <c r="F64">
        <v>8.43</v>
      </c>
      <c r="G64">
        <f t="shared" si="0"/>
        <v>-5.299999999999994E-3</v>
      </c>
      <c r="H64">
        <f t="shared" si="1"/>
        <v>0</v>
      </c>
    </row>
    <row r="65" spans="1:8">
      <c r="A65">
        <v>2010</v>
      </c>
      <c r="B65">
        <v>51</v>
      </c>
      <c r="C65">
        <v>50928</v>
      </c>
      <c r="D65">
        <v>4125</v>
      </c>
      <c r="E65">
        <v>8.1</v>
      </c>
      <c r="F65">
        <v>8.51</v>
      </c>
      <c r="G65">
        <f t="shared" si="0"/>
        <v>-4.1000000000000012E-3</v>
      </c>
      <c r="H65">
        <f t="shared" si="1"/>
        <v>0</v>
      </c>
    </row>
    <row r="66" spans="1:8">
      <c r="A66">
        <v>2010</v>
      </c>
      <c r="B66">
        <v>52</v>
      </c>
      <c r="C66">
        <v>52807</v>
      </c>
      <c r="D66">
        <v>4611</v>
      </c>
      <c r="E66">
        <v>8.73</v>
      </c>
      <c r="F66">
        <v>8.59</v>
      </c>
      <c r="G66">
        <f t="shared" si="0"/>
        <v>1.4000000000000056E-3</v>
      </c>
      <c r="H66">
        <f t="shared" si="1"/>
        <v>6</v>
      </c>
    </row>
    <row r="67" spans="1:8">
      <c r="A67">
        <v>2011</v>
      </c>
      <c r="B67">
        <v>1</v>
      </c>
      <c r="C67">
        <v>53608</v>
      </c>
      <c r="D67">
        <v>4870</v>
      </c>
      <c r="E67">
        <v>9.08</v>
      </c>
      <c r="F67">
        <v>8.67</v>
      </c>
      <c r="G67">
        <f t="shared" ref="G67:G130" si="2">(E67-F67)/100</f>
        <v>4.1000000000000012E-3</v>
      </c>
      <c r="H67">
        <f t="shared" ref="H67:H130" si="3">INT(MAX(0,G67*D67))</f>
        <v>19</v>
      </c>
    </row>
    <row r="68" spans="1:8">
      <c r="A68">
        <v>2011</v>
      </c>
      <c r="B68">
        <v>2</v>
      </c>
      <c r="C68">
        <v>52850</v>
      </c>
      <c r="D68">
        <v>4791</v>
      </c>
      <c r="E68">
        <v>9.07</v>
      </c>
      <c r="F68">
        <v>8.73</v>
      </c>
      <c r="G68">
        <f t="shared" si="2"/>
        <v>3.3999999999999985E-3</v>
      </c>
      <c r="H68">
        <f t="shared" si="3"/>
        <v>16</v>
      </c>
    </row>
    <row r="69" spans="1:8">
      <c r="A69">
        <v>2011</v>
      </c>
      <c r="B69">
        <v>3</v>
      </c>
      <c r="C69">
        <v>52597</v>
      </c>
      <c r="D69">
        <v>4782</v>
      </c>
      <c r="E69">
        <v>9.09</v>
      </c>
      <c r="F69">
        <v>8.77</v>
      </c>
      <c r="G69">
        <f t="shared" si="2"/>
        <v>3.2000000000000028E-3</v>
      </c>
      <c r="H69">
        <f t="shared" si="3"/>
        <v>15</v>
      </c>
    </row>
    <row r="70" spans="1:8">
      <c r="A70">
        <v>2011</v>
      </c>
      <c r="B70">
        <v>4</v>
      </c>
      <c r="C70">
        <v>52455</v>
      </c>
      <c r="D70">
        <v>4908</v>
      </c>
      <c r="E70">
        <v>9.36</v>
      </c>
      <c r="F70">
        <v>8.81</v>
      </c>
      <c r="G70">
        <f t="shared" si="2"/>
        <v>5.4999999999999893E-3</v>
      </c>
      <c r="H70">
        <f t="shared" si="3"/>
        <v>26</v>
      </c>
    </row>
    <row r="71" spans="1:8">
      <c r="A71">
        <v>2011</v>
      </c>
      <c r="B71">
        <v>5</v>
      </c>
      <c r="C71">
        <v>52201</v>
      </c>
      <c r="D71">
        <v>4811</v>
      </c>
      <c r="E71">
        <v>9.2200000000000006</v>
      </c>
      <c r="F71">
        <v>8.83</v>
      </c>
      <c r="G71">
        <f t="shared" si="2"/>
        <v>3.9000000000000059E-3</v>
      </c>
      <c r="H71">
        <f t="shared" si="3"/>
        <v>18</v>
      </c>
    </row>
    <row r="72" spans="1:8">
      <c r="A72">
        <v>2011</v>
      </c>
      <c r="B72">
        <v>6</v>
      </c>
      <c r="C72">
        <v>52927</v>
      </c>
      <c r="D72">
        <v>4905</v>
      </c>
      <c r="E72">
        <v>9.27</v>
      </c>
      <c r="F72">
        <v>8.84</v>
      </c>
      <c r="G72">
        <f t="shared" si="2"/>
        <v>4.2999999999999974E-3</v>
      </c>
      <c r="H72">
        <f t="shared" si="3"/>
        <v>21</v>
      </c>
    </row>
    <row r="73" spans="1:8">
      <c r="A73">
        <v>2011</v>
      </c>
      <c r="B73">
        <v>7</v>
      </c>
      <c r="C73">
        <v>53560</v>
      </c>
      <c r="D73">
        <v>5162</v>
      </c>
      <c r="E73">
        <v>9.64</v>
      </c>
      <c r="F73">
        <v>8.84</v>
      </c>
      <c r="G73">
        <f t="shared" si="2"/>
        <v>8.0000000000000071E-3</v>
      </c>
      <c r="H73">
        <f t="shared" si="3"/>
        <v>41</v>
      </c>
    </row>
    <row r="74" spans="1:8">
      <c r="A74">
        <v>2011</v>
      </c>
      <c r="B74">
        <v>8</v>
      </c>
      <c r="C74">
        <v>52444</v>
      </c>
      <c r="D74">
        <v>5186</v>
      </c>
      <c r="E74">
        <v>9.89</v>
      </c>
      <c r="F74">
        <v>8.82</v>
      </c>
      <c r="G74">
        <f t="shared" si="2"/>
        <v>1.0700000000000003E-2</v>
      </c>
      <c r="H74">
        <f t="shared" si="3"/>
        <v>55</v>
      </c>
    </row>
    <row r="75" spans="1:8">
      <c r="A75">
        <v>2011</v>
      </c>
      <c r="B75">
        <v>9</v>
      </c>
      <c r="C75">
        <v>52343</v>
      </c>
      <c r="D75">
        <v>5005</v>
      </c>
      <c r="E75">
        <v>9.56</v>
      </c>
      <c r="F75">
        <v>8.7899999999999991</v>
      </c>
      <c r="G75">
        <f t="shared" si="2"/>
        <v>7.7000000000000133E-3</v>
      </c>
      <c r="H75">
        <f t="shared" si="3"/>
        <v>38</v>
      </c>
    </row>
    <row r="76" spans="1:8">
      <c r="A76">
        <v>2011</v>
      </c>
      <c r="B76">
        <v>10</v>
      </c>
      <c r="C76">
        <v>51830</v>
      </c>
      <c r="D76">
        <v>4892</v>
      </c>
      <c r="E76">
        <v>9.44</v>
      </c>
      <c r="F76">
        <v>8.75</v>
      </c>
      <c r="G76">
        <f t="shared" si="2"/>
        <v>6.8999999999999947E-3</v>
      </c>
      <c r="H76">
        <f t="shared" si="3"/>
        <v>33</v>
      </c>
    </row>
    <row r="77" spans="1:8">
      <c r="A77">
        <v>2011</v>
      </c>
      <c r="B77">
        <v>11</v>
      </c>
      <c r="C77">
        <v>50859</v>
      </c>
      <c r="D77">
        <v>4648</v>
      </c>
      <c r="E77">
        <v>9.14</v>
      </c>
      <c r="F77">
        <v>8.6999999999999993</v>
      </c>
      <c r="G77">
        <f t="shared" si="2"/>
        <v>4.4000000000000124E-3</v>
      </c>
      <c r="H77">
        <f t="shared" si="3"/>
        <v>20</v>
      </c>
    </row>
    <row r="78" spans="1:8">
      <c r="A78">
        <v>2011</v>
      </c>
      <c r="B78">
        <v>12</v>
      </c>
      <c r="C78">
        <v>49874</v>
      </c>
      <c r="D78">
        <v>4433</v>
      </c>
      <c r="E78">
        <v>8.89</v>
      </c>
      <c r="F78">
        <v>8.6300000000000008</v>
      </c>
      <c r="G78">
        <f t="shared" si="2"/>
        <v>2.5999999999999977E-3</v>
      </c>
      <c r="H78">
        <f t="shared" si="3"/>
        <v>11</v>
      </c>
    </row>
    <row r="79" spans="1:8">
      <c r="A79">
        <v>2011</v>
      </c>
      <c r="B79">
        <v>13</v>
      </c>
      <c r="C79">
        <v>49504</v>
      </c>
      <c r="D79">
        <v>4269</v>
      </c>
      <c r="E79">
        <v>8.6199999999999992</v>
      </c>
      <c r="F79">
        <v>8.56</v>
      </c>
      <c r="G79">
        <f t="shared" si="2"/>
        <v>5.9999999999998726E-4</v>
      </c>
      <c r="H79">
        <f t="shared" si="3"/>
        <v>2</v>
      </c>
    </row>
    <row r="80" spans="1:8">
      <c r="A80">
        <v>2011</v>
      </c>
      <c r="B80">
        <v>14</v>
      </c>
      <c r="C80">
        <v>49860</v>
      </c>
      <c r="D80">
        <v>4140</v>
      </c>
      <c r="E80">
        <v>8.3000000000000007</v>
      </c>
      <c r="F80">
        <v>8.4700000000000006</v>
      </c>
      <c r="G80">
        <f t="shared" si="2"/>
        <v>-1.6999999999999993E-3</v>
      </c>
      <c r="H80">
        <f t="shared" si="3"/>
        <v>0</v>
      </c>
    </row>
    <row r="81" spans="1:8">
      <c r="A81">
        <v>2011</v>
      </c>
      <c r="B81">
        <v>15</v>
      </c>
      <c r="C81">
        <v>48342</v>
      </c>
      <c r="D81">
        <v>4012</v>
      </c>
      <c r="E81">
        <v>8.3000000000000007</v>
      </c>
      <c r="F81">
        <v>8.3800000000000008</v>
      </c>
      <c r="G81">
        <f t="shared" si="2"/>
        <v>-8.0000000000000069E-4</v>
      </c>
      <c r="H81">
        <f t="shared" si="3"/>
        <v>0</v>
      </c>
    </row>
    <row r="82" spans="1:8">
      <c r="A82">
        <v>2011</v>
      </c>
      <c r="B82">
        <v>16</v>
      </c>
      <c r="C82">
        <v>48019</v>
      </c>
      <c r="D82">
        <v>3928</v>
      </c>
      <c r="E82">
        <v>8.18</v>
      </c>
      <c r="F82">
        <v>8.2799999999999994</v>
      </c>
      <c r="G82">
        <f t="shared" si="2"/>
        <v>-9.9999999999999655E-4</v>
      </c>
      <c r="H82">
        <f t="shared" si="3"/>
        <v>0</v>
      </c>
    </row>
    <row r="83" spans="1:8">
      <c r="A83">
        <v>2011</v>
      </c>
      <c r="B83">
        <v>17</v>
      </c>
      <c r="C83">
        <v>47592</v>
      </c>
      <c r="D83">
        <v>3709</v>
      </c>
      <c r="E83">
        <v>7.79</v>
      </c>
      <c r="F83">
        <v>8.17</v>
      </c>
      <c r="G83">
        <f t="shared" si="2"/>
        <v>-3.7999999999999991E-3</v>
      </c>
      <c r="H83">
        <f t="shared" si="3"/>
        <v>0</v>
      </c>
    </row>
    <row r="84" spans="1:8">
      <c r="A84">
        <v>2011</v>
      </c>
      <c r="B84">
        <v>18</v>
      </c>
      <c r="C84">
        <v>47445</v>
      </c>
      <c r="D84">
        <v>3767</v>
      </c>
      <c r="E84">
        <v>7.94</v>
      </c>
      <c r="F84">
        <v>8.06</v>
      </c>
      <c r="G84">
        <f t="shared" si="2"/>
        <v>-1.200000000000001E-3</v>
      </c>
      <c r="H84">
        <f t="shared" si="3"/>
        <v>0</v>
      </c>
    </row>
    <row r="85" spans="1:8">
      <c r="A85">
        <v>2011</v>
      </c>
      <c r="B85">
        <v>19</v>
      </c>
      <c r="C85">
        <v>47544</v>
      </c>
      <c r="D85">
        <v>3742</v>
      </c>
      <c r="E85">
        <v>7.87</v>
      </c>
      <c r="F85">
        <v>7.95</v>
      </c>
      <c r="G85">
        <f t="shared" si="2"/>
        <v>-8.0000000000000069E-4</v>
      </c>
      <c r="H85">
        <f t="shared" si="3"/>
        <v>0</v>
      </c>
    </row>
    <row r="86" spans="1:8">
      <c r="A86">
        <v>2011</v>
      </c>
      <c r="B86">
        <v>20</v>
      </c>
      <c r="C86">
        <v>46690</v>
      </c>
      <c r="D86">
        <v>3587</v>
      </c>
      <c r="E86">
        <v>7.68</v>
      </c>
      <c r="F86">
        <v>7.84</v>
      </c>
      <c r="G86">
        <f t="shared" si="2"/>
        <v>-1.6000000000000014E-3</v>
      </c>
      <c r="H86">
        <f t="shared" si="3"/>
        <v>0</v>
      </c>
    </row>
    <row r="87" spans="1:8">
      <c r="A87">
        <v>2011</v>
      </c>
      <c r="B87">
        <v>21</v>
      </c>
      <c r="C87">
        <v>46662</v>
      </c>
      <c r="D87">
        <v>3555</v>
      </c>
      <c r="E87">
        <v>7.62</v>
      </c>
      <c r="F87">
        <v>7.73</v>
      </c>
      <c r="G87">
        <f t="shared" si="2"/>
        <v>-1.1000000000000031E-3</v>
      </c>
      <c r="H87">
        <f t="shared" si="3"/>
        <v>0</v>
      </c>
    </row>
    <row r="88" spans="1:8">
      <c r="A88">
        <v>2011</v>
      </c>
      <c r="B88">
        <v>22</v>
      </c>
      <c r="C88">
        <v>46317</v>
      </c>
      <c r="D88">
        <v>3503</v>
      </c>
      <c r="E88">
        <v>7.56</v>
      </c>
      <c r="F88">
        <v>7.62</v>
      </c>
      <c r="G88">
        <f t="shared" si="2"/>
        <v>-6.0000000000000493E-4</v>
      </c>
      <c r="H88">
        <f t="shared" si="3"/>
        <v>0</v>
      </c>
    </row>
    <row r="89" spans="1:8">
      <c r="A89">
        <v>2011</v>
      </c>
      <c r="B89">
        <v>23</v>
      </c>
      <c r="C89">
        <v>46594</v>
      </c>
      <c r="D89">
        <v>3465</v>
      </c>
      <c r="E89">
        <v>7.44</v>
      </c>
      <c r="F89">
        <v>7.51</v>
      </c>
      <c r="G89">
        <f t="shared" si="2"/>
        <v>-6.9999999999999392E-4</v>
      </c>
      <c r="H89">
        <f t="shared" si="3"/>
        <v>0</v>
      </c>
    </row>
    <row r="90" spans="1:8">
      <c r="A90">
        <v>2011</v>
      </c>
      <c r="B90">
        <v>24</v>
      </c>
      <c r="C90">
        <v>46059</v>
      </c>
      <c r="D90">
        <v>3346</v>
      </c>
      <c r="E90">
        <v>7.26</v>
      </c>
      <c r="F90">
        <v>7.41</v>
      </c>
      <c r="G90">
        <f t="shared" si="2"/>
        <v>-1.5000000000000035E-3</v>
      </c>
      <c r="H90">
        <f t="shared" si="3"/>
        <v>0</v>
      </c>
    </row>
    <row r="91" spans="1:8">
      <c r="A91">
        <v>2011</v>
      </c>
      <c r="B91">
        <v>25</v>
      </c>
      <c r="C91">
        <v>45804</v>
      </c>
      <c r="D91">
        <v>3338</v>
      </c>
      <c r="E91">
        <v>7.29</v>
      </c>
      <c r="F91">
        <v>7.32</v>
      </c>
      <c r="G91">
        <f t="shared" si="2"/>
        <v>-3.0000000000000247E-4</v>
      </c>
      <c r="H91">
        <f t="shared" si="3"/>
        <v>0</v>
      </c>
    </row>
    <row r="92" spans="1:8">
      <c r="A92">
        <v>2011</v>
      </c>
      <c r="B92">
        <v>26</v>
      </c>
      <c r="C92">
        <v>46030</v>
      </c>
      <c r="D92">
        <v>3351</v>
      </c>
      <c r="E92">
        <v>7.28</v>
      </c>
      <c r="F92">
        <v>7.24</v>
      </c>
      <c r="G92">
        <f t="shared" si="2"/>
        <v>4.0000000000000034E-4</v>
      </c>
      <c r="H92">
        <f t="shared" si="3"/>
        <v>1</v>
      </c>
    </row>
    <row r="93" spans="1:8">
      <c r="A93">
        <v>2011</v>
      </c>
      <c r="B93">
        <v>27</v>
      </c>
      <c r="C93">
        <v>45759</v>
      </c>
      <c r="D93">
        <v>3194</v>
      </c>
      <c r="E93">
        <v>6.98</v>
      </c>
      <c r="F93">
        <v>7.16</v>
      </c>
      <c r="G93">
        <f t="shared" si="2"/>
        <v>-1.7999999999999971E-3</v>
      </c>
      <c r="H93">
        <f t="shared" si="3"/>
        <v>0</v>
      </c>
    </row>
    <row r="94" spans="1:8">
      <c r="A94">
        <v>2011</v>
      </c>
      <c r="B94">
        <v>28</v>
      </c>
      <c r="C94">
        <v>45380</v>
      </c>
      <c r="D94">
        <v>3151</v>
      </c>
      <c r="E94">
        <v>6.94</v>
      </c>
      <c r="F94">
        <v>7.09</v>
      </c>
      <c r="G94">
        <f t="shared" si="2"/>
        <v>-1.4999999999999946E-3</v>
      </c>
      <c r="H94">
        <f t="shared" si="3"/>
        <v>0</v>
      </c>
    </row>
    <row r="95" spans="1:8">
      <c r="A95">
        <v>2011</v>
      </c>
      <c r="B95">
        <v>29</v>
      </c>
      <c r="C95">
        <v>45774</v>
      </c>
      <c r="D95">
        <v>3193</v>
      </c>
      <c r="E95">
        <v>6.98</v>
      </c>
      <c r="F95">
        <v>7.04</v>
      </c>
      <c r="G95">
        <f t="shared" si="2"/>
        <v>-5.9999999999999604E-4</v>
      </c>
      <c r="H95">
        <f t="shared" si="3"/>
        <v>0</v>
      </c>
    </row>
    <row r="96" spans="1:8">
      <c r="A96">
        <v>2011</v>
      </c>
      <c r="B96">
        <v>30</v>
      </c>
      <c r="C96">
        <v>45068</v>
      </c>
      <c r="D96">
        <v>3000</v>
      </c>
      <c r="E96">
        <v>6.66</v>
      </c>
      <c r="F96">
        <v>7</v>
      </c>
      <c r="G96">
        <f t="shared" si="2"/>
        <v>-3.3999999999999985E-3</v>
      </c>
      <c r="H96">
        <f t="shared" si="3"/>
        <v>0</v>
      </c>
    </row>
    <row r="97" spans="1:8">
      <c r="A97">
        <v>2011</v>
      </c>
      <c r="B97">
        <v>31</v>
      </c>
      <c r="C97">
        <v>45766</v>
      </c>
      <c r="D97">
        <v>3003</v>
      </c>
      <c r="E97">
        <v>6.56</v>
      </c>
      <c r="F97">
        <v>6.97</v>
      </c>
      <c r="G97">
        <f t="shared" si="2"/>
        <v>-4.1000000000000012E-3</v>
      </c>
      <c r="H97">
        <f t="shared" si="3"/>
        <v>0</v>
      </c>
    </row>
    <row r="98" spans="1:8">
      <c r="A98">
        <v>2011</v>
      </c>
      <c r="B98">
        <v>32</v>
      </c>
      <c r="C98">
        <v>45366</v>
      </c>
      <c r="D98">
        <v>3032</v>
      </c>
      <c r="E98">
        <v>6.68</v>
      </c>
      <c r="F98">
        <v>6.95</v>
      </c>
      <c r="G98">
        <f t="shared" si="2"/>
        <v>-2.7000000000000045E-3</v>
      </c>
      <c r="H98">
        <f t="shared" si="3"/>
        <v>0</v>
      </c>
    </row>
    <row r="99" spans="1:8">
      <c r="A99">
        <v>2011</v>
      </c>
      <c r="B99">
        <v>33</v>
      </c>
      <c r="C99">
        <v>45079</v>
      </c>
      <c r="D99">
        <v>2982</v>
      </c>
      <c r="E99">
        <v>6.62</v>
      </c>
      <c r="F99">
        <v>6.95</v>
      </c>
      <c r="G99">
        <f t="shared" si="2"/>
        <v>-3.3000000000000008E-3</v>
      </c>
      <c r="H99">
        <f t="shared" si="3"/>
        <v>0</v>
      </c>
    </row>
    <row r="100" spans="1:8">
      <c r="A100">
        <v>2011</v>
      </c>
      <c r="B100">
        <v>34</v>
      </c>
      <c r="C100">
        <v>45006</v>
      </c>
      <c r="D100">
        <v>3075</v>
      </c>
      <c r="E100">
        <v>6.83</v>
      </c>
      <c r="F100">
        <v>6.96</v>
      </c>
      <c r="G100">
        <f t="shared" si="2"/>
        <v>-1.2999999999999989E-3</v>
      </c>
      <c r="H100">
        <f t="shared" si="3"/>
        <v>0</v>
      </c>
    </row>
    <row r="101" spans="1:8">
      <c r="A101">
        <v>2011</v>
      </c>
      <c r="B101">
        <v>35</v>
      </c>
      <c r="C101">
        <v>45606</v>
      </c>
      <c r="D101">
        <v>3079</v>
      </c>
      <c r="E101">
        <v>6.75</v>
      </c>
      <c r="F101">
        <v>6.98</v>
      </c>
      <c r="G101">
        <f t="shared" si="2"/>
        <v>-2.3000000000000043E-3</v>
      </c>
      <c r="H101">
        <f t="shared" si="3"/>
        <v>0</v>
      </c>
    </row>
    <row r="102" spans="1:8">
      <c r="A102">
        <v>2011</v>
      </c>
      <c r="B102">
        <v>36</v>
      </c>
      <c r="C102">
        <v>45206</v>
      </c>
      <c r="D102">
        <v>3005</v>
      </c>
      <c r="E102">
        <v>6.65</v>
      </c>
      <c r="F102">
        <v>7.02</v>
      </c>
      <c r="G102">
        <f t="shared" si="2"/>
        <v>-3.6999999999999924E-3</v>
      </c>
      <c r="H102">
        <f t="shared" si="3"/>
        <v>0</v>
      </c>
    </row>
    <row r="103" spans="1:8">
      <c r="A103">
        <v>2011</v>
      </c>
      <c r="B103">
        <v>37</v>
      </c>
      <c r="C103">
        <v>45145</v>
      </c>
      <c r="D103">
        <v>3044</v>
      </c>
      <c r="E103">
        <v>6.74</v>
      </c>
      <c r="F103">
        <v>7.07</v>
      </c>
      <c r="G103">
        <f t="shared" si="2"/>
        <v>-3.3000000000000008E-3</v>
      </c>
      <c r="H103">
        <f t="shared" si="3"/>
        <v>0</v>
      </c>
    </row>
    <row r="104" spans="1:8">
      <c r="A104">
        <v>2011</v>
      </c>
      <c r="B104">
        <v>38</v>
      </c>
      <c r="C104">
        <v>46117</v>
      </c>
      <c r="D104">
        <v>3212</v>
      </c>
      <c r="E104">
        <v>6.96</v>
      </c>
      <c r="F104">
        <v>7.13</v>
      </c>
      <c r="G104">
        <f t="shared" si="2"/>
        <v>-1.6999999999999993E-3</v>
      </c>
      <c r="H104">
        <f t="shared" si="3"/>
        <v>0</v>
      </c>
    </row>
    <row r="105" spans="1:8">
      <c r="A105">
        <v>2011</v>
      </c>
      <c r="B105">
        <v>39</v>
      </c>
      <c r="C105">
        <v>45441</v>
      </c>
      <c r="D105">
        <v>3168</v>
      </c>
      <c r="E105">
        <v>6.97</v>
      </c>
      <c r="F105">
        <v>7.19</v>
      </c>
      <c r="G105">
        <f t="shared" si="2"/>
        <v>-2.2000000000000062E-3</v>
      </c>
      <c r="H105">
        <f t="shared" si="3"/>
        <v>0</v>
      </c>
    </row>
    <row r="106" spans="1:8">
      <c r="A106">
        <v>2011</v>
      </c>
      <c r="B106">
        <v>40</v>
      </c>
      <c r="C106">
        <v>46853</v>
      </c>
      <c r="D106">
        <v>3263</v>
      </c>
      <c r="E106">
        <v>6.96</v>
      </c>
      <c r="F106">
        <v>7.27</v>
      </c>
      <c r="G106">
        <f t="shared" si="2"/>
        <v>-3.099999999999996E-3</v>
      </c>
      <c r="H106">
        <f t="shared" si="3"/>
        <v>0</v>
      </c>
    </row>
    <row r="107" spans="1:8">
      <c r="A107">
        <v>2011</v>
      </c>
      <c r="B107">
        <v>41</v>
      </c>
      <c r="C107">
        <v>46877</v>
      </c>
      <c r="D107">
        <v>3411</v>
      </c>
      <c r="E107">
        <v>7.28</v>
      </c>
      <c r="F107">
        <v>7.36</v>
      </c>
      <c r="G107">
        <f t="shared" si="2"/>
        <v>-8.0000000000000069E-4</v>
      </c>
      <c r="H107">
        <f t="shared" si="3"/>
        <v>0</v>
      </c>
    </row>
    <row r="108" spans="1:8">
      <c r="A108">
        <v>2011</v>
      </c>
      <c r="B108">
        <v>42</v>
      </c>
      <c r="C108">
        <v>47007</v>
      </c>
      <c r="D108">
        <v>3330</v>
      </c>
      <c r="E108">
        <v>7.08</v>
      </c>
      <c r="F108">
        <v>7.45</v>
      </c>
      <c r="G108">
        <f t="shared" si="2"/>
        <v>-3.700000000000001E-3</v>
      </c>
      <c r="H108">
        <f t="shared" si="3"/>
        <v>0</v>
      </c>
    </row>
    <row r="109" spans="1:8">
      <c r="A109">
        <v>2011</v>
      </c>
      <c r="B109">
        <v>43</v>
      </c>
      <c r="C109">
        <v>47161</v>
      </c>
      <c r="D109">
        <v>3388</v>
      </c>
      <c r="E109">
        <v>7.18</v>
      </c>
      <c r="F109">
        <v>7.55</v>
      </c>
      <c r="G109">
        <f t="shared" si="2"/>
        <v>-3.700000000000001E-3</v>
      </c>
      <c r="H109">
        <f t="shared" si="3"/>
        <v>0</v>
      </c>
    </row>
    <row r="110" spans="1:8">
      <c r="A110">
        <v>2011</v>
      </c>
      <c r="B110">
        <v>44</v>
      </c>
      <c r="C110">
        <v>48244</v>
      </c>
      <c r="D110">
        <v>3505</v>
      </c>
      <c r="E110">
        <v>7.27</v>
      </c>
      <c r="F110">
        <v>7.65</v>
      </c>
      <c r="G110">
        <f t="shared" si="2"/>
        <v>-3.8000000000000078E-3</v>
      </c>
      <c r="H110">
        <f t="shared" si="3"/>
        <v>0</v>
      </c>
    </row>
    <row r="111" spans="1:8">
      <c r="A111">
        <v>2011</v>
      </c>
      <c r="B111">
        <v>45</v>
      </c>
      <c r="C111">
        <v>48759</v>
      </c>
      <c r="D111">
        <v>3677</v>
      </c>
      <c r="E111">
        <v>7.54</v>
      </c>
      <c r="F111">
        <v>7.76</v>
      </c>
      <c r="G111">
        <f t="shared" si="2"/>
        <v>-2.1999999999999975E-3</v>
      </c>
      <c r="H111">
        <f t="shared" si="3"/>
        <v>0</v>
      </c>
    </row>
    <row r="112" spans="1:8">
      <c r="A112">
        <v>2011</v>
      </c>
      <c r="B112">
        <v>46</v>
      </c>
      <c r="C112">
        <v>48205</v>
      </c>
      <c r="D112">
        <v>3647</v>
      </c>
      <c r="E112">
        <v>7.57</v>
      </c>
      <c r="F112">
        <v>7.87</v>
      </c>
      <c r="G112">
        <f t="shared" si="2"/>
        <v>-2.9999999999999983E-3</v>
      </c>
      <c r="H112">
        <f t="shared" si="3"/>
        <v>0</v>
      </c>
    </row>
    <row r="113" spans="1:8">
      <c r="A113">
        <v>2011</v>
      </c>
      <c r="B113">
        <v>47</v>
      </c>
      <c r="C113">
        <v>47400</v>
      </c>
      <c r="D113">
        <v>3570</v>
      </c>
      <c r="E113">
        <v>7.53</v>
      </c>
      <c r="F113">
        <v>7.97</v>
      </c>
      <c r="G113">
        <f t="shared" si="2"/>
        <v>-4.3999999999999951E-3</v>
      </c>
      <c r="H113">
        <f t="shared" si="3"/>
        <v>0</v>
      </c>
    </row>
    <row r="114" spans="1:8">
      <c r="A114">
        <v>2011</v>
      </c>
      <c r="B114">
        <v>48</v>
      </c>
      <c r="C114">
        <v>47740</v>
      </c>
      <c r="D114">
        <v>3663</v>
      </c>
      <c r="E114">
        <v>7.67</v>
      </c>
      <c r="F114">
        <v>8.07</v>
      </c>
      <c r="G114">
        <f t="shared" si="2"/>
        <v>-4.0000000000000036E-3</v>
      </c>
      <c r="H114">
        <f t="shared" si="3"/>
        <v>0</v>
      </c>
    </row>
    <row r="115" spans="1:8">
      <c r="A115">
        <v>2011</v>
      </c>
      <c r="B115">
        <v>49</v>
      </c>
      <c r="C115">
        <v>48960</v>
      </c>
      <c r="D115">
        <v>3762</v>
      </c>
      <c r="E115">
        <v>7.68</v>
      </c>
      <c r="F115">
        <v>8.17</v>
      </c>
      <c r="G115">
        <f t="shared" si="2"/>
        <v>-4.9000000000000024E-3</v>
      </c>
      <c r="H115">
        <f t="shared" si="3"/>
        <v>0</v>
      </c>
    </row>
    <row r="116" spans="1:8">
      <c r="A116">
        <v>2011</v>
      </c>
      <c r="B116">
        <v>50</v>
      </c>
      <c r="C116">
        <v>49217</v>
      </c>
      <c r="D116">
        <v>3862</v>
      </c>
      <c r="E116">
        <v>7.85</v>
      </c>
      <c r="F116">
        <v>8.27</v>
      </c>
      <c r="G116">
        <f t="shared" si="2"/>
        <v>-4.1999999999999989E-3</v>
      </c>
      <c r="H116">
        <f t="shared" si="3"/>
        <v>0</v>
      </c>
    </row>
    <row r="117" spans="1:8">
      <c r="A117">
        <v>2011</v>
      </c>
      <c r="B117">
        <v>51</v>
      </c>
      <c r="C117">
        <v>49499</v>
      </c>
      <c r="D117">
        <v>3845</v>
      </c>
      <c r="E117">
        <v>7.77</v>
      </c>
      <c r="F117">
        <v>8.35</v>
      </c>
      <c r="G117">
        <f t="shared" si="2"/>
        <v>-5.8000000000000005E-3</v>
      </c>
      <c r="H117">
        <f t="shared" si="3"/>
        <v>0</v>
      </c>
    </row>
    <row r="118" spans="1:8">
      <c r="A118">
        <v>2011</v>
      </c>
      <c r="B118">
        <v>52</v>
      </c>
      <c r="C118">
        <v>50089</v>
      </c>
      <c r="D118">
        <v>3996</v>
      </c>
      <c r="E118">
        <v>7.98</v>
      </c>
      <c r="F118">
        <v>8.43</v>
      </c>
      <c r="G118">
        <f t="shared" si="2"/>
        <v>-4.4999999999999927E-3</v>
      </c>
      <c r="H118">
        <f t="shared" si="3"/>
        <v>0</v>
      </c>
    </row>
    <row r="119" spans="1:8">
      <c r="A119">
        <v>2012</v>
      </c>
      <c r="B119">
        <v>1</v>
      </c>
      <c r="C119">
        <v>51630</v>
      </c>
      <c r="D119">
        <v>4370</v>
      </c>
      <c r="E119">
        <v>8.4600000000000009</v>
      </c>
      <c r="F119">
        <v>8.5</v>
      </c>
      <c r="G119">
        <f t="shared" si="2"/>
        <v>-3.9999999999999145E-4</v>
      </c>
      <c r="H119">
        <f t="shared" si="3"/>
        <v>0</v>
      </c>
    </row>
    <row r="120" spans="1:8">
      <c r="A120">
        <v>2012</v>
      </c>
      <c r="B120">
        <v>2</v>
      </c>
      <c r="C120">
        <v>51171</v>
      </c>
      <c r="D120">
        <v>4269</v>
      </c>
      <c r="E120">
        <v>8.34</v>
      </c>
      <c r="F120">
        <v>8.56</v>
      </c>
      <c r="G120">
        <f t="shared" si="2"/>
        <v>-2.2000000000000062E-3</v>
      </c>
      <c r="H120">
        <f t="shared" si="3"/>
        <v>0</v>
      </c>
    </row>
    <row r="121" spans="1:8">
      <c r="A121">
        <v>2012</v>
      </c>
      <c r="B121">
        <v>3</v>
      </c>
      <c r="C121">
        <v>51088</v>
      </c>
      <c r="D121">
        <v>4283</v>
      </c>
      <c r="E121">
        <v>8.3800000000000008</v>
      </c>
      <c r="F121">
        <v>8.61</v>
      </c>
      <c r="G121">
        <f t="shared" si="2"/>
        <v>-2.2999999999999865E-3</v>
      </c>
      <c r="H121">
        <f t="shared" si="3"/>
        <v>0</v>
      </c>
    </row>
    <row r="122" spans="1:8">
      <c r="A122">
        <v>2012</v>
      </c>
      <c r="B122">
        <v>4</v>
      </c>
      <c r="C122">
        <v>50238</v>
      </c>
      <c r="D122">
        <v>4243</v>
      </c>
      <c r="E122">
        <v>8.4499999999999993</v>
      </c>
      <c r="F122">
        <v>8.65</v>
      </c>
      <c r="G122">
        <f t="shared" si="2"/>
        <v>-2.0000000000000104E-3</v>
      </c>
      <c r="H122">
        <f t="shared" si="3"/>
        <v>0</v>
      </c>
    </row>
    <row r="123" spans="1:8">
      <c r="A123">
        <v>2012</v>
      </c>
      <c r="B123">
        <v>5</v>
      </c>
      <c r="C123">
        <v>49642</v>
      </c>
      <c r="D123">
        <v>4038</v>
      </c>
      <c r="E123">
        <v>8.1300000000000008</v>
      </c>
      <c r="F123">
        <v>8.67</v>
      </c>
      <c r="G123">
        <f t="shared" si="2"/>
        <v>-5.3999999999999916E-3</v>
      </c>
      <c r="H123">
        <f t="shared" si="3"/>
        <v>0</v>
      </c>
    </row>
    <row r="124" spans="1:8">
      <c r="A124">
        <v>2012</v>
      </c>
      <c r="B124">
        <v>6</v>
      </c>
      <c r="C124">
        <v>49912</v>
      </c>
      <c r="D124">
        <v>4046</v>
      </c>
      <c r="E124">
        <v>8.11</v>
      </c>
      <c r="F124">
        <v>8.68</v>
      </c>
      <c r="G124">
        <f t="shared" si="2"/>
        <v>-5.7000000000000028E-3</v>
      </c>
      <c r="H124">
        <f t="shared" si="3"/>
        <v>0</v>
      </c>
    </row>
    <row r="125" spans="1:8">
      <c r="A125">
        <v>2012</v>
      </c>
      <c r="B125">
        <v>7</v>
      </c>
      <c r="C125">
        <v>50720</v>
      </c>
      <c r="D125">
        <v>4148</v>
      </c>
      <c r="E125">
        <v>8.18</v>
      </c>
      <c r="F125">
        <v>8.68</v>
      </c>
      <c r="G125">
        <f t="shared" si="2"/>
        <v>-5.0000000000000001E-3</v>
      </c>
      <c r="H125">
        <f t="shared" si="3"/>
        <v>0</v>
      </c>
    </row>
    <row r="126" spans="1:8">
      <c r="A126">
        <v>2012</v>
      </c>
      <c r="B126">
        <v>8</v>
      </c>
      <c r="C126">
        <v>50950</v>
      </c>
      <c r="D126">
        <v>4224</v>
      </c>
      <c r="E126">
        <v>8.2899999999999991</v>
      </c>
      <c r="F126">
        <v>8.66</v>
      </c>
      <c r="G126">
        <f t="shared" si="2"/>
        <v>-3.7000000000000101E-3</v>
      </c>
      <c r="H126">
        <f t="shared" si="3"/>
        <v>0</v>
      </c>
    </row>
    <row r="127" spans="1:8">
      <c r="A127">
        <v>2012</v>
      </c>
      <c r="B127">
        <v>9</v>
      </c>
      <c r="C127">
        <v>50942</v>
      </c>
      <c r="D127">
        <v>4281</v>
      </c>
      <c r="E127">
        <v>8.4</v>
      </c>
      <c r="F127">
        <v>8.64</v>
      </c>
      <c r="G127">
        <f t="shared" si="2"/>
        <v>-2.400000000000002E-3</v>
      </c>
      <c r="H127">
        <f t="shared" si="3"/>
        <v>0</v>
      </c>
    </row>
    <row r="128" spans="1:8">
      <c r="A128">
        <v>2012</v>
      </c>
      <c r="B128">
        <v>10</v>
      </c>
      <c r="C128">
        <v>50828</v>
      </c>
      <c r="D128">
        <v>4410</v>
      </c>
      <c r="E128">
        <v>8.68</v>
      </c>
      <c r="F128">
        <v>8.59</v>
      </c>
      <c r="G128">
        <f t="shared" si="2"/>
        <v>8.9999999999999857E-4</v>
      </c>
      <c r="H128">
        <f t="shared" si="3"/>
        <v>3</v>
      </c>
    </row>
    <row r="129" spans="1:8">
      <c r="A129">
        <v>2012</v>
      </c>
      <c r="B129">
        <v>11</v>
      </c>
      <c r="C129">
        <v>50844</v>
      </c>
      <c r="D129">
        <v>4362</v>
      </c>
      <c r="E129">
        <v>8.58</v>
      </c>
      <c r="F129">
        <v>8.5399999999999991</v>
      </c>
      <c r="G129">
        <f t="shared" si="2"/>
        <v>4.0000000000000923E-4</v>
      </c>
      <c r="H129">
        <f t="shared" si="3"/>
        <v>1</v>
      </c>
    </row>
    <row r="130" spans="1:8">
      <c r="A130">
        <v>2012</v>
      </c>
      <c r="B130">
        <v>12</v>
      </c>
      <c r="C130">
        <v>49361</v>
      </c>
      <c r="D130">
        <v>4122</v>
      </c>
      <c r="E130">
        <v>8.35</v>
      </c>
      <c r="F130">
        <v>8.48</v>
      </c>
      <c r="G130">
        <f t="shared" si="2"/>
        <v>-1.3000000000000077E-3</v>
      </c>
      <c r="H130">
        <f t="shared" si="3"/>
        <v>0</v>
      </c>
    </row>
    <row r="131" spans="1:8">
      <c r="A131">
        <v>2012</v>
      </c>
      <c r="B131">
        <v>13</v>
      </c>
      <c r="C131">
        <v>48363</v>
      </c>
      <c r="D131">
        <v>3857</v>
      </c>
      <c r="E131">
        <v>7.98</v>
      </c>
      <c r="F131">
        <v>8.4</v>
      </c>
      <c r="G131">
        <f t="shared" ref="G131:G194" si="4">(E131-F131)/100</f>
        <v>-4.1999999999999989E-3</v>
      </c>
      <c r="H131">
        <f t="shared" ref="H131:H194" si="5">INT(MAX(0,G131*D131))</f>
        <v>0</v>
      </c>
    </row>
    <row r="132" spans="1:8">
      <c r="A132">
        <v>2012</v>
      </c>
      <c r="B132">
        <v>14</v>
      </c>
      <c r="C132">
        <v>48443</v>
      </c>
      <c r="D132">
        <v>3878</v>
      </c>
      <c r="E132">
        <v>8.01</v>
      </c>
      <c r="F132">
        <v>8.32</v>
      </c>
      <c r="G132">
        <f t="shared" si="4"/>
        <v>-3.1000000000000051E-3</v>
      </c>
      <c r="H132">
        <f t="shared" si="5"/>
        <v>0</v>
      </c>
    </row>
    <row r="133" spans="1:8">
      <c r="A133">
        <v>2012</v>
      </c>
      <c r="B133">
        <v>15</v>
      </c>
      <c r="C133">
        <v>49119</v>
      </c>
      <c r="D133">
        <v>3784</v>
      </c>
      <c r="E133">
        <v>7.7</v>
      </c>
      <c r="F133">
        <v>8.23</v>
      </c>
      <c r="G133">
        <f t="shared" si="4"/>
        <v>-5.3000000000000026E-3</v>
      </c>
      <c r="H133">
        <f t="shared" si="5"/>
        <v>0</v>
      </c>
    </row>
    <row r="134" spans="1:8">
      <c r="A134">
        <v>2012</v>
      </c>
      <c r="B134">
        <v>16</v>
      </c>
      <c r="C134">
        <v>48946</v>
      </c>
      <c r="D134">
        <v>3734</v>
      </c>
      <c r="E134">
        <v>7.63</v>
      </c>
      <c r="F134">
        <v>8.1300000000000008</v>
      </c>
      <c r="G134">
        <f t="shared" si="4"/>
        <v>-5.0000000000000088E-3</v>
      </c>
      <c r="H134">
        <f t="shared" si="5"/>
        <v>0</v>
      </c>
    </row>
    <row r="135" spans="1:8">
      <c r="A135">
        <v>2012</v>
      </c>
      <c r="B135">
        <v>17</v>
      </c>
      <c r="C135">
        <v>48173</v>
      </c>
      <c r="D135">
        <v>3615</v>
      </c>
      <c r="E135">
        <v>7.5</v>
      </c>
      <c r="F135">
        <v>8.0299999999999994</v>
      </c>
      <c r="G135">
        <f t="shared" si="4"/>
        <v>-5.299999999999994E-3</v>
      </c>
      <c r="H135">
        <f t="shared" si="5"/>
        <v>0</v>
      </c>
    </row>
    <row r="136" spans="1:8">
      <c r="A136">
        <v>2012</v>
      </c>
      <c r="B136">
        <v>18</v>
      </c>
      <c r="C136">
        <v>47834</v>
      </c>
      <c r="D136">
        <v>3560</v>
      </c>
      <c r="E136">
        <v>7.44</v>
      </c>
      <c r="F136">
        <v>7.92</v>
      </c>
      <c r="G136">
        <f t="shared" si="4"/>
        <v>-4.7999999999999952E-3</v>
      </c>
      <c r="H136">
        <f t="shared" si="5"/>
        <v>0</v>
      </c>
    </row>
    <row r="137" spans="1:8">
      <c r="A137">
        <v>2012</v>
      </c>
      <c r="B137">
        <v>19</v>
      </c>
      <c r="C137">
        <v>46782</v>
      </c>
      <c r="D137">
        <v>3348</v>
      </c>
      <c r="E137">
        <v>7.16</v>
      </c>
      <c r="F137">
        <v>7.81</v>
      </c>
      <c r="G137">
        <f t="shared" si="4"/>
        <v>-6.4999999999999945E-3</v>
      </c>
      <c r="H137">
        <f t="shared" si="5"/>
        <v>0</v>
      </c>
    </row>
    <row r="138" spans="1:8">
      <c r="A138">
        <v>2012</v>
      </c>
      <c r="B138">
        <v>20</v>
      </c>
      <c r="C138">
        <v>47054</v>
      </c>
      <c r="D138">
        <v>3351</v>
      </c>
      <c r="E138">
        <v>7.12</v>
      </c>
      <c r="F138">
        <v>7.7</v>
      </c>
      <c r="G138">
        <f t="shared" si="4"/>
        <v>-5.8000000000000005E-3</v>
      </c>
      <c r="H138">
        <f t="shared" si="5"/>
        <v>0</v>
      </c>
    </row>
    <row r="139" spans="1:8">
      <c r="A139">
        <v>2012</v>
      </c>
      <c r="B139">
        <v>21</v>
      </c>
      <c r="C139">
        <v>46809</v>
      </c>
      <c r="D139">
        <v>3309</v>
      </c>
      <c r="E139">
        <v>7.07</v>
      </c>
      <c r="F139">
        <v>7.59</v>
      </c>
      <c r="G139">
        <f t="shared" si="4"/>
        <v>-5.1999999999999954E-3</v>
      </c>
      <c r="H139">
        <f t="shared" si="5"/>
        <v>0</v>
      </c>
    </row>
    <row r="140" spans="1:8">
      <c r="A140">
        <v>2012</v>
      </c>
      <c r="B140">
        <v>22</v>
      </c>
      <c r="C140">
        <v>46099</v>
      </c>
      <c r="D140">
        <v>3152</v>
      </c>
      <c r="E140">
        <v>6.84</v>
      </c>
      <c r="F140">
        <v>7.48</v>
      </c>
      <c r="G140">
        <f t="shared" si="4"/>
        <v>-6.4000000000000055E-3</v>
      </c>
      <c r="H140">
        <f t="shared" si="5"/>
        <v>0</v>
      </c>
    </row>
    <row r="141" spans="1:8">
      <c r="A141">
        <v>2012</v>
      </c>
      <c r="B141">
        <v>23</v>
      </c>
      <c r="C141">
        <v>46419</v>
      </c>
      <c r="D141">
        <v>3084</v>
      </c>
      <c r="E141">
        <v>6.64</v>
      </c>
      <c r="F141">
        <v>7.37</v>
      </c>
      <c r="G141">
        <f t="shared" si="4"/>
        <v>-7.3000000000000044E-3</v>
      </c>
      <c r="H141">
        <f t="shared" si="5"/>
        <v>0</v>
      </c>
    </row>
    <row r="142" spans="1:8">
      <c r="A142">
        <v>2012</v>
      </c>
      <c r="B142">
        <v>24</v>
      </c>
      <c r="C142">
        <v>46865</v>
      </c>
      <c r="D142">
        <v>3162</v>
      </c>
      <c r="E142">
        <v>6.75</v>
      </c>
      <c r="F142">
        <v>7.27</v>
      </c>
      <c r="G142">
        <f t="shared" si="4"/>
        <v>-5.1999999999999954E-3</v>
      </c>
      <c r="H142">
        <f t="shared" si="5"/>
        <v>0</v>
      </c>
    </row>
    <row r="143" spans="1:8">
      <c r="A143">
        <v>2012</v>
      </c>
      <c r="B143">
        <v>25</v>
      </c>
      <c r="C143">
        <v>46199</v>
      </c>
      <c r="D143">
        <v>3154</v>
      </c>
      <c r="E143">
        <v>6.83</v>
      </c>
      <c r="F143">
        <v>7.18</v>
      </c>
      <c r="G143">
        <f t="shared" si="4"/>
        <v>-3.4999999999999966E-3</v>
      </c>
      <c r="H143">
        <f t="shared" si="5"/>
        <v>0</v>
      </c>
    </row>
    <row r="144" spans="1:8">
      <c r="A144">
        <v>2012</v>
      </c>
      <c r="B144">
        <v>26</v>
      </c>
      <c r="C144">
        <v>46152</v>
      </c>
      <c r="D144">
        <v>3165</v>
      </c>
      <c r="E144">
        <v>6.86</v>
      </c>
      <c r="F144">
        <v>7.1</v>
      </c>
      <c r="G144">
        <f t="shared" si="4"/>
        <v>-2.3999999999999933E-3</v>
      </c>
      <c r="H144">
        <f t="shared" si="5"/>
        <v>0</v>
      </c>
    </row>
    <row r="145" spans="1:8">
      <c r="A145">
        <v>2012</v>
      </c>
      <c r="B145">
        <v>27</v>
      </c>
      <c r="C145">
        <v>46783</v>
      </c>
      <c r="D145">
        <v>3014</v>
      </c>
      <c r="E145">
        <v>6.44</v>
      </c>
      <c r="F145">
        <v>7.02</v>
      </c>
      <c r="G145">
        <f t="shared" si="4"/>
        <v>-5.7999999999999918E-3</v>
      </c>
      <c r="H145">
        <f t="shared" si="5"/>
        <v>0</v>
      </c>
    </row>
    <row r="146" spans="1:8">
      <c r="A146">
        <v>2012</v>
      </c>
      <c r="B146">
        <v>28</v>
      </c>
      <c r="C146">
        <v>46012</v>
      </c>
      <c r="D146">
        <v>3044</v>
      </c>
      <c r="E146">
        <v>6.62</v>
      </c>
      <c r="F146">
        <v>6.95</v>
      </c>
      <c r="G146">
        <f t="shared" si="4"/>
        <v>-3.3000000000000008E-3</v>
      </c>
      <c r="H146">
        <f t="shared" si="5"/>
        <v>0</v>
      </c>
    </row>
    <row r="147" spans="1:8">
      <c r="A147">
        <v>2012</v>
      </c>
      <c r="B147">
        <v>29</v>
      </c>
      <c r="C147">
        <v>46016</v>
      </c>
      <c r="D147">
        <v>3020</v>
      </c>
      <c r="E147">
        <v>6.56</v>
      </c>
      <c r="F147">
        <v>6.9</v>
      </c>
      <c r="G147">
        <f t="shared" si="4"/>
        <v>-3.4000000000000076E-3</v>
      </c>
      <c r="H147">
        <f t="shared" si="5"/>
        <v>0</v>
      </c>
    </row>
    <row r="148" spans="1:8">
      <c r="A148">
        <v>2012</v>
      </c>
      <c r="B148">
        <v>30</v>
      </c>
      <c r="C148">
        <v>45729</v>
      </c>
      <c r="D148">
        <v>2891</v>
      </c>
      <c r="E148">
        <v>6.32</v>
      </c>
      <c r="F148">
        <v>6.85</v>
      </c>
      <c r="G148">
        <f t="shared" si="4"/>
        <v>-5.299999999999994E-3</v>
      </c>
      <c r="H148">
        <f t="shared" si="5"/>
        <v>0</v>
      </c>
    </row>
    <row r="149" spans="1:8">
      <c r="A149">
        <v>2012</v>
      </c>
      <c r="B149">
        <v>31</v>
      </c>
      <c r="C149">
        <v>45987</v>
      </c>
      <c r="D149">
        <v>3043</v>
      </c>
      <c r="E149">
        <v>6.62</v>
      </c>
      <c r="F149">
        <v>6.82</v>
      </c>
      <c r="G149">
        <f t="shared" si="4"/>
        <v>-2.0000000000000018E-3</v>
      </c>
      <c r="H149">
        <f t="shared" si="5"/>
        <v>0</v>
      </c>
    </row>
    <row r="150" spans="1:8">
      <c r="A150">
        <v>2012</v>
      </c>
      <c r="B150">
        <v>32</v>
      </c>
      <c r="C150">
        <v>46402</v>
      </c>
      <c r="D150">
        <v>3049</v>
      </c>
      <c r="E150">
        <v>6.57</v>
      </c>
      <c r="F150">
        <v>6.8</v>
      </c>
      <c r="G150">
        <f t="shared" si="4"/>
        <v>-2.2999999999999952E-3</v>
      </c>
      <c r="H150">
        <f t="shared" si="5"/>
        <v>0</v>
      </c>
    </row>
    <row r="151" spans="1:8">
      <c r="A151">
        <v>2012</v>
      </c>
      <c r="B151">
        <v>33</v>
      </c>
      <c r="C151">
        <v>45967</v>
      </c>
      <c r="D151">
        <v>3027</v>
      </c>
      <c r="E151">
        <v>6.59</v>
      </c>
      <c r="F151">
        <v>6.79</v>
      </c>
      <c r="G151">
        <f t="shared" si="4"/>
        <v>-2.0000000000000018E-3</v>
      </c>
      <c r="H151">
        <f t="shared" si="5"/>
        <v>0</v>
      </c>
    </row>
    <row r="152" spans="1:8">
      <c r="A152">
        <v>2012</v>
      </c>
      <c r="B152">
        <v>34</v>
      </c>
      <c r="C152">
        <v>46257</v>
      </c>
      <c r="D152">
        <v>2972</v>
      </c>
      <c r="E152">
        <v>6.42</v>
      </c>
      <c r="F152">
        <v>6.8</v>
      </c>
      <c r="G152">
        <f t="shared" si="4"/>
        <v>-3.7999999999999991E-3</v>
      </c>
      <c r="H152">
        <f t="shared" si="5"/>
        <v>0</v>
      </c>
    </row>
    <row r="153" spans="1:8">
      <c r="A153">
        <v>2012</v>
      </c>
      <c r="B153">
        <v>35</v>
      </c>
      <c r="C153">
        <v>46391</v>
      </c>
      <c r="D153">
        <v>3026</v>
      </c>
      <c r="E153">
        <v>6.52</v>
      </c>
      <c r="F153">
        <v>6.82</v>
      </c>
      <c r="G153">
        <f t="shared" si="4"/>
        <v>-3.000000000000007E-3</v>
      </c>
      <c r="H153">
        <f t="shared" si="5"/>
        <v>0</v>
      </c>
    </row>
    <row r="154" spans="1:8">
      <c r="A154">
        <v>2012</v>
      </c>
      <c r="B154">
        <v>36</v>
      </c>
      <c r="C154">
        <v>46744</v>
      </c>
      <c r="D154">
        <v>3114</v>
      </c>
      <c r="E154">
        <v>6.66</v>
      </c>
      <c r="F154">
        <v>6.85</v>
      </c>
      <c r="G154">
        <f t="shared" si="4"/>
        <v>-1.899999999999995E-3</v>
      </c>
      <c r="H154">
        <f t="shared" si="5"/>
        <v>0</v>
      </c>
    </row>
    <row r="155" spans="1:8">
      <c r="A155">
        <v>2012</v>
      </c>
      <c r="B155">
        <v>37</v>
      </c>
      <c r="C155">
        <v>46396</v>
      </c>
      <c r="D155">
        <v>3167</v>
      </c>
      <c r="E155">
        <v>6.83</v>
      </c>
      <c r="F155">
        <v>6.89</v>
      </c>
      <c r="G155">
        <f t="shared" si="4"/>
        <v>-5.9999999999999604E-4</v>
      </c>
      <c r="H155">
        <f t="shared" si="5"/>
        <v>0</v>
      </c>
    </row>
    <row r="156" spans="1:8">
      <c r="A156">
        <v>2012</v>
      </c>
      <c r="B156">
        <v>38</v>
      </c>
      <c r="C156">
        <v>46489</v>
      </c>
      <c r="D156">
        <v>3123</v>
      </c>
      <c r="E156">
        <v>6.72</v>
      </c>
      <c r="F156">
        <v>6.95</v>
      </c>
      <c r="G156">
        <f t="shared" si="4"/>
        <v>-2.3000000000000043E-3</v>
      </c>
      <c r="H156">
        <f t="shared" si="5"/>
        <v>0</v>
      </c>
    </row>
    <row r="157" spans="1:8">
      <c r="A157">
        <v>2012</v>
      </c>
      <c r="B157">
        <v>39</v>
      </c>
      <c r="C157">
        <v>47523</v>
      </c>
      <c r="D157">
        <v>3224</v>
      </c>
      <c r="E157">
        <v>6.78</v>
      </c>
      <c r="F157">
        <v>7.01</v>
      </c>
      <c r="G157">
        <f t="shared" si="4"/>
        <v>-2.2999999999999952E-3</v>
      </c>
      <c r="H157">
        <f t="shared" si="5"/>
        <v>0</v>
      </c>
    </row>
    <row r="158" spans="1:8">
      <c r="A158">
        <v>2012</v>
      </c>
      <c r="B158">
        <v>40</v>
      </c>
      <c r="C158">
        <v>47995</v>
      </c>
      <c r="D158">
        <v>3223</v>
      </c>
      <c r="E158">
        <v>6.72</v>
      </c>
      <c r="F158">
        <v>7.09</v>
      </c>
      <c r="G158">
        <f t="shared" si="4"/>
        <v>-3.700000000000001E-3</v>
      </c>
      <c r="H158">
        <f t="shared" si="5"/>
        <v>0</v>
      </c>
    </row>
    <row r="159" spans="1:8">
      <c r="A159">
        <v>2012</v>
      </c>
      <c r="B159">
        <v>41</v>
      </c>
      <c r="C159">
        <v>48131</v>
      </c>
      <c r="D159">
        <v>3330</v>
      </c>
      <c r="E159">
        <v>6.92</v>
      </c>
      <c r="F159">
        <v>7.17</v>
      </c>
      <c r="G159">
        <f t="shared" si="4"/>
        <v>-2.5000000000000001E-3</v>
      </c>
      <c r="H159">
        <f t="shared" si="5"/>
        <v>0</v>
      </c>
    </row>
    <row r="160" spans="1:8">
      <c r="A160">
        <v>2012</v>
      </c>
      <c r="B160">
        <v>42</v>
      </c>
      <c r="C160">
        <v>48831</v>
      </c>
      <c r="D160">
        <v>3390</v>
      </c>
      <c r="E160">
        <v>6.94</v>
      </c>
      <c r="F160">
        <v>7.26</v>
      </c>
      <c r="G160">
        <f t="shared" si="4"/>
        <v>-3.1999999999999941E-3</v>
      </c>
      <c r="H160">
        <f t="shared" si="5"/>
        <v>0</v>
      </c>
    </row>
    <row r="161" spans="1:8">
      <c r="A161">
        <v>2012</v>
      </c>
      <c r="B161">
        <v>43</v>
      </c>
      <c r="C161">
        <v>47811</v>
      </c>
      <c r="D161">
        <v>3388</v>
      </c>
      <c r="E161">
        <v>7.09</v>
      </c>
      <c r="F161">
        <v>7.35</v>
      </c>
      <c r="G161">
        <f t="shared" si="4"/>
        <v>-2.5999999999999977E-3</v>
      </c>
      <c r="H161">
        <f t="shared" si="5"/>
        <v>0</v>
      </c>
    </row>
    <row r="162" spans="1:8">
      <c r="A162">
        <v>2012</v>
      </c>
      <c r="B162">
        <v>44</v>
      </c>
      <c r="C162">
        <v>49035</v>
      </c>
      <c r="D162">
        <v>3358</v>
      </c>
      <c r="E162">
        <v>6.85</v>
      </c>
      <c r="F162">
        <v>7.45</v>
      </c>
      <c r="G162">
        <f t="shared" si="4"/>
        <v>-6.0000000000000053E-3</v>
      </c>
      <c r="H162">
        <f t="shared" si="5"/>
        <v>0</v>
      </c>
    </row>
    <row r="163" spans="1:8">
      <c r="A163">
        <v>2012</v>
      </c>
      <c r="B163">
        <v>45</v>
      </c>
      <c r="C163">
        <v>50087</v>
      </c>
      <c r="D163">
        <v>3450</v>
      </c>
      <c r="E163">
        <v>6.89</v>
      </c>
      <c r="F163">
        <v>7.55</v>
      </c>
      <c r="G163">
        <f t="shared" si="4"/>
        <v>-6.6000000000000017E-3</v>
      </c>
      <c r="H163">
        <f t="shared" si="5"/>
        <v>0</v>
      </c>
    </row>
    <row r="164" spans="1:8">
      <c r="A164">
        <v>2012</v>
      </c>
      <c r="B164">
        <v>46</v>
      </c>
      <c r="C164">
        <v>49825</v>
      </c>
      <c r="D164">
        <v>3520</v>
      </c>
      <c r="E164">
        <v>7.06</v>
      </c>
      <c r="F164">
        <v>7.65</v>
      </c>
      <c r="G164">
        <f t="shared" si="4"/>
        <v>-5.9000000000000077E-3</v>
      </c>
      <c r="H164">
        <f t="shared" si="5"/>
        <v>0</v>
      </c>
    </row>
    <row r="165" spans="1:8">
      <c r="A165">
        <v>2012</v>
      </c>
      <c r="B165">
        <v>47</v>
      </c>
      <c r="C165">
        <v>49491</v>
      </c>
      <c r="D165">
        <v>3456</v>
      </c>
      <c r="E165">
        <v>6.98</v>
      </c>
      <c r="F165">
        <v>7.75</v>
      </c>
      <c r="G165">
        <f t="shared" si="4"/>
        <v>-7.6999999999999959E-3</v>
      </c>
      <c r="H165">
        <f t="shared" si="5"/>
        <v>0</v>
      </c>
    </row>
    <row r="166" spans="1:8">
      <c r="A166">
        <v>2012</v>
      </c>
      <c r="B166">
        <v>48</v>
      </c>
      <c r="C166">
        <v>50732</v>
      </c>
      <c r="D166">
        <v>3847</v>
      </c>
      <c r="E166">
        <v>7.58</v>
      </c>
      <c r="F166">
        <v>7.85</v>
      </c>
      <c r="G166">
        <f t="shared" si="4"/>
        <v>-2.6999999999999958E-3</v>
      </c>
      <c r="H166">
        <f t="shared" si="5"/>
        <v>0</v>
      </c>
    </row>
    <row r="167" spans="1:8">
      <c r="A167">
        <v>2012</v>
      </c>
      <c r="B167">
        <v>49</v>
      </c>
      <c r="C167">
        <v>51882</v>
      </c>
      <c r="D167">
        <v>4008</v>
      </c>
      <c r="E167">
        <v>7.73</v>
      </c>
      <c r="F167">
        <v>7.95</v>
      </c>
      <c r="G167">
        <f t="shared" si="4"/>
        <v>-2.1999999999999975E-3</v>
      </c>
      <c r="H167">
        <f t="shared" si="5"/>
        <v>0</v>
      </c>
    </row>
    <row r="168" spans="1:8">
      <c r="A168">
        <v>2012</v>
      </c>
      <c r="B168">
        <v>50</v>
      </c>
      <c r="C168">
        <v>51452</v>
      </c>
      <c r="D168">
        <v>4062</v>
      </c>
      <c r="E168">
        <v>7.89</v>
      </c>
      <c r="F168">
        <v>8.0399999999999991</v>
      </c>
      <c r="G168">
        <f t="shared" si="4"/>
        <v>-1.4999999999999946E-3</v>
      </c>
      <c r="H168">
        <f t="shared" si="5"/>
        <v>0</v>
      </c>
    </row>
    <row r="169" spans="1:8">
      <c r="A169">
        <v>2012</v>
      </c>
      <c r="B169">
        <v>51</v>
      </c>
      <c r="C169">
        <v>52830</v>
      </c>
      <c r="D169">
        <v>4365</v>
      </c>
      <c r="E169">
        <v>8.26</v>
      </c>
      <c r="F169">
        <v>8.1199999999999992</v>
      </c>
      <c r="G169">
        <f t="shared" si="4"/>
        <v>1.4000000000000056E-3</v>
      </c>
      <c r="H169">
        <f t="shared" si="5"/>
        <v>6</v>
      </c>
    </row>
    <row r="170" spans="1:8">
      <c r="A170">
        <v>2012</v>
      </c>
      <c r="B170">
        <v>52</v>
      </c>
      <c r="C170">
        <v>55027</v>
      </c>
      <c r="D170">
        <v>4946</v>
      </c>
      <c r="E170">
        <v>8.99</v>
      </c>
      <c r="F170">
        <v>8.1999999999999993</v>
      </c>
      <c r="G170">
        <f t="shared" si="4"/>
        <v>7.9000000000000094E-3</v>
      </c>
      <c r="H170">
        <f t="shared" si="5"/>
        <v>39</v>
      </c>
    </row>
    <row r="171" spans="1:8">
      <c r="A171">
        <v>2013</v>
      </c>
      <c r="B171">
        <v>1</v>
      </c>
      <c r="C171">
        <v>59284</v>
      </c>
      <c r="D171">
        <v>6030</v>
      </c>
      <c r="E171">
        <v>10.17</v>
      </c>
      <c r="F171">
        <v>8.27</v>
      </c>
      <c r="G171">
        <f t="shared" si="4"/>
        <v>1.9000000000000003E-2</v>
      </c>
      <c r="H171">
        <f t="shared" si="5"/>
        <v>114</v>
      </c>
    </row>
    <row r="172" spans="1:8">
      <c r="A172">
        <v>2013</v>
      </c>
      <c r="B172">
        <v>2</v>
      </c>
      <c r="C172">
        <v>60946</v>
      </c>
      <c r="D172">
        <v>6736</v>
      </c>
      <c r="E172">
        <v>11.05</v>
      </c>
      <c r="F172">
        <v>8.32</v>
      </c>
      <c r="G172">
        <f t="shared" si="4"/>
        <v>2.7300000000000005E-2</v>
      </c>
      <c r="H172">
        <f t="shared" si="5"/>
        <v>183</v>
      </c>
    </row>
    <row r="173" spans="1:8">
      <c r="A173">
        <v>2013</v>
      </c>
      <c r="B173">
        <v>3</v>
      </c>
      <c r="C173">
        <v>59203</v>
      </c>
      <c r="D173">
        <v>6576</v>
      </c>
      <c r="E173">
        <v>11.11</v>
      </c>
      <c r="F173">
        <v>8.3699999999999992</v>
      </c>
      <c r="G173">
        <f t="shared" si="4"/>
        <v>2.7400000000000001E-2</v>
      </c>
      <c r="H173">
        <f t="shared" si="5"/>
        <v>180</v>
      </c>
    </row>
    <row r="174" spans="1:8">
      <c r="A174">
        <v>2013</v>
      </c>
      <c r="B174">
        <v>4</v>
      </c>
      <c r="C174">
        <v>57893</v>
      </c>
      <c r="D174">
        <v>6153</v>
      </c>
      <c r="E174">
        <v>10.63</v>
      </c>
      <c r="F174">
        <v>8.41</v>
      </c>
      <c r="G174">
        <f t="shared" si="4"/>
        <v>2.2200000000000008E-2</v>
      </c>
      <c r="H174">
        <f t="shared" si="5"/>
        <v>136</v>
      </c>
    </row>
    <row r="175" spans="1:8">
      <c r="A175">
        <v>2013</v>
      </c>
      <c r="B175">
        <v>5</v>
      </c>
      <c r="C175">
        <v>56403</v>
      </c>
      <c r="D175">
        <v>5684</v>
      </c>
      <c r="E175">
        <v>10.08</v>
      </c>
      <c r="F175">
        <v>8.43</v>
      </c>
      <c r="G175">
        <f t="shared" si="4"/>
        <v>1.6500000000000004E-2</v>
      </c>
      <c r="H175">
        <f t="shared" si="5"/>
        <v>93</v>
      </c>
    </row>
    <row r="176" spans="1:8">
      <c r="A176">
        <v>2013</v>
      </c>
      <c r="B176">
        <v>6</v>
      </c>
      <c r="C176">
        <v>55747</v>
      </c>
      <c r="D176">
        <v>5296</v>
      </c>
      <c r="E176">
        <v>9.5</v>
      </c>
      <c r="F176">
        <v>8.44</v>
      </c>
      <c r="G176">
        <f t="shared" si="4"/>
        <v>1.0600000000000005E-2</v>
      </c>
      <c r="H176">
        <f t="shared" si="5"/>
        <v>56</v>
      </c>
    </row>
    <row r="177" spans="1:8">
      <c r="A177">
        <v>2013</v>
      </c>
      <c r="B177">
        <v>7</v>
      </c>
      <c r="C177">
        <v>54471</v>
      </c>
      <c r="D177">
        <v>5098</v>
      </c>
      <c r="E177">
        <v>9.36</v>
      </c>
      <c r="F177">
        <v>8.44</v>
      </c>
      <c r="G177">
        <f t="shared" si="4"/>
        <v>9.1999999999999998E-3</v>
      </c>
      <c r="H177">
        <f t="shared" si="5"/>
        <v>46</v>
      </c>
    </row>
    <row r="178" spans="1:8">
      <c r="A178">
        <v>2013</v>
      </c>
      <c r="B178">
        <v>8</v>
      </c>
      <c r="C178">
        <v>53525</v>
      </c>
      <c r="D178">
        <v>4749</v>
      </c>
      <c r="E178">
        <v>8.8699999999999992</v>
      </c>
      <c r="F178">
        <v>8.42</v>
      </c>
      <c r="G178">
        <f t="shared" si="4"/>
        <v>4.4999999999999927E-3</v>
      </c>
      <c r="H178">
        <f t="shared" si="5"/>
        <v>21</v>
      </c>
    </row>
    <row r="179" spans="1:8">
      <c r="A179">
        <v>2013</v>
      </c>
      <c r="B179">
        <v>9</v>
      </c>
      <c r="C179">
        <v>53096</v>
      </c>
      <c r="D179">
        <v>4638</v>
      </c>
      <c r="E179">
        <v>8.74</v>
      </c>
      <c r="F179">
        <v>8.4</v>
      </c>
      <c r="G179">
        <f t="shared" si="4"/>
        <v>3.3999999999999985E-3</v>
      </c>
      <c r="H179">
        <f t="shared" si="5"/>
        <v>15</v>
      </c>
    </row>
    <row r="180" spans="1:8">
      <c r="A180">
        <v>2013</v>
      </c>
      <c r="B180">
        <v>10</v>
      </c>
      <c r="C180">
        <v>53368</v>
      </c>
      <c r="D180">
        <v>4523</v>
      </c>
      <c r="E180">
        <v>8.48</v>
      </c>
      <c r="F180">
        <v>8.36</v>
      </c>
      <c r="G180">
        <f t="shared" si="4"/>
        <v>1.2000000000000099E-3</v>
      </c>
      <c r="H180">
        <f t="shared" si="5"/>
        <v>5</v>
      </c>
    </row>
    <row r="181" spans="1:8">
      <c r="A181">
        <v>2013</v>
      </c>
      <c r="B181">
        <v>11</v>
      </c>
      <c r="C181">
        <v>53077</v>
      </c>
      <c r="D181">
        <v>4514</v>
      </c>
      <c r="E181">
        <v>8.5</v>
      </c>
      <c r="F181">
        <v>8.31</v>
      </c>
      <c r="G181">
        <f t="shared" si="4"/>
        <v>1.899999999999995E-3</v>
      </c>
      <c r="H181">
        <f t="shared" si="5"/>
        <v>8</v>
      </c>
    </row>
    <row r="182" spans="1:8">
      <c r="A182">
        <v>2013</v>
      </c>
      <c r="B182">
        <v>12</v>
      </c>
      <c r="C182">
        <v>52138</v>
      </c>
      <c r="D182">
        <v>4275</v>
      </c>
      <c r="E182">
        <v>8.1999999999999993</v>
      </c>
      <c r="F182">
        <v>8.25</v>
      </c>
      <c r="G182">
        <f t="shared" si="4"/>
        <v>-5.0000000000000706E-4</v>
      </c>
      <c r="H182">
        <f t="shared" si="5"/>
        <v>0</v>
      </c>
    </row>
    <row r="183" spans="1:8">
      <c r="A183">
        <v>2013</v>
      </c>
      <c r="B183">
        <v>13</v>
      </c>
      <c r="C183">
        <v>51845</v>
      </c>
      <c r="D183">
        <v>4236</v>
      </c>
      <c r="E183">
        <v>8.17</v>
      </c>
      <c r="F183">
        <v>8.17</v>
      </c>
      <c r="G183">
        <f t="shared" si="4"/>
        <v>0</v>
      </c>
      <c r="H183">
        <f t="shared" si="5"/>
        <v>0</v>
      </c>
    </row>
    <row r="184" spans="1:8">
      <c r="A184">
        <v>2013</v>
      </c>
      <c r="B184">
        <v>14</v>
      </c>
      <c r="C184">
        <v>51380</v>
      </c>
      <c r="D184">
        <v>4107</v>
      </c>
      <c r="E184">
        <v>7.99</v>
      </c>
      <c r="F184">
        <v>8.09</v>
      </c>
      <c r="G184">
        <f t="shared" si="4"/>
        <v>-9.9999999999999655E-4</v>
      </c>
      <c r="H184">
        <f t="shared" si="5"/>
        <v>0</v>
      </c>
    </row>
    <row r="185" spans="1:8">
      <c r="A185">
        <v>2013</v>
      </c>
      <c r="B185">
        <v>15</v>
      </c>
      <c r="C185">
        <v>50878</v>
      </c>
      <c r="D185">
        <v>3974</v>
      </c>
      <c r="E185">
        <v>7.81</v>
      </c>
      <c r="F185">
        <v>8</v>
      </c>
      <c r="G185">
        <f t="shared" si="4"/>
        <v>-1.9000000000000039E-3</v>
      </c>
      <c r="H185">
        <f t="shared" si="5"/>
        <v>0</v>
      </c>
    </row>
    <row r="186" spans="1:8">
      <c r="A186">
        <v>2013</v>
      </c>
      <c r="B186">
        <v>16</v>
      </c>
      <c r="C186">
        <v>49561</v>
      </c>
      <c r="D186">
        <v>3847</v>
      </c>
      <c r="E186">
        <v>7.76</v>
      </c>
      <c r="F186">
        <v>7.91</v>
      </c>
      <c r="G186">
        <f t="shared" si="4"/>
        <v>-1.5000000000000035E-3</v>
      </c>
      <c r="H186">
        <f t="shared" si="5"/>
        <v>0</v>
      </c>
    </row>
    <row r="187" spans="1:8">
      <c r="A187">
        <v>2013</v>
      </c>
      <c r="B187">
        <v>17</v>
      </c>
      <c r="C187">
        <v>48383</v>
      </c>
      <c r="D187">
        <v>3614</v>
      </c>
      <c r="E187">
        <v>7.47</v>
      </c>
      <c r="F187">
        <v>7.81</v>
      </c>
      <c r="G187">
        <f t="shared" si="4"/>
        <v>-3.3999999999999985E-3</v>
      </c>
      <c r="H187">
        <f t="shared" si="5"/>
        <v>0</v>
      </c>
    </row>
    <row r="188" spans="1:8">
      <c r="A188">
        <v>2013</v>
      </c>
      <c r="B188">
        <v>18</v>
      </c>
      <c r="C188">
        <v>48403</v>
      </c>
      <c r="D188">
        <v>3518</v>
      </c>
      <c r="E188">
        <v>7.27</v>
      </c>
      <c r="F188">
        <v>7.7</v>
      </c>
      <c r="G188">
        <f t="shared" si="4"/>
        <v>-4.3000000000000061E-3</v>
      </c>
      <c r="H188">
        <f t="shared" si="5"/>
        <v>0</v>
      </c>
    </row>
    <row r="189" spans="1:8">
      <c r="A189">
        <v>2013</v>
      </c>
      <c r="B189">
        <v>19</v>
      </c>
      <c r="C189">
        <v>47956</v>
      </c>
      <c r="D189">
        <v>3407</v>
      </c>
      <c r="E189">
        <v>7.1</v>
      </c>
      <c r="F189">
        <v>7.59</v>
      </c>
      <c r="G189">
        <f t="shared" si="4"/>
        <v>-4.9000000000000024E-3</v>
      </c>
      <c r="H189">
        <f t="shared" si="5"/>
        <v>0</v>
      </c>
    </row>
    <row r="190" spans="1:8">
      <c r="A190">
        <v>2013</v>
      </c>
      <c r="B190">
        <v>20</v>
      </c>
      <c r="C190">
        <v>47406</v>
      </c>
      <c r="D190">
        <v>3321</v>
      </c>
      <c r="E190">
        <v>7.01</v>
      </c>
      <c r="F190">
        <v>7.48</v>
      </c>
      <c r="G190">
        <f t="shared" si="4"/>
        <v>-4.7000000000000063E-3</v>
      </c>
      <c r="H190">
        <f t="shared" si="5"/>
        <v>0</v>
      </c>
    </row>
    <row r="191" spans="1:8">
      <c r="A191">
        <v>2013</v>
      </c>
      <c r="B191">
        <v>21</v>
      </c>
      <c r="C191">
        <v>47336</v>
      </c>
      <c r="D191">
        <v>3261</v>
      </c>
      <c r="E191">
        <v>6.89</v>
      </c>
      <c r="F191">
        <v>7.37</v>
      </c>
      <c r="G191">
        <f t="shared" si="4"/>
        <v>-4.8000000000000039E-3</v>
      </c>
      <c r="H191">
        <f t="shared" si="5"/>
        <v>0</v>
      </c>
    </row>
    <row r="192" spans="1:8">
      <c r="A192">
        <v>2013</v>
      </c>
      <c r="B192">
        <v>22</v>
      </c>
      <c r="C192">
        <v>46646</v>
      </c>
      <c r="D192">
        <v>3043</v>
      </c>
      <c r="E192">
        <v>6.52</v>
      </c>
      <c r="F192">
        <v>7.27</v>
      </c>
      <c r="G192">
        <f t="shared" si="4"/>
        <v>-7.4999999999999997E-3</v>
      </c>
      <c r="H192">
        <f t="shared" si="5"/>
        <v>0</v>
      </c>
    </row>
    <row r="193" spans="1:8">
      <c r="A193">
        <v>2013</v>
      </c>
      <c r="B193">
        <v>23</v>
      </c>
      <c r="C193">
        <v>47040</v>
      </c>
      <c r="D193">
        <v>3354</v>
      </c>
      <c r="E193">
        <v>7.13</v>
      </c>
      <c r="F193">
        <v>7.16</v>
      </c>
      <c r="G193">
        <f t="shared" si="4"/>
        <v>-3.0000000000000247E-4</v>
      </c>
      <c r="H193">
        <f t="shared" si="5"/>
        <v>0</v>
      </c>
    </row>
    <row r="194" spans="1:8">
      <c r="A194">
        <v>2013</v>
      </c>
      <c r="B194">
        <v>24</v>
      </c>
      <c r="C194">
        <v>46614</v>
      </c>
      <c r="D194">
        <v>3283</v>
      </c>
      <c r="E194">
        <v>7.04</v>
      </c>
      <c r="F194">
        <v>7.06</v>
      </c>
      <c r="G194">
        <f t="shared" si="4"/>
        <v>-1.9999999999999573E-4</v>
      </c>
      <c r="H194">
        <f t="shared" si="5"/>
        <v>0</v>
      </c>
    </row>
    <row r="195" spans="1:8">
      <c r="A195">
        <v>2013</v>
      </c>
      <c r="B195">
        <v>25</v>
      </c>
      <c r="C195">
        <v>46500</v>
      </c>
      <c r="D195">
        <v>3132</v>
      </c>
      <c r="E195">
        <v>6.74</v>
      </c>
      <c r="F195">
        <v>6.97</v>
      </c>
      <c r="G195">
        <f t="shared" ref="G195:G258" si="6">(E195-F195)/100</f>
        <v>-2.2999999999999952E-3</v>
      </c>
      <c r="H195">
        <f t="shared" ref="H195:H258" si="7">INT(MAX(0,G195*D195))</f>
        <v>0</v>
      </c>
    </row>
    <row r="196" spans="1:8">
      <c r="A196">
        <v>2013</v>
      </c>
      <c r="B196">
        <v>26</v>
      </c>
      <c r="C196">
        <v>46453</v>
      </c>
      <c r="D196">
        <v>3066</v>
      </c>
      <c r="E196">
        <v>6.6</v>
      </c>
      <c r="F196">
        <v>6.88</v>
      </c>
      <c r="G196">
        <f t="shared" si="6"/>
        <v>-2.8000000000000026E-3</v>
      </c>
      <c r="H196">
        <f t="shared" si="7"/>
        <v>0</v>
      </c>
    </row>
    <row r="197" spans="1:8">
      <c r="A197">
        <v>2013</v>
      </c>
      <c r="B197">
        <v>27</v>
      </c>
      <c r="C197">
        <v>46726</v>
      </c>
      <c r="D197">
        <v>2987</v>
      </c>
      <c r="E197">
        <v>6.39</v>
      </c>
      <c r="F197">
        <v>6.8</v>
      </c>
      <c r="G197">
        <f t="shared" si="6"/>
        <v>-4.1000000000000012E-3</v>
      </c>
      <c r="H197">
        <f t="shared" si="7"/>
        <v>0</v>
      </c>
    </row>
    <row r="198" spans="1:8">
      <c r="A198">
        <v>2013</v>
      </c>
      <c r="B198">
        <v>28</v>
      </c>
      <c r="C198">
        <v>45844</v>
      </c>
      <c r="D198">
        <v>3045</v>
      </c>
      <c r="E198">
        <v>6.64</v>
      </c>
      <c r="F198">
        <v>6.74</v>
      </c>
      <c r="G198">
        <f t="shared" si="6"/>
        <v>-1.0000000000000052E-3</v>
      </c>
      <c r="H198">
        <f t="shared" si="7"/>
        <v>0</v>
      </c>
    </row>
    <row r="199" spans="1:8">
      <c r="A199">
        <v>2013</v>
      </c>
      <c r="B199">
        <v>29</v>
      </c>
      <c r="C199">
        <v>46184</v>
      </c>
      <c r="D199">
        <v>3051</v>
      </c>
      <c r="E199">
        <v>6.61</v>
      </c>
      <c r="F199">
        <v>6.68</v>
      </c>
      <c r="G199">
        <f t="shared" si="6"/>
        <v>-6.9999999999999392E-4</v>
      </c>
      <c r="H199">
        <f t="shared" si="7"/>
        <v>0</v>
      </c>
    </row>
    <row r="200" spans="1:8">
      <c r="A200">
        <v>2013</v>
      </c>
      <c r="B200">
        <v>30</v>
      </c>
      <c r="C200">
        <v>46211</v>
      </c>
      <c r="D200">
        <v>2870</v>
      </c>
      <c r="E200">
        <v>6.21</v>
      </c>
      <c r="F200">
        <v>6.63</v>
      </c>
      <c r="G200">
        <f t="shared" si="6"/>
        <v>-4.1999999999999989E-3</v>
      </c>
      <c r="H200">
        <f t="shared" si="7"/>
        <v>0</v>
      </c>
    </row>
    <row r="201" spans="1:8">
      <c r="A201">
        <v>2013</v>
      </c>
      <c r="B201">
        <v>31</v>
      </c>
      <c r="C201">
        <v>46173</v>
      </c>
      <c r="D201">
        <v>2939</v>
      </c>
      <c r="E201">
        <v>6.37</v>
      </c>
      <c r="F201">
        <v>6.6</v>
      </c>
      <c r="G201">
        <f t="shared" si="6"/>
        <v>-2.2999999999999952E-3</v>
      </c>
      <c r="H201">
        <f t="shared" si="7"/>
        <v>0</v>
      </c>
    </row>
    <row r="202" spans="1:8">
      <c r="A202">
        <v>2013</v>
      </c>
      <c r="B202">
        <v>32</v>
      </c>
      <c r="C202">
        <v>46090</v>
      </c>
      <c r="D202">
        <v>2986</v>
      </c>
      <c r="E202">
        <v>6.48</v>
      </c>
      <c r="F202">
        <v>6.57</v>
      </c>
      <c r="G202">
        <f t="shared" si="6"/>
        <v>-8.9999999999999857E-4</v>
      </c>
      <c r="H202">
        <f t="shared" si="7"/>
        <v>0</v>
      </c>
    </row>
    <row r="203" spans="1:8">
      <c r="A203">
        <v>2013</v>
      </c>
      <c r="B203">
        <v>33</v>
      </c>
      <c r="C203">
        <v>45927</v>
      </c>
      <c r="D203">
        <v>3004</v>
      </c>
      <c r="E203">
        <v>6.54</v>
      </c>
      <c r="F203">
        <v>6.56</v>
      </c>
      <c r="G203">
        <f t="shared" si="6"/>
        <v>-1.9999999999999573E-4</v>
      </c>
      <c r="H203">
        <f t="shared" si="7"/>
        <v>0</v>
      </c>
    </row>
    <row r="204" spans="1:8">
      <c r="A204">
        <v>2013</v>
      </c>
      <c r="B204">
        <v>34</v>
      </c>
      <c r="C204">
        <v>46063</v>
      </c>
      <c r="D204">
        <v>2976</v>
      </c>
      <c r="E204">
        <v>6.46</v>
      </c>
      <c r="F204">
        <v>6.56</v>
      </c>
      <c r="G204">
        <f t="shared" si="6"/>
        <v>-9.9999999999999655E-4</v>
      </c>
      <c r="H204">
        <f t="shared" si="7"/>
        <v>0</v>
      </c>
    </row>
    <row r="205" spans="1:8">
      <c r="A205">
        <v>2013</v>
      </c>
      <c r="B205">
        <v>35</v>
      </c>
      <c r="C205">
        <v>46336</v>
      </c>
      <c r="D205">
        <v>2905</v>
      </c>
      <c r="E205">
        <v>6.27</v>
      </c>
      <c r="F205">
        <v>6.58</v>
      </c>
      <c r="G205">
        <f t="shared" si="6"/>
        <v>-3.1000000000000051E-3</v>
      </c>
      <c r="H205">
        <f t="shared" si="7"/>
        <v>0</v>
      </c>
    </row>
    <row r="206" spans="1:8">
      <c r="A206">
        <v>2013</v>
      </c>
      <c r="B206">
        <v>36</v>
      </c>
      <c r="C206">
        <v>45646</v>
      </c>
      <c r="D206">
        <v>2864</v>
      </c>
      <c r="E206">
        <v>6.27</v>
      </c>
      <c r="F206">
        <v>6.6</v>
      </c>
      <c r="G206">
        <f t="shared" si="6"/>
        <v>-3.3000000000000008E-3</v>
      </c>
      <c r="H206">
        <f t="shared" si="7"/>
        <v>0</v>
      </c>
    </row>
    <row r="207" spans="1:8">
      <c r="A207">
        <v>2013</v>
      </c>
      <c r="B207">
        <v>37</v>
      </c>
      <c r="C207">
        <v>46302</v>
      </c>
      <c r="D207">
        <v>2995</v>
      </c>
      <c r="E207">
        <v>6.47</v>
      </c>
      <c r="F207">
        <v>6.64</v>
      </c>
      <c r="G207">
        <f t="shared" si="6"/>
        <v>-1.6999999999999993E-3</v>
      </c>
      <c r="H207">
        <f t="shared" si="7"/>
        <v>0</v>
      </c>
    </row>
    <row r="208" spans="1:8">
      <c r="A208">
        <v>2013</v>
      </c>
      <c r="B208">
        <v>38</v>
      </c>
      <c r="C208">
        <v>46615</v>
      </c>
      <c r="D208">
        <v>3036</v>
      </c>
      <c r="E208">
        <v>6.51</v>
      </c>
      <c r="F208">
        <v>6.69</v>
      </c>
      <c r="G208">
        <f t="shared" si="6"/>
        <v>-1.800000000000006E-3</v>
      </c>
      <c r="H208">
        <f t="shared" si="7"/>
        <v>0</v>
      </c>
    </row>
    <row r="209" spans="1:8">
      <c r="A209">
        <v>2013</v>
      </c>
      <c r="B209">
        <v>39</v>
      </c>
      <c r="C209">
        <v>46742</v>
      </c>
      <c r="D209">
        <v>3062</v>
      </c>
      <c r="E209">
        <v>6.55</v>
      </c>
      <c r="F209">
        <v>6.75</v>
      </c>
      <c r="G209">
        <f t="shared" si="6"/>
        <v>-2.0000000000000018E-3</v>
      </c>
      <c r="H209">
        <f t="shared" si="7"/>
        <v>0</v>
      </c>
    </row>
    <row r="210" spans="1:8">
      <c r="A210">
        <v>2013</v>
      </c>
      <c r="B210">
        <v>40</v>
      </c>
      <c r="C210">
        <v>47590</v>
      </c>
      <c r="D210">
        <v>3152</v>
      </c>
      <c r="E210">
        <v>6.62</v>
      </c>
      <c r="F210">
        <v>6.81</v>
      </c>
      <c r="G210">
        <f t="shared" si="6"/>
        <v>-1.899999999999995E-3</v>
      </c>
      <c r="H210">
        <f t="shared" si="7"/>
        <v>0</v>
      </c>
    </row>
    <row r="211" spans="1:8">
      <c r="A211">
        <v>2013</v>
      </c>
      <c r="B211">
        <v>41</v>
      </c>
      <c r="C211">
        <v>47398</v>
      </c>
      <c r="D211">
        <v>3152</v>
      </c>
      <c r="E211">
        <v>6.65</v>
      </c>
      <c r="F211">
        <v>6.89</v>
      </c>
      <c r="G211">
        <f t="shared" si="6"/>
        <v>-2.3999999999999933E-3</v>
      </c>
      <c r="H211">
        <f t="shared" si="7"/>
        <v>0</v>
      </c>
    </row>
    <row r="212" spans="1:8">
      <c r="A212">
        <v>2013</v>
      </c>
      <c r="B212">
        <v>42</v>
      </c>
      <c r="C212">
        <v>47662</v>
      </c>
      <c r="D212">
        <v>3229</v>
      </c>
      <c r="E212">
        <v>6.77</v>
      </c>
      <c r="F212">
        <v>6.97</v>
      </c>
      <c r="G212">
        <f t="shared" si="6"/>
        <v>-2.0000000000000018E-3</v>
      </c>
      <c r="H212">
        <f t="shared" si="7"/>
        <v>0</v>
      </c>
    </row>
    <row r="213" spans="1:8">
      <c r="A213">
        <v>2013</v>
      </c>
      <c r="B213">
        <v>43</v>
      </c>
      <c r="C213">
        <v>47815</v>
      </c>
      <c r="D213">
        <v>3170</v>
      </c>
      <c r="E213">
        <v>6.63</v>
      </c>
      <c r="F213">
        <v>7.06</v>
      </c>
      <c r="G213">
        <f t="shared" si="6"/>
        <v>-4.2999999999999974E-3</v>
      </c>
      <c r="H213">
        <f t="shared" si="7"/>
        <v>0</v>
      </c>
    </row>
    <row r="214" spans="1:8">
      <c r="A214">
        <v>2013</v>
      </c>
      <c r="B214">
        <v>44</v>
      </c>
      <c r="C214">
        <v>48852</v>
      </c>
      <c r="D214">
        <v>3290</v>
      </c>
      <c r="E214">
        <v>6.73</v>
      </c>
      <c r="F214">
        <v>7.15</v>
      </c>
      <c r="G214">
        <f t="shared" si="6"/>
        <v>-4.1999999999999989E-3</v>
      </c>
      <c r="H214">
        <f t="shared" si="7"/>
        <v>0</v>
      </c>
    </row>
    <row r="215" spans="1:8">
      <c r="A215">
        <v>2013</v>
      </c>
      <c r="B215">
        <v>45</v>
      </c>
      <c r="C215">
        <v>49049</v>
      </c>
      <c r="D215">
        <v>3450</v>
      </c>
      <c r="E215">
        <v>7.03</v>
      </c>
      <c r="F215">
        <v>7.24</v>
      </c>
      <c r="G215">
        <f t="shared" si="6"/>
        <v>-2.0999999999999994E-3</v>
      </c>
      <c r="H215">
        <f t="shared" si="7"/>
        <v>0</v>
      </c>
    </row>
    <row r="216" spans="1:8">
      <c r="A216">
        <v>2013</v>
      </c>
      <c r="B216">
        <v>46</v>
      </c>
      <c r="C216">
        <v>49519</v>
      </c>
      <c r="D216">
        <v>3342</v>
      </c>
      <c r="E216">
        <v>6.75</v>
      </c>
      <c r="F216">
        <v>7.33</v>
      </c>
      <c r="G216">
        <f t="shared" si="6"/>
        <v>-5.8000000000000005E-3</v>
      </c>
      <c r="H216">
        <f t="shared" si="7"/>
        <v>0</v>
      </c>
    </row>
    <row r="217" spans="1:8">
      <c r="A217">
        <v>2013</v>
      </c>
      <c r="B217">
        <v>47</v>
      </c>
      <c r="C217">
        <v>49699</v>
      </c>
      <c r="D217">
        <v>3464</v>
      </c>
      <c r="E217">
        <v>6.97</v>
      </c>
      <c r="F217">
        <v>7.43</v>
      </c>
      <c r="G217">
        <f t="shared" si="6"/>
        <v>-4.5999999999999999E-3</v>
      </c>
      <c r="H217">
        <f t="shared" si="7"/>
        <v>0</v>
      </c>
    </row>
    <row r="218" spans="1:8">
      <c r="A218">
        <v>2013</v>
      </c>
      <c r="B218">
        <v>48</v>
      </c>
      <c r="C218">
        <v>49371</v>
      </c>
      <c r="D218">
        <v>3423</v>
      </c>
      <c r="E218">
        <v>6.93</v>
      </c>
      <c r="F218">
        <v>7.52</v>
      </c>
      <c r="G218">
        <f t="shared" si="6"/>
        <v>-5.899999999999999E-3</v>
      </c>
      <c r="H218">
        <f t="shared" si="7"/>
        <v>0</v>
      </c>
    </row>
    <row r="219" spans="1:8">
      <c r="A219">
        <v>2013</v>
      </c>
      <c r="B219">
        <v>49</v>
      </c>
      <c r="C219">
        <v>50923</v>
      </c>
      <c r="D219">
        <v>3641</v>
      </c>
      <c r="E219">
        <v>7.15</v>
      </c>
      <c r="F219">
        <v>7.61</v>
      </c>
      <c r="G219">
        <f t="shared" si="6"/>
        <v>-4.5999999999999999E-3</v>
      </c>
      <c r="H219">
        <f t="shared" si="7"/>
        <v>0</v>
      </c>
    </row>
    <row r="220" spans="1:8">
      <c r="A220">
        <v>2013</v>
      </c>
      <c r="B220">
        <v>50</v>
      </c>
      <c r="C220">
        <v>51965</v>
      </c>
      <c r="D220">
        <v>3926</v>
      </c>
      <c r="E220">
        <v>7.56</v>
      </c>
      <c r="F220">
        <v>7.69</v>
      </c>
      <c r="G220">
        <f t="shared" si="6"/>
        <v>-1.3000000000000077E-3</v>
      </c>
      <c r="H220">
        <f t="shared" si="7"/>
        <v>0</v>
      </c>
    </row>
    <row r="221" spans="1:8">
      <c r="A221">
        <v>2013</v>
      </c>
      <c r="B221">
        <v>51</v>
      </c>
      <c r="C221">
        <v>52636</v>
      </c>
      <c r="D221">
        <v>4035</v>
      </c>
      <c r="E221">
        <v>7.67</v>
      </c>
      <c r="F221">
        <v>7.77</v>
      </c>
      <c r="G221">
        <f t="shared" si="6"/>
        <v>-9.9999999999999655E-4</v>
      </c>
      <c r="H221">
        <f t="shared" si="7"/>
        <v>0</v>
      </c>
    </row>
    <row r="222" spans="1:8">
      <c r="A222">
        <v>2013</v>
      </c>
      <c r="B222">
        <v>52</v>
      </c>
      <c r="C222">
        <v>52059</v>
      </c>
      <c r="D222">
        <v>4158</v>
      </c>
      <c r="E222">
        <v>7.99</v>
      </c>
      <c r="F222">
        <v>7.85</v>
      </c>
      <c r="G222">
        <f t="shared" si="6"/>
        <v>1.4000000000000056E-3</v>
      </c>
      <c r="H222">
        <f t="shared" si="7"/>
        <v>5</v>
      </c>
    </row>
    <row r="223" spans="1:8">
      <c r="A223">
        <v>2014</v>
      </c>
      <c r="B223">
        <v>1</v>
      </c>
      <c r="C223">
        <v>53912</v>
      </c>
      <c r="D223">
        <v>4871</v>
      </c>
      <c r="E223">
        <v>9.0399999999999991</v>
      </c>
      <c r="F223">
        <v>7.91</v>
      </c>
      <c r="G223">
        <f t="shared" si="6"/>
        <v>1.1299999999999991E-2</v>
      </c>
      <c r="H223">
        <f t="shared" si="7"/>
        <v>55</v>
      </c>
    </row>
    <row r="224" spans="1:8">
      <c r="A224">
        <v>2014</v>
      </c>
      <c r="B224">
        <v>2</v>
      </c>
      <c r="C224">
        <v>56071</v>
      </c>
      <c r="D224">
        <v>5423</v>
      </c>
      <c r="E224">
        <v>9.67</v>
      </c>
      <c r="F224">
        <v>7.96</v>
      </c>
      <c r="G224">
        <f t="shared" si="6"/>
        <v>1.7100000000000001E-2</v>
      </c>
      <c r="H224">
        <f t="shared" si="7"/>
        <v>92</v>
      </c>
    </row>
    <row r="225" spans="1:8">
      <c r="A225">
        <v>2014</v>
      </c>
      <c r="B225">
        <v>3</v>
      </c>
      <c r="C225">
        <v>54464</v>
      </c>
      <c r="D225">
        <v>5359</v>
      </c>
      <c r="E225">
        <v>9.84</v>
      </c>
      <c r="F225">
        <v>8.01</v>
      </c>
      <c r="G225">
        <f t="shared" si="6"/>
        <v>1.83E-2</v>
      </c>
      <c r="H225">
        <f t="shared" si="7"/>
        <v>98</v>
      </c>
    </row>
    <row r="226" spans="1:8">
      <c r="A226">
        <v>2014</v>
      </c>
      <c r="B226">
        <v>4</v>
      </c>
      <c r="C226">
        <v>53839</v>
      </c>
      <c r="D226">
        <v>5144</v>
      </c>
      <c r="E226">
        <v>9.5500000000000007</v>
      </c>
      <c r="F226">
        <v>8.0399999999999991</v>
      </c>
      <c r="G226">
        <f t="shared" si="6"/>
        <v>1.5100000000000016E-2</v>
      </c>
      <c r="H226">
        <f t="shared" si="7"/>
        <v>77</v>
      </c>
    </row>
    <row r="227" spans="1:8">
      <c r="A227">
        <v>2014</v>
      </c>
      <c r="B227">
        <v>5</v>
      </c>
      <c r="C227">
        <v>53670</v>
      </c>
      <c r="D227">
        <v>4970</v>
      </c>
      <c r="E227">
        <v>9.26</v>
      </c>
      <c r="F227">
        <v>8.06</v>
      </c>
      <c r="G227">
        <f t="shared" si="6"/>
        <v>1.1999999999999993E-2</v>
      </c>
      <c r="H227">
        <f t="shared" si="7"/>
        <v>59</v>
      </c>
    </row>
    <row r="228" spans="1:8">
      <c r="A228">
        <v>2014</v>
      </c>
      <c r="B228">
        <v>6</v>
      </c>
      <c r="C228">
        <v>53020</v>
      </c>
      <c r="D228">
        <v>4709</v>
      </c>
      <c r="E228">
        <v>8.8800000000000008</v>
      </c>
      <c r="F228">
        <v>8.07</v>
      </c>
      <c r="G228">
        <f t="shared" si="6"/>
        <v>8.1000000000000048E-3</v>
      </c>
      <c r="H228">
        <f t="shared" si="7"/>
        <v>38</v>
      </c>
    </row>
    <row r="229" spans="1:8">
      <c r="A229">
        <v>2014</v>
      </c>
      <c r="B229">
        <v>7</v>
      </c>
      <c r="C229">
        <v>53442</v>
      </c>
      <c r="D229">
        <v>4600</v>
      </c>
      <c r="E229">
        <v>8.61</v>
      </c>
      <c r="F229">
        <v>8.07</v>
      </c>
      <c r="G229">
        <f t="shared" si="6"/>
        <v>5.3999999999999916E-3</v>
      </c>
      <c r="H229">
        <f t="shared" si="7"/>
        <v>24</v>
      </c>
    </row>
    <row r="230" spans="1:8">
      <c r="A230">
        <v>2014</v>
      </c>
      <c r="B230">
        <v>8</v>
      </c>
      <c r="C230">
        <v>52212</v>
      </c>
      <c r="D230">
        <v>4138</v>
      </c>
      <c r="E230">
        <v>7.93</v>
      </c>
      <c r="F230">
        <v>8.0500000000000007</v>
      </c>
      <c r="G230">
        <f t="shared" si="6"/>
        <v>-1.2000000000000099E-3</v>
      </c>
      <c r="H230">
        <f t="shared" si="7"/>
        <v>0</v>
      </c>
    </row>
    <row r="231" spans="1:8">
      <c r="A231">
        <v>2014</v>
      </c>
      <c r="B231">
        <v>9</v>
      </c>
      <c r="C231">
        <v>50803</v>
      </c>
      <c r="D231">
        <v>3961</v>
      </c>
      <c r="E231">
        <v>7.8</v>
      </c>
      <c r="F231">
        <v>8.0299999999999994</v>
      </c>
      <c r="G231">
        <f t="shared" si="6"/>
        <v>-2.2999999999999952E-3</v>
      </c>
      <c r="H231">
        <f t="shared" si="7"/>
        <v>0</v>
      </c>
    </row>
    <row r="232" spans="1:8">
      <c r="A232">
        <v>2014</v>
      </c>
      <c r="B232">
        <v>10</v>
      </c>
      <c r="C232">
        <v>50013</v>
      </c>
      <c r="D232">
        <v>4008</v>
      </c>
      <c r="E232">
        <v>8.01</v>
      </c>
      <c r="F232">
        <v>7.99</v>
      </c>
      <c r="G232">
        <f t="shared" si="6"/>
        <v>1.9999999999999573E-4</v>
      </c>
      <c r="H232">
        <f t="shared" si="7"/>
        <v>0</v>
      </c>
    </row>
    <row r="233" spans="1:8">
      <c r="A233">
        <v>2014</v>
      </c>
      <c r="B233">
        <v>11</v>
      </c>
      <c r="C233">
        <v>49665</v>
      </c>
      <c r="D233">
        <v>3872</v>
      </c>
      <c r="E233">
        <v>7.8</v>
      </c>
      <c r="F233">
        <v>7.94</v>
      </c>
      <c r="G233">
        <f t="shared" si="6"/>
        <v>-1.4000000000000056E-3</v>
      </c>
      <c r="H233">
        <f t="shared" si="7"/>
        <v>0</v>
      </c>
    </row>
    <row r="234" spans="1:8">
      <c r="A234">
        <v>2014</v>
      </c>
      <c r="B234">
        <v>12</v>
      </c>
      <c r="C234">
        <v>48972</v>
      </c>
      <c r="D234">
        <v>3721</v>
      </c>
      <c r="E234">
        <v>7.6</v>
      </c>
      <c r="F234">
        <v>7.88</v>
      </c>
      <c r="G234">
        <f t="shared" si="6"/>
        <v>-2.8000000000000026E-3</v>
      </c>
      <c r="H234">
        <f t="shared" si="7"/>
        <v>0</v>
      </c>
    </row>
    <row r="235" spans="1:8">
      <c r="A235">
        <v>2014</v>
      </c>
      <c r="B235">
        <v>13</v>
      </c>
      <c r="C235">
        <v>48308</v>
      </c>
      <c r="D235">
        <v>3668</v>
      </c>
      <c r="E235">
        <v>7.59</v>
      </c>
      <c r="F235">
        <v>7.81</v>
      </c>
      <c r="G235">
        <f t="shared" si="6"/>
        <v>-2.1999999999999975E-3</v>
      </c>
      <c r="H235">
        <f t="shared" si="7"/>
        <v>0</v>
      </c>
    </row>
    <row r="236" spans="1:8">
      <c r="A236">
        <v>2014</v>
      </c>
      <c r="B236">
        <v>14</v>
      </c>
      <c r="C236">
        <v>47475</v>
      </c>
      <c r="D236">
        <v>3578</v>
      </c>
      <c r="E236">
        <v>7.54</v>
      </c>
      <c r="F236">
        <v>7.73</v>
      </c>
      <c r="G236">
        <f t="shared" si="6"/>
        <v>-1.9000000000000039E-3</v>
      </c>
      <c r="H236">
        <f t="shared" si="7"/>
        <v>0</v>
      </c>
    </row>
    <row r="237" spans="1:8">
      <c r="A237">
        <v>2014</v>
      </c>
      <c r="B237">
        <v>15</v>
      </c>
      <c r="C237">
        <v>47074</v>
      </c>
      <c r="D237">
        <v>3508</v>
      </c>
      <c r="E237">
        <v>7.45</v>
      </c>
      <c r="F237">
        <v>7.64</v>
      </c>
      <c r="G237">
        <f t="shared" si="6"/>
        <v>-1.899999999999995E-3</v>
      </c>
      <c r="H237">
        <f t="shared" si="7"/>
        <v>0</v>
      </c>
    </row>
    <row r="238" spans="1:8">
      <c r="A238">
        <v>2014</v>
      </c>
      <c r="B238">
        <v>16</v>
      </c>
      <c r="C238">
        <v>46459</v>
      </c>
      <c r="D238">
        <v>3384</v>
      </c>
      <c r="E238">
        <v>7.28</v>
      </c>
      <c r="F238">
        <v>7.55</v>
      </c>
      <c r="G238">
        <f t="shared" si="6"/>
        <v>-2.6999999999999958E-3</v>
      </c>
      <c r="H238">
        <f t="shared" si="7"/>
        <v>0</v>
      </c>
    </row>
    <row r="239" spans="1:8">
      <c r="A239">
        <v>2014</v>
      </c>
      <c r="B239">
        <v>17</v>
      </c>
      <c r="C239">
        <v>46038</v>
      </c>
      <c r="D239">
        <v>3253</v>
      </c>
      <c r="E239">
        <v>7.07</v>
      </c>
      <c r="F239">
        <v>7.45</v>
      </c>
      <c r="G239">
        <f t="shared" si="6"/>
        <v>-3.7999999999999991E-3</v>
      </c>
      <c r="H239">
        <f t="shared" si="7"/>
        <v>0</v>
      </c>
    </row>
    <row r="240" spans="1:8">
      <c r="A240">
        <v>2014</v>
      </c>
      <c r="B240">
        <v>18</v>
      </c>
      <c r="C240">
        <v>45190</v>
      </c>
      <c r="D240">
        <v>3223</v>
      </c>
      <c r="E240">
        <v>7.13</v>
      </c>
      <c r="F240">
        <v>7.35</v>
      </c>
      <c r="G240">
        <f t="shared" si="6"/>
        <v>-2.1999999999999975E-3</v>
      </c>
      <c r="H240">
        <f t="shared" si="7"/>
        <v>0</v>
      </c>
    </row>
    <row r="241" spans="1:8">
      <c r="A241">
        <v>2014</v>
      </c>
      <c r="B241">
        <v>19</v>
      </c>
      <c r="C241">
        <v>44983</v>
      </c>
      <c r="D241">
        <v>3190</v>
      </c>
      <c r="E241">
        <v>7.09</v>
      </c>
      <c r="F241">
        <v>7.25</v>
      </c>
      <c r="G241">
        <f t="shared" si="6"/>
        <v>-1.6000000000000014E-3</v>
      </c>
      <c r="H241">
        <f t="shared" si="7"/>
        <v>0</v>
      </c>
    </row>
    <row r="242" spans="1:8">
      <c r="A242">
        <v>2014</v>
      </c>
      <c r="B242">
        <v>20</v>
      </c>
      <c r="C242">
        <v>41152</v>
      </c>
      <c r="D242">
        <v>2796</v>
      </c>
      <c r="E242">
        <v>6.79</v>
      </c>
      <c r="F242">
        <v>7.14</v>
      </c>
      <c r="G242">
        <f t="shared" si="6"/>
        <v>-3.4999999999999966E-3</v>
      </c>
      <c r="H242">
        <f t="shared" si="7"/>
        <v>0</v>
      </c>
    </row>
    <row r="243" spans="1:8">
      <c r="A243">
        <v>2014</v>
      </c>
      <c r="B243">
        <v>21</v>
      </c>
      <c r="C243">
        <v>42200</v>
      </c>
      <c r="D243">
        <v>2884</v>
      </c>
      <c r="E243">
        <v>6.83</v>
      </c>
      <c r="F243">
        <v>7.03</v>
      </c>
      <c r="G243">
        <f t="shared" si="6"/>
        <v>-2.0000000000000018E-3</v>
      </c>
      <c r="H243">
        <f t="shared" si="7"/>
        <v>0</v>
      </c>
    </row>
    <row r="244" spans="1:8">
      <c r="A244">
        <v>2014</v>
      </c>
      <c r="B244">
        <v>22</v>
      </c>
      <c r="C244">
        <v>41877</v>
      </c>
      <c r="D244">
        <v>2744</v>
      </c>
      <c r="E244">
        <v>6.55</v>
      </c>
      <c r="F244">
        <v>6.93</v>
      </c>
      <c r="G244">
        <f t="shared" si="6"/>
        <v>-3.7999999999999991E-3</v>
      </c>
      <c r="H244">
        <f t="shared" si="7"/>
        <v>0</v>
      </c>
    </row>
    <row r="245" spans="1:8">
      <c r="A245">
        <v>2014</v>
      </c>
      <c r="B245">
        <v>23</v>
      </c>
      <c r="C245">
        <v>40214</v>
      </c>
      <c r="D245">
        <v>2682</v>
      </c>
      <c r="E245">
        <v>6.67</v>
      </c>
      <c r="F245">
        <v>6.83</v>
      </c>
      <c r="G245">
        <f t="shared" si="6"/>
        <v>-1.6000000000000014E-3</v>
      </c>
      <c r="H245">
        <f t="shared" si="7"/>
        <v>0</v>
      </c>
    </row>
    <row r="246" spans="1:8">
      <c r="A246">
        <v>2014</v>
      </c>
      <c r="B246">
        <v>24</v>
      </c>
      <c r="C246">
        <v>40058</v>
      </c>
      <c r="D246">
        <v>2651</v>
      </c>
      <c r="E246">
        <v>6.62</v>
      </c>
      <c r="F246">
        <v>6.73</v>
      </c>
      <c r="G246">
        <f t="shared" si="6"/>
        <v>-1.1000000000000031E-3</v>
      </c>
      <c r="H246">
        <f t="shared" si="7"/>
        <v>0</v>
      </c>
    </row>
    <row r="247" spans="1:8">
      <c r="A247">
        <v>2014</v>
      </c>
      <c r="B247">
        <v>25</v>
      </c>
      <c r="C247">
        <v>39651</v>
      </c>
      <c r="D247">
        <v>2514</v>
      </c>
      <c r="E247">
        <v>6.34</v>
      </c>
      <c r="F247">
        <v>6.64</v>
      </c>
      <c r="G247">
        <f t="shared" si="6"/>
        <v>-2.9999999999999983E-3</v>
      </c>
      <c r="H247">
        <f t="shared" si="7"/>
        <v>0</v>
      </c>
    </row>
    <row r="248" spans="1:8">
      <c r="A248">
        <v>2014</v>
      </c>
      <c r="B248">
        <v>26</v>
      </c>
      <c r="C248">
        <v>38967</v>
      </c>
      <c r="D248">
        <v>2457</v>
      </c>
      <c r="E248">
        <v>6.31</v>
      </c>
      <c r="F248">
        <v>6.55</v>
      </c>
      <c r="G248">
        <f t="shared" si="6"/>
        <v>-2.400000000000002E-3</v>
      </c>
      <c r="H248">
        <f t="shared" si="7"/>
        <v>0</v>
      </c>
    </row>
    <row r="249" spans="1:8">
      <c r="A249">
        <v>2014</v>
      </c>
      <c r="B249">
        <v>27</v>
      </c>
      <c r="C249">
        <v>38329</v>
      </c>
      <c r="D249">
        <v>2347</v>
      </c>
      <c r="E249">
        <v>6.12</v>
      </c>
      <c r="F249">
        <v>6.47</v>
      </c>
      <c r="G249">
        <f t="shared" si="6"/>
        <v>-3.4999999999999966E-3</v>
      </c>
      <c r="H249">
        <f t="shared" si="7"/>
        <v>0</v>
      </c>
    </row>
    <row r="250" spans="1:8">
      <c r="A250">
        <v>2014</v>
      </c>
      <c r="B250">
        <v>28</v>
      </c>
      <c r="C250">
        <v>38725</v>
      </c>
      <c r="D250">
        <v>2415</v>
      </c>
      <c r="E250">
        <v>6.24</v>
      </c>
      <c r="F250">
        <v>6.41</v>
      </c>
      <c r="G250">
        <f t="shared" si="6"/>
        <v>-1.6999999999999993E-3</v>
      </c>
      <c r="H250">
        <f t="shared" si="7"/>
        <v>0</v>
      </c>
    </row>
    <row r="251" spans="1:8">
      <c r="A251">
        <v>2014</v>
      </c>
      <c r="B251">
        <v>29</v>
      </c>
      <c r="C251">
        <v>37988</v>
      </c>
      <c r="D251">
        <v>2343</v>
      </c>
      <c r="E251">
        <v>6.17</v>
      </c>
      <c r="F251">
        <v>6.35</v>
      </c>
      <c r="G251">
        <f t="shared" si="6"/>
        <v>-1.7999999999999971E-3</v>
      </c>
      <c r="H251">
        <f t="shared" si="7"/>
        <v>0</v>
      </c>
    </row>
    <row r="252" spans="1:8">
      <c r="A252">
        <v>2014</v>
      </c>
      <c r="B252">
        <v>30</v>
      </c>
      <c r="C252">
        <v>36729</v>
      </c>
      <c r="D252">
        <v>2252</v>
      </c>
      <c r="E252">
        <v>6.13</v>
      </c>
      <c r="F252">
        <v>6.31</v>
      </c>
      <c r="G252">
        <f t="shared" si="6"/>
        <v>-1.7999999999999971E-3</v>
      </c>
      <c r="H252">
        <f t="shared" si="7"/>
        <v>0</v>
      </c>
    </row>
    <row r="253" spans="1:8">
      <c r="A253">
        <v>2014</v>
      </c>
      <c r="B253">
        <v>31</v>
      </c>
      <c r="C253">
        <v>36223</v>
      </c>
      <c r="D253">
        <v>2244</v>
      </c>
      <c r="E253">
        <v>6.19</v>
      </c>
      <c r="F253">
        <v>6.28</v>
      </c>
      <c r="G253">
        <f t="shared" si="6"/>
        <v>-8.9999999999999857E-4</v>
      </c>
      <c r="H253">
        <f t="shared" si="7"/>
        <v>0</v>
      </c>
    </row>
    <row r="254" spans="1:8">
      <c r="A254">
        <v>2014</v>
      </c>
      <c r="B254">
        <v>32</v>
      </c>
      <c r="C254">
        <v>35163</v>
      </c>
      <c r="D254">
        <v>2090</v>
      </c>
      <c r="E254">
        <v>5.94</v>
      </c>
      <c r="F254">
        <v>6.26</v>
      </c>
      <c r="G254">
        <f t="shared" si="6"/>
        <v>-3.1999999999999941E-3</v>
      </c>
      <c r="H254">
        <f t="shared" si="7"/>
        <v>0</v>
      </c>
    </row>
    <row r="255" spans="1:8">
      <c r="A255">
        <v>2014</v>
      </c>
      <c r="B255">
        <v>33</v>
      </c>
      <c r="C255">
        <v>34575</v>
      </c>
      <c r="D255">
        <v>2088</v>
      </c>
      <c r="E255">
        <v>6.04</v>
      </c>
      <c r="F255">
        <v>6.25</v>
      </c>
      <c r="G255">
        <f t="shared" si="6"/>
        <v>-2.0999999999999994E-3</v>
      </c>
      <c r="H255">
        <f t="shared" si="7"/>
        <v>0</v>
      </c>
    </row>
    <row r="256" spans="1:8">
      <c r="A256">
        <v>2014</v>
      </c>
      <c r="B256">
        <v>34</v>
      </c>
      <c r="C256">
        <v>33310</v>
      </c>
      <c r="D256">
        <v>2032</v>
      </c>
      <c r="E256">
        <v>6.1</v>
      </c>
      <c r="F256">
        <v>6.26</v>
      </c>
      <c r="G256">
        <f t="shared" si="6"/>
        <v>-1.6000000000000014E-3</v>
      </c>
      <c r="H256">
        <f t="shared" si="7"/>
        <v>0</v>
      </c>
    </row>
    <row r="257" spans="1:8">
      <c r="A257">
        <v>2014</v>
      </c>
      <c r="B257">
        <v>35</v>
      </c>
      <c r="C257">
        <v>31442</v>
      </c>
      <c r="D257">
        <v>1849</v>
      </c>
      <c r="E257">
        <v>5.88</v>
      </c>
      <c r="F257">
        <v>6.27</v>
      </c>
      <c r="G257">
        <f t="shared" si="6"/>
        <v>-3.8999999999999968E-3</v>
      </c>
      <c r="H257">
        <f t="shared" si="7"/>
        <v>0</v>
      </c>
    </row>
    <row r="258" spans="1:8">
      <c r="A258">
        <v>2014</v>
      </c>
      <c r="B258">
        <v>36</v>
      </c>
      <c r="C258">
        <v>29889</v>
      </c>
      <c r="D258">
        <v>1789</v>
      </c>
      <c r="E258">
        <v>5.99</v>
      </c>
      <c r="F258">
        <v>6.3</v>
      </c>
      <c r="G258">
        <f t="shared" si="6"/>
        <v>-3.099999999999996E-3</v>
      </c>
      <c r="H258">
        <f t="shared" si="7"/>
        <v>0</v>
      </c>
    </row>
    <row r="259" spans="1:8">
      <c r="A259">
        <v>2014</v>
      </c>
      <c r="B259">
        <v>37</v>
      </c>
      <c r="C259">
        <v>26775</v>
      </c>
      <c r="D259">
        <v>1543</v>
      </c>
      <c r="E259">
        <v>5.76</v>
      </c>
      <c r="F259">
        <v>6.34</v>
      </c>
      <c r="G259">
        <f t="shared" ref="G259:G261" si="8">(E259-F259)/100</f>
        <v>-5.8000000000000005E-3</v>
      </c>
      <c r="H259">
        <f t="shared" ref="H259:H261" si="9">INT(MAX(0,G259*D259))</f>
        <v>0</v>
      </c>
    </row>
    <row r="260" spans="1:8">
      <c r="A260">
        <v>2014</v>
      </c>
      <c r="B260">
        <v>38</v>
      </c>
      <c r="C260">
        <v>25433</v>
      </c>
      <c r="D260">
        <v>1536</v>
      </c>
      <c r="E260">
        <v>6.04</v>
      </c>
      <c r="F260">
        <v>6.39</v>
      </c>
      <c r="G260">
        <f t="shared" si="8"/>
        <v>-3.4999999999999966E-3</v>
      </c>
      <c r="H260">
        <f t="shared" si="9"/>
        <v>0</v>
      </c>
    </row>
    <row r="261" spans="1:8">
      <c r="A261">
        <v>2014</v>
      </c>
      <c r="B261">
        <v>39</v>
      </c>
      <c r="C261">
        <v>20735</v>
      </c>
      <c r="D261">
        <v>1255</v>
      </c>
      <c r="E261">
        <v>6.05</v>
      </c>
      <c r="F261">
        <v>6.45</v>
      </c>
      <c r="G261">
        <f t="shared" si="8"/>
        <v>-4.0000000000000036E-3</v>
      </c>
      <c r="H261">
        <f t="shared" si="9"/>
        <v>0</v>
      </c>
    </row>
  </sheetData>
  <phoneticPr fontId="3" type="noConversion"/>
  <hyperlinks>
    <hyperlink ref="J3" r:id="rId1" xr:uid="{00000000-0004-0000-0A00-000000000000}"/>
  </hyperlinks>
  <pageMargins left="0.75" right="0.75" top="1" bottom="1" header="0.5" footer="0.5"/>
  <pageSetup orientation="portrait" verticalDpi="0"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
  <sheetViews>
    <sheetView workbookViewId="0"/>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Instructions</vt:lpstr>
      <vt:lpstr>tabletop</vt:lpstr>
      <vt:lpstr>ASSUMPTIONS</vt:lpstr>
      <vt:lpstr>Estimation Results</vt:lpstr>
      <vt:lpstr>Simulation</vt:lpstr>
      <vt:lpstr>Sim2</vt:lpstr>
      <vt:lpstr>MCSimulation</vt:lpstr>
      <vt:lpstr>2004US</vt:lpstr>
      <vt:lpstr>2013US</vt:lpstr>
      <vt:lpstr>NCHSData</vt:lpstr>
      <vt:lpstr>Sheet1</vt:lpstr>
      <vt:lpstr>'2013US'!b</vt:lpstr>
      <vt:lpstr>b</vt:lpstr>
      <vt:lpstr>betaI</vt:lpstr>
      <vt:lpstr>'2013US'!g</vt:lpstr>
      <vt:lpstr>g</vt:lpstr>
      <vt:lpstr>gammaR</vt:lpstr>
      <vt:lpstr>'2013US'!I0</vt:lpstr>
      <vt:lpstr>I0</vt:lpstr>
      <vt:lpstr>'2013US'!N</vt:lpstr>
      <vt:lpstr>N</vt:lpstr>
      <vt:lpstr>'2013US'!S0</vt:lpstr>
      <vt:lpstr>S0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SIR Model of US Flu Season</dc:title>
  <dc:creator/>
  <cp:lastModifiedBy/>
  <dcterms:created xsi:type="dcterms:W3CDTF">2014-10-22T17:58:58Z</dcterms:created>
  <dcterms:modified xsi:type="dcterms:W3CDTF">2021-03-17T03:41:34Z</dcterms:modified>
  <cp:contentStatus>WIP</cp:contentStatus>
</cp:coreProperties>
</file>