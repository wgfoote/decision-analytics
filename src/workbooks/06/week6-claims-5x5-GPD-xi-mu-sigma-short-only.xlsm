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ink/ink2.xml" ContentType="application/inkml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gfoo\OneDrive\Documents\0-decision-optimization\mbac617\00021S\week6\3-workbook\"/>
    </mc:Choice>
  </mc:AlternateContent>
  <xr:revisionPtr revIDLastSave="0" documentId="13_ncr:1_{1906ABED-873F-485C-9C84-9DA419930830}" xr6:coauthVersionLast="45" xr6:coauthVersionMax="45" xr10:uidLastSave="{00000000-0000-0000-0000-000000000000}"/>
  <bookViews>
    <workbookView xWindow="-108" yWindow="-108" windowWidth="23256" windowHeight="12576" firstSheet="7" activeTab="11" xr2:uid="{BCCBB29B-B14D-48BA-9A38-51DBAAF735F5}"/>
  </bookViews>
  <sheets>
    <sheet name="data" sheetId="1" r:id="rId1"/>
    <sheet name="mean-excess-over-threshold" sheetId="6" r:id="rId2"/>
    <sheet name="eda" sheetId="2" r:id="rId3"/>
    <sheet name="grid-setup" sheetId="3" r:id="rId4"/>
    <sheet name="grid-approx" sheetId="5" r:id="rId5"/>
    <sheet name="xi-sigma-grid" sheetId="4" r:id="rId6"/>
    <sheet name="xi-sigma-sim" sheetId="8" r:id="rId7"/>
    <sheet name="fund-claims" sheetId="7" r:id="rId8"/>
    <sheet name="fund-allocation" sheetId="11" r:id="rId9"/>
    <sheet name="fund-simulation-short-term" sheetId="9" r:id="rId10"/>
    <sheet name="fund-simulation-all" sheetId="14" r:id="rId11"/>
    <sheet name="eda-sim-short-term" sheetId="12" r:id="rId12"/>
    <sheet name="control" sheetId="13" r:id="rId13"/>
  </sheets>
  <externalReferences>
    <externalReference r:id="rId14"/>
    <externalReference r:id="rId15"/>
  </externalReferences>
  <definedNames>
    <definedName name="_xlnm._FilterDatabase" localSheetId="0" hidden="1">data!$B$2:$C$2</definedName>
    <definedName name="_xlnm._FilterDatabase" localSheetId="1" hidden="1">'mean-excess-over-threshold'!$E$2:$F$2</definedName>
    <definedName name="_Key1" localSheetId="8" hidden="1">#REF!</definedName>
    <definedName name="_Key1" hidden="1">#REF!</definedName>
    <definedName name="_Order1" hidden="1">255</definedName>
    <definedName name="A_1_2">'fund-simulation-short-term'!$B$7:$B$106</definedName>
    <definedName name="A_1_2_">'fund-simulation-short-term'!$B$7:$B$106</definedName>
    <definedName name="A_2_3">'fund-simulation-short-term'!$F$7:$F$106</definedName>
    <definedName name="A_2_3_">'fund-simulation-short-term'!$F$7:$F$106</definedName>
    <definedName name="A_3_4">'fund-simulation-short-term'!$G$7:$G$106</definedName>
    <definedName name="A_3_4_">'fund-simulation-short-term'!$G$7:$G$106</definedName>
    <definedName name="A_4_5">'fund-simulation-short-term'!$I$7:$I$106</definedName>
    <definedName name="A_4_5_">'fund-simulation-short-term'!$I$7:$I$106</definedName>
    <definedName name="A_5_6">'fund-simulation-short-term'!$K$7:$K$106</definedName>
    <definedName name="A_5_6_">'fund-simulation-short-term'!$K$7:$K$106</definedName>
    <definedName name="A_6_7">'fund-simulation-short-term'!$M$7:$M$106</definedName>
    <definedName name="A_6_7_">'fund-simulation-short-term'!$M$7:$M$106</definedName>
    <definedName name="B_1_3">'fund-simulation-short-term'!$C$7:$C$106</definedName>
    <definedName name="B_1_3_">'fund-simulation-short-term'!$C$7:$C$106</definedName>
    <definedName name="B_3_5">'fund-simulation-short-term'!$H$7:$H$106</definedName>
    <definedName name="B_3_5_">'fund-simulation-short-term'!$H$7:$H$106</definedName>
    <definedName name="B_5_7">'fund-simulation-short-term'!$L$7:$L$106</definedName>
    <definedName name="B_5_7_">'fund-simulation-short-term'!$L$7:$L$106</definedName>
    <definedName name="C_1_4">'fund-simulation-short-term'!$D$7:$D$106</definedName>
    <definedName name="C_1_4_">'fund-simulation-short-term'!$D$7:$D$106</definedName>
    <definedName name="C_4_7">'fund-simulation-short-term'!$J$7:$J$106</definedName>
    <definedName name="C_4_7_">'fund-simulation-short-term'!$J$7:$J$106</definedName>
    <definedName name="calculation_claims">'xi-sigma-sim'!$U$4:$Y$9</definedName>
    <definedName name="calculation_fund">#REF!</definedName>
    <definedName name="capital_yr1">'fund-simulation-short-term'!$N$7:$N$106</definedName>
    <definedName name="claims">data!$F$3:$F$14</definedName>
    <definedName name="claims_constraint">#REF!</definedName>
    <definedName name="claims_yr2">'fund-simulation-short-term'!$O$7:$O$106</definedName>
    <definedName name="claims_yr3">'fund-simulation-short-term'!$P$7:$P$106</definedName>
    <definedName name="claims_yr4">'fund-simulation-short-term'!$Q$7:$Q$106</definedName>
    <definedName name="claims_yr5">'fund-simulation-short-term'!$R$7:$R$106</definedName>
    <definedName name="claims_yr6">'fund-simulation-short-term'!$S$7:$S$106</definedName>
    <definedName name="claims_yr7">'fund-simulation-short-term'!$T$7:$T$106</definedName>
    <definedName name="coin_cuttype" localSheetId="8" hidden="1">1</definedName>
    <definedName name="coin_dualtol" localSheetId="8" hidden="1">0.0000001</definedName>
    <definedName name="coin_heurs" localSheetId="8" hidden="1">1</definedName>
    <definedName name="coin_integerpresolve" localSheetId="8" hidden="1">1</definedName>
    <definedName name="coin_presolve1" localSheetId="8" hidden="1">1</definedName>
    <definedName name="coin_primaltol" localSheetId="8" hidden="1">0.0000001</definedName>
    <definedName name="count_wait">'eda-sim-short-term'!$C$8</definedName>
    <definedName name="cov_xi__sigma">'xi-sigma-sim'!$Q$7</definedName>
    <definedName name="D_1_7">'fund-simulation-short-term'!$E$7:$E$106</definedName>
    <definedName name="D_1_7_">'fund-simulation-short-term'!$E$7:$E$106</definedName>
    <definedName name="DATA" localSheetId="8">#REF!</definedName>
    <definedName name="DATA">#REF!</definedName>
    <definedName name="gpa">data!$E$3:$E$7</definedName>
    <definedName name="grb_bariter" localSheetId="8" hidden="1">1E+100</definedName>
    <definedName name="grb_bartol" localSheetId="8" hidden="1">0.00000001</definedName>
    <definedName name="grb_crossover" localSheetId="8" hidden="1">-1</definedName>
    <definedName name="grb_cutoff" localSheetId="8" hidden="1">1E+100</definedName>
    <definedName name="grb_cuts" localSheetId="8" hidden="1">-1</definedName>
    <definedName name="grb_focus" localSheetId="8" hidden="1">0</definedName>
    <definedName name="grb_heur" localSheetId="8" hidden="1">0.05</definedName>
    <definedName name="grb_infeas" localSheetId="8" hidden="1">0.000001</definedName>
    <definedName name="grb_inttol" localSheetId="8" hidden="1">0.00001</definedName>
    <definedName name="grb_method" localSheetId="8" hidden="1">1</definedName>
    <definedName name="grb_nodefilestart" localSheetId="8" hidden="1">1E+100</definedName>
    <definedName name="grb_optimal" localSheetId="8" hidden="1">0.000001</definedName>
    <definedName name="grb_order" localSheetId="8" hidden="1">-1</definedName>
    <definedName name="grb_presolve" localSheetId="8" hidden="1">-1</definedName>
    <definedName name="grb_pricing" localSheetId="8" hidden="1">-1</definedName>
    <definedName name="grb_relmip" localSheetId="8" hidden="1">0.0001</definedName>
    <definedName name="grb_rootmethod" localSheetId="8" hidden="1">1</definedName>
    <definedName name="grb_submip" localSheetId="8" hidden="1">500</definedName>
    <definedName name="grb_symmetry" localSheetId="8" hidden="1">-1</definedName>
    <definedName name="grb_threads" localSheetId="8" hidden="1">0</definedName>
    <definedName name="grb_var" localSheetId="8" hidden="1">-1</definedName>
    <definedName name="interface">'fund-simulation-short-term'!$B$4:$T$4</definedName>
    <definedName name="interval_mu_h">'grid-setup'!$C$5</definedName>
    <definedName name="interval_sigma_h">'grid-setup'!$C$12</definedName>
    <definedName name="key">'grid-approx'!$W$5:$W$29</definedName>
    <definedName name="max_mu">'eda-sim-short-term'!$C$4</definedName>
    <definedName name="max_mu_h">'grid-setup'!$C$3</definedName>
    <definedName name="max_sigma_h">'grid-setup'!$C$10</definedName>
    <definedName name="min_mu">'eda-sim-short-term'!$C$5</definedName>
    <definedName name="min_mu_h">'grid-setup'!$C$4</definedName>
    <definedName name="min_sigma_h">'grid-setup'!$C$11</definedName>
    <definedName name="mu_h" localSheetId="4">'grid-setup'!$E$3:$E$7</definedName>
    <definedName name="mu_h" localSheetId="3">'grid-setup'!$E$3:$E$7</definedName>
    <definedName name="mu_sigma">'xi-sigma-sim'!$Q$4</definedName>
    <definedName name="mu_thres">'grid-setup'!$C$15</definedName>
    <definedName name="mu_wait">'eda-sim-short-term'!$C$17</definedName>
    <definedName name="mu_xi">'xi-sigma-sim'!$Q$3</definedName>
    <definedName name="n_eateries">'[1]simulation-a-b'!$C$11</definedName>
    <definedName name="n_visits">'[1]simulation-a-b'!$C$10</definedName>
    <definedName name="param_cuthi" localSheetId="8" hidden="1">2E+30</definedName>
    <definedName name="param_cutlo" localSheetId="8" hidden="1">-2E+30</definedName>
    <definedName name="param_epstep" localSheetId="8" hidden="1">0.000001</definedName>
    <definedName name="param_iisbnd" localSheetId="8" hidden="1">0</definedName>
    <definedName name="Pr_h___d">'grid-approx'!$U$5:$U$29</definedName>
    <definedName name="required_return">#REF!</definedName>
    <definedName name="rho">'xi-sigma-sim'!$Q$8</definedName>
    <definedName name="sig_sigma">'xi-sigma-sim'!$Q$6</definedName>
    <definedName name="sig_wait">'eda-sim-short-term'!$C$18</definedName>
    <definedName name="sig_xi">'xi-sigma-sim'!$Q$5</definedName>
    <definedName name="sigma_h" localSheetId="4">'grid-setup'!$E$10:$E$14</definedName>
    <definedName name="sigma_h" localSheetId="3">'grid-setup'!$E$10:$E$14</definedName>
    <definedName name="sim_list">control!$B$3:$B$20</definedName>
    <definedName name="simulation">'fund-simulation-short-term'!$B$6:$T$6</definedName>
    <definedName name="solver_acc" localSheetId="8" hidden="1">0.001</definedName>
    <definedName name="solver_adj" localSheetId="8" hidden="1">'fund-allocation'!$E$7:$E$18</definedName>
    <definedName name="solver_adj" localSheetId="9" hidden="1">'fund-simulation-short-term'!$F$7:$F$18</definedName>
    <definedName name="solver_adj_ob" localSheetId="8" hidden="1">1</definedName>
    <definedName name="solver_adj_ob1" localSheetId="8" hidden="1">1</definedName>
    <definedName name="solver_ars" localSheetId="8" hidden="1">1</definedName>
    <definedName name="solver_bigm" localSheetId="8" hidden="1">1000000</definedName>
    <definedName name="solver_bnd" localSheetId="8" hidden="1">1</definedName>
    <definedName name="solver_cha" localSheetId="8" hidden="1">0</definedName>
    <definedName name="solver_chc1" localSheetId="8" hidden="1">0</definedName>
    <definedName name="solver_chc2" localSheetId="8" hidden="1">0</definedName>
    <definedName name="solver_chc5" localSheetId="8" hidden="1">0</definedName>
    <definedName name="solver_chc6" localSheetId="8" hidden="1">0</definedName>
    <definedName name="solver_chn" localSheetId="8" hidden="1">4</definedName>
    <definedName name="solver_chp1" localSheetId="8" hidden="1">0</definedName>
    <definedName name="solver_chp2" localSheetId="8" hidden="1">0</definedName>
    <definedName name="solver_chp5" localSheetId="8" hidden="1">0</definedName>
    <definedName name="solver_chp6" localSheetId="8" hidden="1">0</definedName>
    <definedName name="solver_cht" localSheetId="8" hidden="1">0</definedName>
    <definedName name="solver_cir1" localSheetId="8" hidden="1">1</definedName>
    <definedName name="solver_cir2" localSheetId="8" hidden="1">1</definedName>
    <definedName name="solver_cir5" localSheetId="8" hidden="1">1</definedName>
    <definedName name="solver_cir6" localSheetId="8" hidden="1">1</definedName>
    <definedName name="solver_con1" localSheetId="8" hidden="1">" "</definedName>
    <definedName name="solver_con2" localSheetId="8" hidden="1">" "</definedName>
    <definedName name="solver_con5" localSheetId="8" hidden="1">" "</definedName>
    <definedName name="solver_con6" localSheetId="8" hidden="1">" "</definedName>
    <definedName name="solver_corr" hidden="1">1</definedName>
    <definedName name="solver_ctp1" hidden="1">0</definedName>
    <definedName name="solver_ctp2" hidden="1">0</definedName>
    <definedName name="solver_cvg" localSheetId="8" hidden="1">0.0001</definedName>
    <definedName name="solver_cvg" localSheetId="9" hidden="1">0.0001</definedName>
    <definedName name="solver_dia" localSheetId="8" hidden="1">5</definedName>
    <definedName name="solver_disp" hidden="1">0</definedName>
    <definedName name="solver_drv" localSheetId="8" hidden="1">1</definedName>
    <definedName name="solver_drv" localSheetId="9" hidden="1">2</definedName>
    <definedName name="solver_eng" localSheetId="8" hidden="1">2</definedName>
    <definedName name="solver_eng" localSheetId="9" hidden="1">2</definedName>
    <definedName name="solver_est" localSheetId="8" hidden="1">1</definedName>
    <definedName name="solver_est" localSheetId="9" hidden="1">1</definedName>
    <definedName name="solver_eval" hidden="1">0</definedName>
    <definedName name="solver_fea" localSheetId="8" hidden="1">0.000001</definedName>
    <definedName name="solver_fns" localSheetId="8" hidden="1">0</definedName>
    <definedName name="solver_gap" localSheetId="8" hidden="1">0.0000001</definedName>
    <definedName name="solver_glb" localSheetId="8" hidden="1">-1E+30</definedName>
    <definedName name="solver_gub" localSheetId="8" hidden="1">1E+30</definedName>
    <definedName name="solver_iao" localSheetId="8" hidden="1">0</definedName>
    <definedName name="solver_ibd" localSheetId="8" hidden="1">2</definedName>
    <definedName name="solver_inc" localSheetId="8" hidden="1">0</definedName>
    <definedName name="solver_int" localSheetId="8" hidden="1">0</definedName>
    <definedName name="solver_ipd" localSheetId="8" hidden="1">3</definedName>
    <definedName name="solver_ipi" localSheetId="8" hidden="1">1</definedName>
    <definedName name="solver_ips" localSheetId="8" hidden="1">0.99</definedName>
    <definedName name="solver_irs" localSheetId="8" hidden="1">0</definedName>
    <definedName name="solver_ism" localSheetId="8" hidden="1">0</definedName>
    <definedName name="solver_itr" localSheetId="8" hidden="1">2147483647</definedName>
    <definedName name="solver_itr" localSheetId="9" hidden="1">2147483647</definedName>
    <definedName name="solver_lcens" hidden="1">-1E+30</definedName>
    <definedName name="solver_lcut" hidden="1">-1E+30</definedName>
    <definedName name="solver_lhs_ob1" localSheetId="8" hidden="1">0</definedName>
    <definedName name="solver_lhs_ob2" localSheetId="8" hidden="1">0</definedName>
    <definedName name="solver_lhs_ob5" localSheetId="8" hidden="1">0</definedName>
    <definedName name="solver_lhs_ob6" localSheetId="8" hidden="1">0</definedName>
    <definedName name="solver_lhs1" localSheetId="8" hidden="1">'fund-allocation'!$H$19:$M$19</definedName>
    <definedName name="solver_lhs1" localSheetId="9" hidden="1">'fund-simulation-short-term'!$I$19:$N$19</definedName>
    <definedName name="solver_lhs10" localSheetId="9" hidden="1">'fund-simulation-short-term'!#REF!</definedName>
    <definedName name="solver_lhs11" localSheetId="9" hidden="1">'fund-simulation-short-term'!#REF!</definedName>
    <definedName name="solver_lhs12" localSheetId="9" hidden="1">'fund-simulation-short-term'!#REF!</definedName>
    <definedName name="solver_lhs13" localSheetId="9" hidden="1">'fund-simulation-short-term'!#REF!</definedName>
    <definedName name="solver_lhs14" localSheetId="9" hidden="1">'fund-simulation-short-term'!#REF!</definedName>
    <definedName name="solver_lhs15" localSheetId="9" hidden="1">'fund-simulation-short-term'!#REF!</definedName>
    <definedName name="solver_lhs16" localSheetId="9" hidden="1">'fund-simulation-short-term'!#REF!</definedName>
    <definedName name="solver_lhs17" localSheetId="9" hidden="1">'fund-simulation-short-term'!#REF!</definedName>
    <definedName name="solver_lhs18" localSheetId="9" hidden="1">'fund-simulation-short-term'!#REF!</definedName>
    <definedName name="solver_lhs19" localSheetId="9" hidden="1">'fund-simulation-short-term'!#REF!</definedName>
    <definedName name="solver_lhs2" localSheetId="8" hidden="1">'fund-allocation'!$H$19:$M$19</definedName>
    <definedName name="solver_lhs2" localSheetId="9" hidden="1">'fund-simulation-short-term'!$I$19:$N$19</definedName>
    <definedName name="solver_lhs20" localSheetId="9" hidden="1">'fund-simulation-short-term'!#REF!</definedName>
    <definedName name="solver_lhs21" localSheetId="9" hidden="1">'fund-simulation-short-term'!#REF!</definedName>
    <definedName name="solver_lhs22" localSheetId="9" hidden="1">'fund-simulation-short-term'!#REF!</definedName>
    <definedName name="solver_lhs23" localSheetId="9" hidden="1">'fund-simulation-short-term'!#REF!</definedName>
    <definedName name="solver_lhs24" localSheetId="9" hidden="1">'fund-simulation-short-term'!#REF!</definedName>
    <definedName name="solver_lhs25" localSheetId="9" hidden="1">'fund-simulation-short-term'!#REF!</definedName>
    <definedName name="solver_lhs26" localSheetId="9" hidden="1">'fund-simulation-short-term'!#REF!</definedName>
    <definedName name="solver_lhs27" localSheetId="9" hidden="1">'fund-simulation-short-term'!$I$19:$N$19</definedName>
    <definedName name="solver_lhs28" localSheetId="9" hidden="1">'fund-simulation-short-term'!$I$19:$N$19</definedName>
    <definedName name="solver_lhs29" localSheetId="9" hidden="1">'fund-simulation-short-term'!$I$19:$N$19</definedName>
    <definedName name="solver_lhs3" localSheetId="9" hidden="1">'fund-simulation-short-term'!$I$19:$N$19</definedName>
    <definedName name="solver_lhs30" localSheetId="9" hidden="1">'fund-simulation-short-term'!$I$19:$N$19</definedName>
    <definedName name="solver_lhs31" localSheetId="9" hidden="1">'fund-simulation-short-term'!$I$19:$N$19</definedName>
    <definedName name="solver_lhs32" localSheetId="9" hidden="1">'fund-simulation-short-term'!$I$19:$N$19</definedName>
    <definedName name="solver_lhs33" localSheetId="9" hidden="1">'fund-simulation-short-term'!$I$19:$N$19</definedName>
    <definedName name="solver_lhs34" localSheetId="9" hidden="1">'fund-simulation-short-term'!$I$19:$N$19</definedName>
    <definedName name="solver_lhs35" localSheetId="9" hidden="1">'fund-simulation-short-term'!$I$19:$N$19</definedName>
    <definedName name="solver_lhs36" localSheetId="9" hidden="1">'fund-simulation-short-term'!$I$19:$N$19</definedName>
    <definedName name="solver_lhs37" localSheetId="9" hidden="1">'fund-simulation-short-term'!$I$19:$N$19</definedName>
    <definedName name="solver_lhs38" localSheetId="9" hidden="1">'fund-simulation-short-term'!$I$19:$N$19</definedName>
    <definedName name="solver_lhs4" localSheetId="9" hidden="1">'fund-simulation-short-term'!$I$19:$N$19</definedName>
    <definedName name="solver_lhs5" localSheetId="8" hidden="1">'fund-allocation'!$E$7:$E$18</definedName>
    <definedName name="solver_lhs5" localSheetId="9" hidden="1">'fund-simulation-short-term'!#REF!</definedName>
    <definedName name="solver_lhs6" localSheetId="8" hidden="1">'fund-allocation'!$H$19:$M$19</definedName>
    <definedName name="solver_lhs6" localSheetId="9" hidden="1">'fund-simulation-short-term'!#REF!</definedName>
    <definedName name="solver_lhs7" localSheetId="9" hidden="1">'fund-simulation-short-term'!#REF!</definedName>
    <definedName name="solver_lhs8" localSheetId="9" hidden="1">'fund-simulation-short-term'!#REF!</definedName>
    <definedName name="solver_lhs9" localSheetId="9" hidden="1">'fund-simulation-short-term'!#REF!</definedName>
    <definedName name="solver_lin" localSheetId="8" hidden="1">2</definedName>
    <definedName name="solver_loc" localSheetId="8" hidden="1">4</definedName>
    <definedName name="solver_log" localSheetId="8" hidden="1">1</definedName>
    <definedName name="solver_lpp" localSheetId="8" hidden="1">0</definedName>
    <definedName name="solver_lpt" localSheetId="8" hidden="1">0</definedName>
    <definedName name="solver_lva" localSheetId="8" hidden="1">0</definedName>
    <definedName name="solver_mda" localSheetId="8" hidden="1">4</definedName>
    <definedName name="solver_met" localSheetId="8" hidden="1">1</definedName>
    <definedName name="solver_mip" localSheetId="8" hidden="1">2147483647</definedName>
    <definedName name="solver_mip" localSheetId="9" hidden="1">2147483647</definedName>
    <definedName name="solver_mni" localSheetId="8" hidden="1">30</definedName>
    <definedName name="solver_mni" localSheetId="9" hidden="1">30</definedName>
    <definedName name="solver_mod" localSheetId="8" hidden="1">1</definedName>
    <definedName name="solver_mrt" localSheetId="8" hidden="1">0.075</definedName>
    <definedName name="solver_mrt" localSheetId="9" hidden="1">0.075</definedName>
    <definedName name="solver_msl" localSheetId="8" hidden="1">2</definedName>
    <definedName name="solver_msl" localSheetId="9" hidden="1">2</definedName>
    <definedName name="solver_neg" localSheetId="8" hidden="1">1</definedName>
    <definedName name="solver_neg" localSheetId="9" hidden="1">1</definedName>
    <definedName name="solver_nod" localSheetId="8" hidden="1">2147483647</definedName>
    <definedName name="solver_nod" localSheetId="9" hidden="1">2147483647</definedName>
    <definedName name="solver_nopt" localSheetId="8" hidden="1">1</definedName>
    <definedName name="solver_nsim" hidden="1">1</definedName>
    <definedName name="solver_ntr" localSheetId="8" hidden="1">0</definedName>
    <definedName name="solver_ntri" hidden="1">1000</definedName>
    <definedName name="solver_num" localSheetId="8" hidden="1">1</definedName>
    <definedName name="solver_num" localSheetId="9" hidden="1">4</definedName>
    <definedName name="solver_nwt" localSheetId="8" hidden="1">1</definedName>
    <definedName name="solver_nwt" localSheetId="9" hidden="1">1</definedName>
    <definedName name="solver_ofx" localSheetId="8" hidden="1">2</definedName>
    <definedName name="solver_opt" localSheetId="8" hidden="1">'fund-allocation'!$E$19</definedName>
    <definedName name="solver_opt" localSheetId="9" hidden="1">'fund-simulation-short-term'!$F$19</definedName>
    <definedName name="solver_piv" localSheetId="8" hidden="1">0.000001</definedName>
    <definedName name="solver_pre" localSheetId="8" hidden="1">0.000001</definedName>
    <definedName name="solver_pre" localSheetId="9" hidden="1">0.000001</definedName>
    <definedName name="solver_pro" localSheetId="8" hidden="1">2</definedName>
    <definedName name="solver_psi" localSheetId="8" hidden="1">0</definedName>
    <definedName name="solver_rbv" localSheetId="8" hidden="1">1</definedName>
    <definedName name="solver_rbv" localSheetId="9" hidden="1">2</definedName>
    <definedName name="solver_rdp" localSheetId="8" hidden="1">1</definedName>
    <definedName name="solver_red" localSheetId="8" hidden="1">0.000001</definedName>
    <definedName name="solver_rel1" localSheetId="8" hidden="1">2</definedName>
    <definedName name="solver_rel1" localSheetId="9" hidden="1">2</definedName>
    <definedName name="solver_rel10" localSheetId="9" hidden="1">2</definedName>
    <definedName name="solver_rel11" localSheetId="9" hidden="1">2</definedName>
    <definedName name="solver_rel12" localSheetId="9" hidden="1">2</definedName>
    <definedName name="solver_rel13" localSheetId="9" hidden="1">2</definedName>
    <definedName name="solver_rel14" localSheetId="9" hidden="1">2</definedName>
    <definedName name="solver_rel15" localSheetId="9" hidden="1">2</definedName>
    <definedName name="solver_rel16" localSheetId="9" hidden="1">2</definedName>
    <definedName name="solver_rel17" localSheetId="9" hidden="1">2</definedName>
    <definedName name="solver_rel18" localSheetId="9" hidden="1">2</definedName>
    <definedName name="solver_rel19" localSheetId="9" hidden="1">2</definedName>
    <definedName name="solver_rel2" localSheetId="8" hidden="1">2</definedName>
    <definedName name="solver_rel2" localSheetId="9" hidden="1">2</definedName>
    <definedName name="solver_rel20" localSheetId="9" hidden="1">2</definedName>
    <definedName name="solver_rel21" localSheetId="9" hidden="1">2</definedName>
    <definedName name="solver_rel22" localSheetId="9" hidden="1">2</definedName>
    <definedName name="solver_rel23" localSheetId="9" hidden="1">2</definedName>
    <definedName name="solver_rel24" localSheetId="9" hidden="1">2</definedName>
    <definedName name="solver_rel25" localSheetId="9" hidden="1">2</definedName>
    <definedName name="solver_rel26" localSheetId="9" hidden="1">2</definedName>
    <definedName name="solver_rel27" localSheetId="9" hidden="1">2</definedName>
    <definedName name="solver_rel28" localSheetId="9" hidden="1">2</definedName>
    <definedName name="solver_rel29" localSheetId="9" hidden="1">2</definedName>
    <definedName name="solver_rel3" localSheetId="9" hidden="1">2</definedName>
    <definedName name="solver_rel30" localSheetId="9" hidden="1">2</definedName>
    <definedName name="solver_rel31" localSheetId="9" hidden="1">2</definedName>
    <definedName name="solver_rel32" localSheetId="9" hidden="1">2</definedName>
    <definedName name="solver_rel33" localSheetId="9" hidden="1">2</definedName>
    <definedName name="solver_rel34" localSheetId="9" hidden="1">2</definedName>
    <definedName name="solver_rel35" localSheetId="9" hidden="1">2</definedName>
    <definedName name="solver_rel36" localSheetId="9" hidden="1">2</definedName>
    <definedName name="solver_rel37" localSheetId="9" hidden="1">2</definedName>
    <definedName name="solver_rel38" localSheetId="9" hidden="1">2</definedName>
    <definedName name="solver_rel4" localSheetId="9" hidden="1">2</definedName>
    <definedName name="solver_rel5" localSheetId="8" hidden="1">3</definedName>
    <definedName name="solver_rel5" localSheetId="9" hidden="1">2</definedName>
    <definedName name="solver_rel6" localSheetId="8" hidden="1">2</definedName>
    <definedName name="solver_rel6" localSheetId="9" hidden="1">2</definedName>
    <definedName name="solver_rel7" localSheetId="9" hidden="1">2</definedName>
    <definedName name="solver_rel8" localSheetId="9" hidden="1">2</definedName>
    <definedName name="solver_rel9" localSheetId="9" hidden="1">2</definedName>
    <definedName name="solver_reo" localSheetId="8" hidden="1">2</definedName>
    <definedName name="solver_rep" localSheetId="8" hidden="1">0</definedName>
    <definedName name="solver_res" localSheetId="8" hidden="1">0.05</definedName>
    <definedName name="solver_rhs1" localSheetId="8" hidden="1">'fund-allocation'!$H$20:$M$20</definedName>
    <definedName name="solver_rhs1" localSheetId="9" hidden="1">'fund-simulation-short-term'!$I$20:$N$20</definedName>
    <definedName name="solver_rhs10" localSheetId="9" hidden="1">'fund-simulation-short-term'!#REF!</definedName>
    <definedName name="solver_rhs11" localSheetId="9" hidden="1">'fund-simulation-short-term'!#REF!</definedName>
    <definedName name="solver_rhs12" localSheetId="9" hidden="1">'fund-simulation-short-term'!#REF!</definedName>
    <definedName name="solver_rhs13" localSheetId="9" hidden="1">'fund-simulation-short-term'!#REF!</definedName>
    <definedName name="solver_rhs14" localSheetId="9" hidden="1">'fund-simulation-short-term'!#REF!</definedName>
    <definedName name="solver_rhs15" localSheetId="9" hidden="1">'fund-simulation-short-term'!#REF!</definedName>
    <definedName name="solver_rhs16" localSheetId="9" hidden="1">'fund-simulation-short-term'!#REF!</definedName>
    <definedName name="solver_rhs17" localSheetId="9" hidden="1">'fund-simulation-short-term'!#REF!</definedName>
    <definedName name="solver_rhs18" localSheetId="9" hidden="1">'fund-simulation-short-term'!#REF!</definedName>
    <definedName name="solver_rhs19" localSheetId="9" hidden="1">'fund-simulation-short-term'!#REF!</definedName>
    <definedName name="solver_rhs2" localSheetId="8" hidden="1">'fund-allocation'!$H$20:$M$20</definedName>
    <definedName name="solver_rhs2" localSheetId="9" hidden="1">claims_constraint</definedName>
    <definedName name="solver_rhs20" localSheetId="9" hidden="1">'fund-simulation-short-term'!#REF!</definedName>
    <definedName name="solver_rhs21" localSheetId="9" hidden="1">'fund-simulation-short-term'!#REF!</definedName>
    <definedName name="solver_rhs22" localSheetId="9" hidden="1">'fund-simulation-short-term'!#REF!</definedName>
    <definedName name="solver_rhs23" localSheetId="9" hidden="1">'fund-simulation-short-term'!#REF!</definedName>
    <definedName name="solver_rhs24" localSheetId="9" hidden="1">'fund-simulation-short-term'!#REF!</definedName>
    <definedName name="solver_rhs25" localSheetId="9" hidden="1">'fund-simulation-short-term'!#REF!</definedName>
    <definedName name="solver_rhs26" localSheetId="9" hidden="1">'fund-simulation-short-term'!#REF!</definedName>
    <definedName name="solver_rhs27" localSheetId="9" hidden="1">'fund-simulation-short-term'!$I$20:$N$20</definedName>
    <definedName name="solver_rhs28" localSheetId="9" hidden="1">'fund-simulation-short-term'!$I$20:$N$20</definedName>
    <definedName name="solver_rhs29" localSheetId="9" hidden="1">'fund-simulation-short-term'!$I$20:$N$20</definedName>
    <definedName name="solver_rhs3" localSheetId="9" hidden="1">claims_constraint</definedName>
    <definedName name="solver_rhs30" localSheetId="9" hidden="1">'fund-simulation-short-term'!$I$20:$N$20</definedName>
    <definedName name="solver_rhs31" localSheetId="9" hidden="1">'fund-simulation-short-term'!$I$20:$N$20</definedName>
    <definedName name="solver_rhs32" localSheetId="9" hidden="1">'fund-simulation-short-term'!$I$20:$N$20</definedName>
    <definedName name="solver_rhs33" localSheetId="9" hidden="1">'fund-simulation-short-term'!$I$20:$N$20</definedName>
    <definedName name="solver_rhs34" localSheetId="9" hidden="1">'fund-simulation-short-term'!$I$20:$N$20</definedName>
    <definedName name="solver_rhs35" localSheetId="9" hidden="1">'fund-simulation-short-term'!$I$20:$N$20</definedName>
    <definedName name="solver_rhs36" localSheetId="9" hidden="1">'fund-simulation-short-term'!$I$20:$N$20</definedName>
    <definedName name="solver_rhs37" localSheetId="9" hidden="1">'fund-simulation-short-term'!$I$20:$N$20</definedName>
    <definedName name="solver_rhs38" localSheetId="9" hidden="1">'fund-simulation-short-term'!$I$20:$N$20</definedName>
    <definedName name="solver_rhs4" localSheetId="9" hidden="1">claims_constraint</definedName>
    <definedName name="solver_rhs5" localSheetId="8" hidden="1">0</definedName>
    <definedName name="solver_rhs5" localSheetId="9" hidden="1">'fund-simulation-short-term'!#REF!</definedName>
    <definedName name="solver_rhs6" localSheetId="8" hidden="1">'fund-allocation'!$H$20:$M$20</definedName>
    <definedName name="solver_rhs6" localSheetId="9" hidden="1">'fund-simulation-short-term'!#REF!</definedName>
    <definedName name="solver_rhs7" localSheetId="9" hidden="1">'fund-simulation-short-term'!#REF!</definedName>
    <definedName name="solver_rhs8" localSheetId="9" hidden="1">'fund-simulation-short-term'!#REF!</definedName>
    <definedName name="solver_rhs9" localSheetId="9" hidden="1">'fund-simulation-short-term'!#REF!</definedName>
    <definedName name="solver_rlx" localSheetId="8" hidden="1">2</definedName>
    <definedName name="solver_rlx" localSheetId="9" hidden="1">2</definedName>
    <definedName name="solver_rsd" localSheetId="8" hidden="1">0</definedName>
    <definedName name="solver_rsd" localSheetId="9" hidden="1">0</definedName>
    <definedName name="solver_rsmp" hidden="1">2</definedName>
    <definedName name="solver_rtr" localSheetId="8" hidden="1">0</definedName>
    <definedName name="solver_rxc1" localSheetId="8" hidden="1">1</definedName>
    <definedName name="solver_rxc2" localSheetId="8" hidden="1">1</definedName>
    <definedName name="solver_rxc5" localSheetId="8" hidden="1">1</definedName>
    <definedName name="solver_rxc6" localSheetId="8" hidden="1">1</definedName>
    <definedName name="solver_scl" localSheetId="8" hidden="1">1</definedName>
    <definedName name="solver_scl" localSheetId="9" hidden="1">2</definedName>
    <definedName name="solver_seed" hidden="1">0</definedName>
    <definedName name="solver_sel" localSheetId="8" hidden="1">1</definedName>
    <definedName name="solver_sho" localSheetId="8" hidden="1">2</definedName>
    <definedName name="solver_sho" localSheetId="9" hidden="1">2</definedName>
    <definedName name="solver_slv" localSheetId="8" hidden="1">0</definedName>
    <definedName name="solver_slvu" localSheetId="8" hidden="1">0</definedName>
    <definedName name="solver_soc" localSheetId="8" hidden="1">0</definedName>
    <definedName name="solver_ssz" localSheetId="8" hidden="1">100</definedName>
    <definedName name="solver_ssz" localSheetId="9" hidden="1">100</definedName>
    <definedName name="solver_sta" localSheetId="8" hidden="1">0</definedName>
    <definedName name="solver_std" localSheetId="8" hidden="1">0</definedName>
    <definedName name="solver_sthr" hidden="1">0</definedName>
    <definedName name="solver_thr" localSheetId="8" hidden="1">0</definedName>
    <definedName name="solver_tim" localSheetId="8" hidden="1">2147483647</definedName>
    <definedName name="solver_tim" localSheetId="9" hidden="1">2147483647</definedName>
    <definedName name="solver_tms" localSheetId="8" hidden="1">0</definedName>
    <definedName name="solver_tol" localSheetId="8" hidden="1">0.01</definedName>
    <definedName name="solver_tol" localSheetId="9" hidden="1">0.01</definedName>
    <definedName name="solver_tree_a" localSheetId="8" hidden="1">1</definedName>
    <definedName name="solver_tree_b" localSheetId="8" hidden="1">1</definedName>
    <definedName name="solver_tree_ce" localSheetId="8" hidden="1">1</definedName>
    <definedName name="solver_tree_dn" localSheetId="8" hidden="1">1</definedName>
    <definedName name="solver_tree_rt" localSheetId="8" hidden="1">999999999999</definedName>
    <definedName name="solver_typ" localSheetId="8" hidden="1">2</definedName>
    <definedName name="solver_typ" localSheetId="9" hidden="1">2</definedName>
    <definedName name="solver_ubigm" localSheetId="8" hidden="1">1000000</definedName>
    <definedName name="solver_ucens" hidden="1">1E+30</definedName>
    <definedName name="solver_ucut" hidden="1">1E+30</definedName>
    <definedName name="solver_umod" localSheetId="8" hidden="1">1</definedName>
    <definedName name="solver_urs" localSheetId="8" hidden="1">0</definedName>
    <definedName name="solver_val" localSheetId="8" hidden="1">0</definedName>
    <definedName name="solver_val" localSheetId="9" hidden="1">0</definedName>
    <definedName name="solver_ver" localSheetId="8" hidden="1">3</definedName>
    <definedName name="solver_ver" localSheetId="9" hidden="1">3</definedName>
    <definedName name="solver_vol" localSheetId="8" hidden="1">0</definedName>
    <definedName name="sum">'grid-approx'!$T$3</definedName>
    <definedName name="sum_pmf">'eda-sim-short-term'!$N$24</definedName>
    <definedName name="sum_pr_xi_sigma">'xi-sigma-sim'!$L$9</definedName>
    <definedName name="Toggle">[2]!Toggle</definedName>
    <definedName name="u">'mean-excess-over-threshold'!$V$3:$V$14</definedName>
    <definedName name="wages">data!$F$3:$F$14</definedName>
    <definedName name="width_mu">'eda-sim-short-term'!$C$7</definedName>
    <definedName name="width_mu_h">'grid-setup'!$C$6</definedName>
    <definedName name="width_sigma_h">'grid-setup'!$C$13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" i="14" l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B6" i="14"/>
  <c r="H11" i="11"/>
  <c r="G8" i="11"/>
  <c r="C39" i="11" l="1"/>
  <c r="C38" i="11"/>
  <c r="C37" i="11"/>
  <c r="C36" i="11"/>
  <c r="C35" i="11"/>
  <c r="C34" i="11"/>
  <c r="C33" i="11"/>
  <c r="C32" i="11"/>
  <c r="C31" i="11"/>
  <c r="C30" i="11"/>
  <c r="C29" i="11"/>
  <c r="C28" i="11"/>
  <c r="AA4" i="8"/>
  <c r="T3" i="12"/>
  <c r="B7" i="12"/>
  <c r="T6" i="12"/>
  <c r="C6" i="12"/>
  <c r="T5" i="12"/>
  <c r="B5" i="12"/>
  <c r="G4" i="12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3" i="12"/>
  <c r="B3" i="12"/>
  <c r="N26" i="12"/>
  <c r="E20" i="12"/>
  <c r="O26" i="12"/>
  <c r="H26" i="12"/>
  <c r="E14" i="12"/>
  <c r="E13" i="12"/>
  <c r="K28" i="12"/>
  <c r="E18" i="12"/>
  <c r="E10" i="12"/>
  <c r="E8" i="12"/>
  <c r="J26" i="12"/>
  <c r="E15" i="12"/>
  <c r="E4" i="12"/>
  <c r="I28" i="12"/>
  <c r="E19" i="12"/>
  <c r="E11" i="12"/>
  <c r="M26" i="12"/>
  <c r="E7" i="12"/>
  <c r="E16" i="12"/>
  <c r="G28" i="12"/>
  <c r="E17" i="12"/>
  <c r="K26" i="12"/>
  <c r="G26" i="12"/>
  <c r="E6" i="12"/>
  <c r="I26" i="12"/>
  <c r="C12" i="12"/>
  <c r="P26" i="12"/>
  <c r="L26" i="12"/>
  <c r="E5" i="12"/>
  <c r="H28" i="12"/>
  <c r="E21" i="12"/>
  <c r="E12" i="12"/>
  <c r="P28" i="12"/>
  <c r="B6" i="12" l="1"/>
  <c r="B4" i="12"/>
  <c r="C10" i="12"/>
  <c r="B8" i="12"/>
  <c r="C4" i="12"/>
  <c r="C13" i="12"/>
  <c r="C5" i="12"/>
  <c r="C14" i="12"/>
  <c r="H3" i="12" l="1"/>
  <c r="C16" i="12"/>
  <c r="C7" i="12"/>
  <c r="B18" i="12"/>
  <c r="B17" i="12"/>
  <c r="C18" i="12"/>
  <c r="C11" i="12"/>
  <c r="C20" i="12"/>
  <c r="C15" i="12"/>
  <c r="C21" i="12"/>
  <c r="C19" i="12"/>
  <c r="C17" i="12"/>
  <c r="I3" i="12" l="1"/>
  <c r="H4" i="12" s="1"/>
  <c r="J3" i="12" l="1"/>
  <c r="I4" i="12"/>
  <c r="H5" i="12" s="1"/>
  <c r="K3" i="12"/>
  <c r="J4" i="12" l="1"/>
  <c r="I5" i="12"/>
  <c r="H6" i="12" s="1"/>
  <c r="K4" i="12"/>
  <c r="J5" i="12" l="1"/>
  <c r="I6" i="12"/>
  <c r="H7" i="12" s="1"/>
  <c r="K6" i="12"/>
  <c r="K5" i="12"/>
  <c r="J6" i="12" l="1"/>
  <c r="I7" i="12"/>
  <c r="H8" i="12" s="1"/>
  <c r="J7" i="12" l="1"/>
  <c r="I8" i="12"/>
  <c r="H9" i="12" s="1"/>
  <c r="K7" i="12"/>
  <c r="J8" i="12" l="1"/>
  <c r="I9" i="12"/>
  <c r="H10" i="12" s="1"/>
  <c r="K8" i="12"/>
  <c r="J9" i="12" l="1"/>
  <c r="I10" i="12"/>
  <c r="H11" i="12" s="1"/>
  <c r="K9" i="12"/>
  <c r="J10" i="12" l="1"/>
  <c r="I11" i="12"/>
  <c r="H12" i="12" s="1"/>
  <c r="K10" i="12"/>
  <c r="J11" i="12" l="1"/>
  <c r="I12" i="12"/>
  <c r="H13" i="12" s="1"/>
  <c r="K11" i="12"/>
  <c r="J12" i="12" l="1"/>
  <c r="I13" i="12"/>
  <c r="H14" i="12" s="1"/>
  <c r="K12" i="12"/>
  <c r="J13" i="12" l="1"/>
  <c r="I14" i="12"/>
  <c r="H15" i="12" s="1"/>
  <c r="K14" i="12"/>
  <c r="K13" i="12"/>
  <c r="J14" i="12" l="1"/>
  <c r="I15" i="12"/>
  <c r="H16" i="12" s="1"/>
  <c r="J15" i="12" l="1"/>
  <c r="I16" i="12"/>
  <c r="H17" i="12" s="1"/>
  <c r="A9" i="9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8" i="9"/>
  <c r="S20" i="11"/>
  <c r="T3" i="9"/>
  <c r="T6" i="9" s="1"/>
  <c r="S3" i="9"/>
  <c r="S6" i="9" s="1"/>
  <c r="R3" i="9"/>
  <c r="R6" i="9" s="1"/>
  <c r="Q3" i="9"/>
  <c r="Q6" i="9" s="1"/>
  <c r="P3" i="9"/>
  <c r="P6" i="9" s="1"/>
  <c r="O3" i="9"/>
  <c r="O6" i="9" s="1"/>
  <c r="W33" i="11"/>
  <c r="V33" i="11"/>
  <c r="U33" i="11"/>
  <c r="T33" i="11"/>
  <c r="S33" i="11"/>
  <c r="R33" i="11"/>
  <c r="E33" i="11" a="1"/>
  <c r="E33" i="11" s="1"/>
  <c r="B3" i="9" s="1"/>
  <c r="B6" i="9" s="1"/>
  <c r="J31" i="11"/>
  <c r="T4" i="9" s="1"/>
  <c r="I31" i="11"/>
  <c r="S4" i="9" s="1"/>
  <c r="H31" i="11"/>
  <c r="R4" i="9" s="1"/>
  <c r="G31" i="11"/>
  <c r="Q4" i="9" s="1"/>
  <c r="F31" i="11"/>
  <c r="P4" i="9" s="1"/>
  <c r="E31" i="11"/>
  <c r="O4" i="9" s="1"/>
  <c r="I6" i="11"/>
  <c r="J6" i="11" s="1"/>
  <c r="K6" i="11" s="1"/>
  <c r="L6" i="11" s="1"/>
  <c r="M6" i="11" s="1"/>
  <c r="H6" i="11"/>
  <c r="K15" i="12"/>
  <c r="E32" i="11"/>
  <c r="B28" i="11"/>
  <c r="E35" i="11"/>
  <c r="E30" i="11"/>
  <c r="P19" i="11"/>
  <c r="V6" i="9"/>
  <c r="K16" i="12"/>
  <c r="E34" i="11"/>
  <c r="V4" i="9"/>
  <c r="R35" i="11"/>
  <c r="V3" i="9"/>
  <c r="J16" i="12" l="1"/>
  <c r="I17" i="12"/>
  <c r="H18" i="12" s="1"/>
  <c r="H33" i="11"/>
  <c r="E3" i="9" s="1"/>
  <c r="E6" i="9" s="1"/>
  <c r="O33" i="11"/>
  <c r="L3" i="9" s="1"/>
  <c r="L6" i="9" s="1"/>
  <c r="F33" i="11"/>
  <c r="C3" i="9" s="1"/>
  <c r="C6" i="9" s="1"/>
  <c r="L33" i="11"/>
  <c r="I3" i="9" s="1"/>
  <c r="I6" i="9" s="1"/>
  <c r="K33" i="11"/>
  <c r="H3" i="9" s="1"/>
  <c r="H6" i="9" s="1"/>
  <c r="J33" i="11"/>
  <c r="G3" i="9" s="1"/>
  <c r="G6" i="9" s="1"/>
  <c r="Q33" i="11"/>
  <c r="N3" i="9" s="1"/>
  <c r="N6" i="9" s="1"/>
  <c r="I33" i="11"/>
  <c r="F3" i="9" s="1"/>
  <c r="F6" i="9" s="1"/>
  <c r="P33" i="11"/>
  <c r="M3" i="9" s="1"/>
  <c r="M6" i="9" s="1"/>
  <c r="G33" i="11"/>
  <c r="D3" i="9" s="1"/>
  <c r="D6" i="9" s="1"/>
  <c r="N33" i="11"/>
  <c r="K3" i="9" s="1"/>
  <c r="K6" i="9" s="1"/>
  <c r="M33" i="11"/>
  <c r="J3" i="9" s="1"/>
  <c r="J6" i="9" s="1"/>
  <c r="K17" i="12"/>
  <c r="B3" i="13" l="1" a="1"/>
  <c r="B15" i="13" s="1"/>
  <c r="J17" i="12"/>
  <c r="I18" i="12"/>
  <c r="H19" i="12" s="1"/>
  <c r="E19" i="11"/>
  <c r="E29" i="11" s="1" a="1"/>
  <c r="M18" i="11"/>
  <c r="L18" i="11"/>
  <c r="K18" i="11"/>
  <c r="J18" i="11"/>
  <c r="I18" i="11"/>
  <c r="G18" i="11"/>
  <c r="M17" i="11"/>
  <c r="L17" i="11"/>
  <c r="K17" i="11"/>
  <c r="J17" i="11"/>
  <c r="I17" i="11"/>
  <c r="G17" i="11"/>
  <c r="M16" i="11"/>
  <c r="L16" i="11"/>
  <c r="K16" i="11"/>
  <c r="J16" i="11"/>
  <c r="I16" i="11"/>
  <c r="G16" i="11"/>
  <c r="M15" i="11"/>
  <c r="L15" i="11"/>
  <c r="K15" i="11"/>
  <c r="J15" i="11"/>
  <c r="I15" i="11"/>
  <c r="H15" i="11"/>
  <c r="G15" i="11"/>
  <c r="M14" i="11"/>
  <c r="L14" i="11"/>
  <c r="K14" i="11"/>
  <c r="J14" i="11"/>
  <c r="I14" i="11"/>
  <c r="H14" i="11"/>
  <c r="G14" i="11"/>
  <c r="M13" i="11"/>
  <c r="L13" i="11"/>
  <c r="K13" i="11"/>
  <c r="J13" i="11"/>
  <c r="I13" i="11"/>
  <c r="H13" i="11"/>
  <c r="G13" i="11"/>
  <c r="M12" i="11"/>
  <c r="L12" i="11"/>
  <c r="K12" i="11"/>
  <c r="J12" i="11"/>
  <c r="I12" i="11"/>
  <c r="G12" i="11"/>
  <c r="M11" i="11"/>
  <c r="L11" i="11"/>
  <c r="K11" i="11"/>
  <c r="J11" i="11"/>
  <c r="I11" i="11"/>
  <c r="G11" i="11"/>
  <c r="M10" i="11"/>
  <c r="L10" i="11"/>
  <c r="K10" i="11"/>
  <c r="J10" i="11"/>
  <c r="I10" i="11"/>
  <c r="H10" i="11"/>
  <c r="G10" i="11"/>
  <c r="M9" i="11"/>
  <c r="L9" i="11"/>
  <c r="K9" i="11"/>
  <c r="J9" i="11"/>
  <c r="I9" i="11"/>
  <c r="G9" i="11"/>
  <c r="M8" i="11"/>
  <c r="L8" i="11"/>
  <c r="K8" i="11"/>
  <c r="J8" i="11"/>
  <c r="I8" i="11"/>
  <c r="M7" i="11"/>
  <c r="L7" i="11"/>
  <c r="K7" i="11"/>
  <c r="J7" i="11"/>
  <c r="I7" i="11"/>
  <c r="H7" i="11"/>
  <c r="G7" i="11"/>
  <c r="H16" i="11"/>
  <c r="U5" i="8"/>
  <c r="U6" i="8"/>
  <c r="U7" i="8" s="1"/>
  <c r="U8" i="8" s="1"/>
  <c r="U9" i="8" s="1"/>
  <c r="O7" i="11"/>
  <c r="K18" i="12"/>
  <c r="O6" i="11"/>
  <c r="S19" i="11"/>
  <c r="O10" i="11"/>
  <c r="B8" i="13" l="1"/>
  <c r="B6" i="13"/>
  <c r="B13" i="13"/>
  <c r="B17" i="13"/>
  <c r="B12" i="13"/>
  <c r="B11" i="13"/>
  <c r="B18" i="13"/>
  <c r="B7" i="13"/>
  <c r="B14" i="13"/>
  <c r="B20" i="13"/>
  <c r="B10" i="13"/>
  <c r="B19" i="13"/>
  <c r="B5" i="13"/>
  <c r="B3" i="13"/>
  <c r="B4" i="13"/>
  <c r="B16" i="13"/>
  <c r="B9" i="13"/>
  <c r="J18" i="12"/>
  <c r="I19" i="12"/>
  <c r="H20" i="12" s="1"/>
  <c r="F29" i="11"/>
  <c r="C4" i="9" s="1"/>
  <c r="I29" i="11"/>
  <c r="F4" i="9" s="1"/>
  <c r="O29" i="11"/>
  <c r="L4" i="9" s="1"/>
  <c r="H29" i="11"/>
  <c r="E4" i="9" s="1"/>
  <c r="E29" i="11"/>
  <c r="B4" i="9" s="1"/>
  <c r="P29" i="11"/>
  <c r="M4" i="9" s="1"/>
  <c r="L29" i="11"/>
  <c r="I4" i="9" s="1"/>
  <c r="J29" i="11"/>
  <c r="G4" i="9" s="1"/>
  <c r="G29" i="11"/>
  <c r="D4" i="9" s="1"/>
  <c r="Q29" i="11"/>
  <c r="N4" i="9" s="1"/>
  <c r="N29" i="11"/>
  <c r="K4" i="9" s="1"/>
  <c r="M29" i="11"/>
  <c r="J4" i="9" s="1"/>
  <c r="K29" i="11"/>
  <c r="H4" i="9" s="1"/>
  <c r="I19" i="11"/>
  <c r="J19" i="11"/>
  <c r="M19" i="11"/>
  <c r="K19" i="11"/>
  <c r="L19" i="11"/>
  <c r="H12" i="11"/>
  <c r="H18" i="11"/>
  <c r="H9" i="11"/>
  <c r="H17" i="11"/>
  <c r="H8" i="11"/>
  <c r="H19" i="11" l="1"/>
  <c r="J19" i="12"/>
  <c r="I20" i="12"/>
  <c r="H21" i="12" s="1"/>
  <c r="K19" i="12"/>
  <c r="K20" i="12"/>
  <c r="J20" i="12" l="1"/>
  <c r="I21" i="12"/>
  <c r="H22" i="12" s="1"/>
  <c r="K21" i="12"/>
  <c r="J21" i="12" l="1"/>
  <c r="I22" i="12"/>
  <c r="H23" i="12" s="1"/>
  <c r="S4" i="8"/>
  <c r="M12" i="8"/>
  <c r="D12" i="8"/>
  <c r="S8" i="8"/>
  <c r="B12" i="8"/>
  <c r="S6" i="8"/>
  <c r="H12" i="8"/>
  <c r="S3" i="8"/>
  <c r="C12" i="8"/>
  <c r="E12" i="8"/>
  <c r="S5" i="8"/>
  <c r="N12" i="8"/>
  <c r="W12" i="8"/>
  <c r="G12" i="8"/>
  <c r="V12" i="8"/>
  <c r="L12" i="8"/>
  <c r="J12" i="8"/>
  <c r="I12" i="8"/>
  <c r="S7" i="8"/>
  <c r="Y12" i="8"/>
  <c r="J22" i="12" l="1"/>
  <c r="I23" i="12"/>
  <c r="J23" i="12" s="1"/>
  <c r="K22" i="12"/>
  <c r="C18" i="6" l="1"/>
  <c r="E14" i="6"/>
  <c r="E13" i="6"/>
  <c r="E12" i="6"/>
  <c r="E11" i="6"/>
  <c r="E10" i="6"/>
  <c r="E9" i="6"/>
  <c r="E8" i="6"/>
  <c r="E7" i="6"/>
  <c r="E6" i="6"/>
  <c r="E5" i="6"/>
  <c r="E4" i="6"/>
  <c r="E3" i="6"/>
  <c r="V3" i="6"/>
  <c r="V4" i="6" s="1"/>
  <c r="V5" i="6" s="1"/>
  <c r="T6" i="6"/>
  <c r="E2" i="6"/>
  <c r="B4" i="4"/>
  <c r="I3" i="4"/>
  <c r="B3" i="8" s="1"/>
  <c r="V19" i="6"/>
  <c r="F19" i="6"/>
  <c r="C34" i="5"/>
  <c r="G21" i="6"/>
  <c r="G19" i="6"/>
  <c r="C17" i="2"/>
  <c r="K23" i="12"/>
  <c r="G23" i="6"/>
  <c r="D34" i="5"/>
  <c r="C19" i="2"/>
  <c r="C18" i="2"/>
  <c r="C8" i="12" l="1"/>
  <c r="V6" i="6"/>
  <c r="V7" i="6" s="1"/>
  <c r="V8" i="6" s="1"/>
  <c r="V9" i="6" s="1"/>
  <c r="V10" i="6" s="1"/>
  <c r="V11" i="6" s="1"/>
  <c r="V12" i="6" s="1"/>
  <c r="V13" i="6" s="1"/>
  <c r="V14" i="6" s="1"/>
  <c r="F15" i="6" a="1"/>
  <c r="H15" i="6" s="1"/>
  <c r="H3" i="6" s="1"/>
  <c r="G4" i="5" a="1"/>
  <c r="H4" i="5" s="1"/>
  <c r="T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C3" i="2"/>
  <c r="C13" i="3"/>
  <c r="C6" i="3"/>
  <c r="E10" i="3"/>
  <c r="D5" i="5" s="1"/>
  <c r="E9" i="3"/>
  <c r="E3" i="3"/>
  <c r="C5" i="5" s="1"/>
  <c r="E2" i="3"/>
  <c r="B6" i="3"/>
  <c r="B5" i="3"/>
  <c r="B4" i="3"/>
  <c r="B3" i="3"/>
  <c r="B13" i="3"/>
  <c r="B12" i="3"/>
  <c r="B11" i="3"/>
  <c r="B10" i="3"/>
  <c r="F16" i="4"/>
  <c r="T31" i="5"/>
  <c r="C11" i="2"/>
  <c r="T33" i="5"/>
  <c r="C7" i="2"/>
  <c r="C10" i="2"/>
  <c r="C31" i="5"/>
  <c r="D12" i="4"/>
  <c r="D31" i="5"/>
  <c r="C12" i="4"/>
  <c r="G31" i="5"/>
  <c r="C4" i="2"/>
  <c r="D14" i="4"/>
  <c r="C8" i="2"/>
  <c r="I16" i="4"/>
  <c r="C5" i="2"/>
  <c r="F31" i="5"/>
  <c r="C6" i="2"/>
  <c r="W34" i="5"/>
  <c r="U31" i="5"/>
  <c r="E31" i="5"/>
  <c r="S31" i="5"/>
  <c r="M31" i="5"/>
  <c r="L3" i="12" l="1"/>
  <c r="M3" i="12" s="1"/>
  <c r="L4" i="12"/>
  <c r="L5" i="12"/>
  <c r="L6" i="12"/>
  <c r="L7" i="12"/>
  <c r="L8" i="12"/>
  <c r="L9" i="12"/>
  <c r="L10" i="12"/>
  <c r="L11" i="12"/>
  <c r="L12" i="12"/>
  <c r="L14" i="12"/>
  <c r="L13" i="12"/>
  <c r="L15" i="12"/>
  <c r="L16" i="12"/>
  <c r="L17" i="12"/>
  <c r="L18" i="12"/>
  <c r="L19" i="12"/>
  <c r="L20" i="12"/>
  <c r="L21" i="12"/>
  <c r="L22" i="12"/>
  <c r="L23" i="12"/>
  <c r="J15" i="6"/>
  <c r="J8" i="6" s="1"/>
  <c r="M15" i="6"/>
  <c r="M7" i="6" s="1"/>
  <c r="F15" i="6"/>
  <c r="G15" i="6"/>
  <c r="G13" i="6" s="1"/>
  <c r="I15" i="6"/>
  <c r="I10" i="6" s="1"/>
  <c r="O15" i="6"/>
  <c r="O13" i="6" s="1"/>
  <c r="K15" i="6"/>
  <c r="K12" i="6" s="1"/>
  <c r="N15" i="6"/>
  <c r="N3" i="6" s="1"/>
  <c r="P15" i="6"/>
  <c r="P12" i="6" s="1"/>
  <c r="Q15" i="6"/>
  <c r="Q6" i="6" s="1"/>
  <c r="L15" i="6"/>
  <c r="L7" i="6" s="1"/>
  <c r="H4" i="6"/>
  <c r="I7" i="6"/>
  <c r="H13" i="6"/>
  <c r="H6" i="6"/>
  <c r="H9" i="6"/>
  <c r="H2" i="6"/>
  <c r="H8" i="6"/>
  <c r="H10" i="6"/>
  <c r="H7" i="6"/>
  <c r="I14" i="6"/>
  <c r="H11" i="6"/>
  <c r="H14" i="6"/>
  <c r="G12" i="6"/>
  <c r="O6" i="6"/>
  <c r="H5" i="6"/>
  <c r="H12" i="6"/>
  <c r="H5" i="5"/>
  <c r="W5" i="5"/>
  <c r="O4" i="5"/>
  <c r="O5" i="5" s="1"/>
  <c r="N4" i="5"/>
  <c r="N5" i="5" s="1"/>
  <c r="M4" i="5"/>
  <c r="M5" i="5" s="1"/>
  <c r="L4" i="5"/>
  <c r="L5" i="5" s="1"/>
  <c r="K4" i="5"/>
  <c r="K5" i="5" s="1"/>
  <c r="G4" i="5"/>
  <c r="G5" i="5" s="1"/>
  <c r="R4" i="5"/>
  <c r="R5" i="5" s="1"/>
  <c r="J4" i="5"/>
  <c r="J5" i="5" s="1"/>
  <c r="Q4" i="5"/>
  <c r="Q5" i="5" s="1"/>
  <c r="I4" i="5"/>
  <c r="I5" i="5" s="1"/>
  <c r="P4" i="5"/>
  <c r="P5" i="5" s="1"/>
  <c r="B20" i="3"/>
  <c r="I7" i="3"/>
  <c r="I14" i="3"/>
  <c r="B18" i="3"/>
  <c r="M4" i="12" l="1"/>
  <c r="M5" i="12" s="1"/>
  <c r="M6" i="12" s="1"/>
  <c r="M7" i="12" s="1"/>
  <c r="M8" i="12" s="1"/>
  <c r="M9" i="12" s="1"/>
  <c r="M10" i="12" s="1"/>
  <c r="M11" i="12" s="1"/>
  <c r="M12" i="12" s="1"/>
  <c r="M13" i="12" s="1"/>
  <c r="M14" i="12" s="1"/>
  <c r="M15" i="12" s="1"/>
  <c r="M16" i="12" s="1"/>
  <c r="M17" i="12" s="1"/>
  <c r="M18" i="12" s="1"/>
  <c r="M19" i="12" s="1"/>
  <c r="M20" i="12" s="1"/>
  <c r="M21" i="12" s="1"/>
  <c r="M22" i="12" s="1"/>
  <c r="M23" i="12" s="1"/>
  <c r="I9" i="6"/>
  <c r="I5" i="6"/>
  <c r="I13" i="6"/>
  <c r="I12" i="6"/>
  <c r="L2" i="6"/>
  <c r="J12" i="6"/>
  <c r="L6" i="6"/>
  <c r="L10" i="6"/>
  <c r="Q5" i="6"/>
  <c r="M13" i="6"/>
  <c r="M12" i="6"/>
  <c r="L3" i="6"/>
  <c r="G5" i="6"/>
  <c r="G7" i="6"/>
  <c r="G3" i="6"/>
  <c r="J9" i="6"/>
  <c r="P8" i="6"/>
  <c r="G6" i="6"/>
  <c r="G11" i="6"/>
  <c r="G2" i="6"/>
  <c r="G9" i="6"/>
  <c r="L9" i="6"/>
  <c r="L14" i="6"/>
  <c r="L5" i="6"/>
  <c r="L12" i="6"/>
  <c r="M11" i="6"/>
  <c r="I11" i="6"/>
  <c r="M6" i="6"/>
  <c r="L13" i="6"/>
  <c r="L11" i="6"/>
  <c r="K7" i="6"/>
  <c r="I3" i="6"/>
  <c r="P11" i="6"/>
  <c r="L4" i="6"/>
  <c r="L8" i="6"/>
  <c r="O9" i="6"/>
  <c r="K9" i="6"/>
  <c r="J7" i="6"/>
  <c r="J10" i="6"/>
  <c r="J3" i="6"/>
  <c r="J4" i="6"/>
  <c r="J11" i="6"/>
  <c r="G10" i="6"/>
  <c r="G4" i="6"/>
  <c r="G14" i="6"/>
  <c r="G8" i="6"/>
  <c r="J2" i="6"/>
  <c r="P5" i="6"/>
  <c r="P13" i="6"/>
  <c r="J14" i="6"/>
  <c r="K4" i="6"/>
  <c r="K3" i="6"/>
  <c r="K13" i="6"/>
  <c r="N7" i="6"/>
  <c r="K2" i="6"/>
  <c r="O14" i="6"/>
  <c r="N5" i="6"/>
  <c r="N8" i="6"/>
  <c r="K5" i="6"/>
  <c r="O7" i="6"/>
  <c r="K8" i="6"/>
  <c r="K14" i="6"/>
  <c r="O4" i="6"/>
  <c r="K6" i="6"/>
  <c r="K11" i="6"/>
  <c r="N6" i="6"/>
  <c r="N10" i="6"/>
  <c r="N14" i="6"/>
  <c r="K10" i="6"/>
  <c r="M2" i="6"/>
  <c r="Q13" i="6"/>
  <c r="M4" i="6"/>
  <c r="O5" i="6"/>
  <c r="O12" i="6"/>
  <c r="M5" i="6"/>
  <c r="O3" i="6"/>
  <c r="I4" i="6"/>
  <c r="N12" i="6"/>
  <c r="N13" i="6"/>
  <c r="Q7" i="6"/>
  <c r="J6" i="6"/>
  <c r="P9" i="6"/>
  <c r="Q12" i="6"/>
  <c r="Q11" i="6"/>
  <c r="O8" i="6"/>
  <c r="Q3" i="6"/>
  <c r="P14" i="6"/>
  <c r="M9" i="6"/>
  <c r="P3" i="6"/>
  <c r="P7" i="6"/>
  <c r="I8" i="6"/>
  <c r="N11" i="6"/>
  <c r="Q14" i="6"/>
  <c r="Q4" i="6"/>
  <c r="M8" i="6"/>
  <c r="O11" i="6"/>
  <c r="P6" i="6"/>
  <c r="J13" i="6"/>
  <c r="I2" i="6"/>
  <c r="P4" i="6"/>
  <c r="P10" i="6"/>
  <c r="M10" i="6"/>
  <c r="O10" i="6"/>
  <c r="Q9" i="6"/>
  <c r="N2" i="6"/>
  <c r="Q8" i="6"/>
  <c r="J5" i="6"/>
  <c r="P2" i="6"/>
  <c r="M14" i="6"/>
  <c r="O2" i="6"/>
  <c r="Q2" i="6"/>
  <c r="N9" i="6"/>
  <c r="I6" i="6"/>
  <c r="N4" i="6"/>
  <c r="Q10" i="6"/>
  <c r="F2" i="6"/>
  <c r="F7" i="6"/>
  <c r="F13" i="6"/>
  <c r="F4" i="6"/>
  <c r="F9" i="6"/>
  <c r="F11" i="6"/>
  <c r="F6" i="6"/>
  <c r="F8" i="6"/>
  <c r="F12" i="6"/>
  <c r="F10" i="6"/>
  <c r="F14" i="6"/>
  <c r="F3" i="6"/>
  <c r="F5" i="6"/>
  <c r="M3" i="6"/>
  <c r="H16" i="6"/>
  <c r="S5" i="5"/>
  <c r="T5" i="5" s="1"/>
  <c r="F11" i="3"/>
  <c r="F13" i="3"/>
  <c r="F7" i="3"/>
  <c r="F4" i="3"/>
  <c r="F6" i="3"/>
  <c r="F5" i="3"/>
  <c r="F3" i="3"/>
  <c r="F10" i="3"/>
  <c r="F12" i="3"/>
  <c r="F14" i="3"/>
  <c r="G16" i="6" l="1"/>
  <c r="L16" i="6"/>
  <c r="K16" i="6"/>
  <c r="O16" i="6"/>
  <c r="N16" i="6"/>
  <c r="F16" i="6"/>
  <c r="J16" i="6"/>
  <c r="I16" i="6"/>
  <c r="M16" i="6"/>
  <c r="Q16" i="6"/>
  <c r="P16" i="6"/>
  <c r="C4" i="4"/>
  <c r="C4" i="8" s="1"/>
  <c r="E11" i="3"/>
  <c r="E4" i="3"/>
  <c r="E12" i="3" l="1"/>
  <c r="E13" i="3" s="1"/>
  <c r="E14" i="3" s="1"/>
  <c r="C6" i="5" s="1" a="1"/>
  <c r="C6" i="5" s="1"/>
  <c r="E5" i="3"/>
  <c r="C5" i="4"/>
  <c r="C5" i="8" s="1"/>
  <c r="D6" i="5" l="1" a="1"/>
  <c r="D6" i="5" s="1"/>
  <c r="W6" i="5" s="1"/>
  <c r="D3" i="4" a="1"/>
  <c r="E6" i="3"/>
  <c r="C6" i="4"/>
  <c r="C6" i="8" s="1"/>
  <c r="Q6" i="5" l="1"/>
  <c r="N6" i="5"/>
  <c r="L6" i="5"/>
  <c r="O6" i="5"/>
  <c r="G6" i="5"/>
  <c r="H6" i="5"/>
  <c r="I6" i="5"/>
  <c r="P6" i="5"/>
  <c r="K6" i="5"/>
  <c r="J6" i="5"/>
  <c r="M6" i="5"/>
  <c r="R6" i="5"/>
  <c r="D7" i="5" a="1"/>
  <c r="D7" i="5" s="1"/>
  <c r="C7" i="5" a="1"/>
  <c r="C7" i="5" s="1"/>
  <c r="E3" i="4"/>
  <c r="G3" i="4"/>
  <c r="F3" i="4"/>
  <c r="D3" i="4"/>
  <c r="H3" i="4"/>
  <c r="E7" i="3"/>
  <c r="C8" i="4" s="1"/>
  <c r="C8" i="8" s="1"/>
  <c r="C7" i="4"/>
  <c r="C7" i="8" s="1"/>
  <c r="H4" i="8" l="1" a="1"/>
  <c r="W7" i="5"/>
  <c r="R7" i="5"/>
  <c r="P7" i="5"/>
  <c r="H7" i="5"/>
  <c r="N7" i="5"/>
  <c r="K7" i="5"/>
  <c r="J7" i="5"/>
  <c r="M7" i="5"/>
  <c r="L7" i="5"/>
  <c r="I7" i="5"/>
  <c r="Q7" i="5"/>
  <c r="O7" i="5"/>
  <c r="G7" i="5"/>
  <c r="D8" i="5" a="1"/>
  <c r="D8" i="5" s="1"/>
  <c r="C8" i="5" a="1"/>
  <c r="C8" i="5" s="1"/>
  <c r="S6" i="5"/>
  <c r="T6" i="5" s="1"/>
  <c r="H7" i="8" l="1"/>
  <c r="H4" i="8"/>
  <c r="H6" i="8"/>
  <c r="H8" i="8"/>
  <c r="H5" i="8"/>
  <c r="L8" i="5"/>
  <c r="R8" i="5"/>
  <c r="J8" i="5"/>
  <c r="H8" i="5"/>
  <c r="O8" i="5"/>
  <c r="N8" i="5"/>
  <c r="Q8" i="5"/>
  <c r="I8" i="5"/>
  <c r="P8" i="5"/>
  <c r="G8" i="5"/>
  <c r="K8" i="5"/>
  <c r="M8" i="5"/>
  <c r="W8" i="5"/>
  <c r="C9" i="5" a="1"/>
  <c r="C9" i="5" s="1"/>
  <c r="D9" i="5" a="1"/>
  <c r="D9" i="5" s="1"/>
  <c r="S7" i="5"/>
  <c r="T7" i="5" s="1"/>
  <c r="K9" i="5" l="1"/>
  <c r="R9" i="5"/>
  <c r="P9" i="5"/>
  <c r="H9" i="5"/>
  <c r="N9" i="5"/>
  <c r="M9" i="5"/>
  <c r="L9" i="5"/>
  <c r="J9" i="5"/>
  <c r="I9" i="5"/>
  <c r="G9" i="5"/>
  <c r="O9" i="5"/>
  <c r="Q9" i="5"/>
  <c r="W9" i="5"/>
  <c r="D10" i="5" a="1"/>
  <c r="D10" i="5" s="1"/>
  <c r="C10" i="5" a="1"/>
  <c r="C10" i="5" s="1"/>
  <c r="S8" i="5"/>
  <c r="T8" i="5" s="1"/>
  <c r="W10" i="5" l="1"/>
  <c r="N10" i="5"/>
  <c r="L10" i="5"/>
  <c r="R10" i="5"/>
  <c r="J10" i="5"/>
  <c r="H10" i="5"/>
  <c r="O10" i="5"/>
  <c r="Q10" i="5"/>
  <c r="I10" i="5"/>
  <c r="P10" i="5"/>
  <c r="G10" i="5"/>
  <c r="M10" i="5"/>
  <c r="K10" i="5"/>
  <c r="C11" i="5" a="1"/>
  <c r="C11" i="5" s="1"/>
  <c r="D11" i="5" a="1"/>
  <c r="D11" i="5" s="1"/>
  <c r="S9" i="5"/>
  <c r="T9" i="5" s="1"/>
  <c r="W11" i="5" l="1"/>
  <c r="K11" i="5"/>
  <c r="P11" i="5"/>
  <c r="H11" i="5"/>
  <c r="N11" i="5"/>
  <c r="L11" i="5"/>
  <c r="J11" i="5"/>
  <c r="M11" i="5"/>
  <c r="R11" i="5"/>
  <c r="Q11" i="5"/>
  <c r="O11" i="5"/>
  <c r="I11" i="5"/>
  <c r="G11" i="5"/>
  <c r="S10" i="5"/>
  <c r="T10" i="5" s="1"/>
  <c r="C12" i="5" a="1"/>
  <c r="C12" i="5" s="1"/>
  <c r="D12" i="5" a="1"/>
  <c r="D12" i="5" s="1"/>
  <c r="N12" i="5" l="1"/>
  <c r="L12" i="5"/>
  <c r="R12" i="5"/>
  <c r="J12" i="5"/>
  <c r="H12" i="5"/>
  <c r="O12" i="5"/>
  <c r="Q12" i="5"/>
  <c r="I12" i="5"/>
  <c r="P12" i="5"/>
  <c r="G12" i="5"/>
  <c r="K12" i="5"/>
  <c r="M12" i="5"/>
  <c r="W12" i="5"/>
  <c r="S11" i="5"/>
  <c r="T11" i="5" s="1"/>
  <c r="D13" i="5" a="1"/>
  <c r="D13" i="5" s="1"/>
  <c r="C13" i="5" a="1"/>
  <c r="C13" i="5" s="1"/>
  <c r="L13" i="5" l="1"/>
  <c r="P13" i="5"/>
  <c r="H13" i="5"/>
  <c r="N13" i="5"/>
  <c r="J13" i="5"/>
  <c r="M13" i="5"/>
  <c r="K13" i="5"/>
  <c r="R13" i="5"/>
  <c r="Q13" i="5"/>
  <c r="O13" i="5"/>
  <c r="I13" i="5"/>
  <c r="G13" i="5"/>
  <c r="W13" i="5"/>
  <c r="S12" i="5"/>
  <c r="T12" i="5" s="1"/>
  <c r="C14" i="5" a="1"/>
  <c r="C14" i="5" s="1"/>
  <c r="D14" i="5" a="1"/>
  <c r="D14" i="5" s="1"/>
  <c r="O14" i="5" l="1"/>
  <c r="N14" i="5"/>
  <c r="L14" i="5"/>
  <c r="R14" i="5"/>
  <c r="J14" i="5"/>
  <c r="P14" i="5"/>
  <c r="H14" i="5"/>
  <c r="G14" i="5"/>
  <c r="Q14" i="5"/>
  <c r="I14" i="5"/>
  <c r="M14" i="5"/>
  <c r="K14" i="5"/>
  <c r="W14" i="5"/>
  <c r="D15" i="5" a="1"/>
  <c r="D15" i="5" s="1"/>
  <c r="C15" i="5" a="1"/>
  <c r="C15" i="5" s="1"/>
  <c r="S13" i="5"/>
  <c r="T13" i="5" s="1"/>
  <c r="W15" i="5" l="1"/>
  <c r="P15" i="5"/>
  <c r="H15" i="5"/>
  <c r="N15" i="5"/>
  <c r="J15" i="5"/>
  <c r="M15" i="5"/>
  <c r="L15" i="5"/>
  <c r="K15" i="5"/>
  <c r="R15" i="5"/>
  <c r="I15" i="5"/>
  <c r="Q15" i="5"/>
  <c r="O15" i="5"/>
  <c r="G15" i="5"/>
  <c r="C16" i="5" a="1"/>
  <c r="C16" i="5" s="1"/>
  <c r="D16" i="5" a="1"/>
  <c r="D16" i="5" s="1"/>
  <c r="S14" i="5"/>
  <c r="T14" i="5" s="1"/>
  <c r="L16" i="5" l="1"/>
  <c r="R16" i="5"/>
  <c r="J16" i="5"/>
  <c r="H16" i="5"/>
  <c r="G16" i="5"/>
  <c r="N16" i="5"/>
  <c r="Q16" i="5"/>
  <c r="I16" i="5"/>
  <c r="P16" i="5"/>
  <c r="O16" i="5"/>
  <c r="M16" i="5"/>
  <c r="K16" i="5"/>
  <c r="S15" i="5"/>
  <c r="T15" i="5" s="1"/>
  <c r="W16" i="5"/>
  <c r="C17" i="5" a="1"/>
  <c r="C17" i="5" s="1"/>
  <c r="D17" i="5" a="1"/>
  <c r="D17" i="5" s="1"/>
  <c r="K17" i="5" l="1"/>
  <c r="R17" i="5"/>
  <c r="P17" i="5"/>
  <c r="H17" i="5"/>
  <c r="N17" i="5"/>
  <c r="L17" i="5"/>
  <c r="M17" i="5"/>
  <c r="J17" i="5"/>
  <c r="I17" i="5"/>
  <c r="G17" i="5"/>
  <c r="O17" i="5"/>
  <c r="Q17" i="5"/>
  <c r="W17" i="5"/>
  <c r="S16" i="5"/>
  <c r="T16" i="5" s="1"/>
  <c r="D18" i="5" a="1"/>
  <c r="D18" i="5" s="1"/>
  <c r="C18" i="5" a="1"/>
  <c r="C18" i="5" s="1"/>
  <c r="L18" i="5" l="1"/>
  <c r="R18" i="5"/>
  <c r="J18" i="5"/>
  <c r="P18" i="5"/>
  <c r="G18" i="5"/>
  <c r="N18" i="5"/>
  <c r="Q18" i="5"/>
  <c r="I18" i="5"/>
  <c r="H18" i="5"/>
  <c r="O18" i="5"/>
  <c r="M18" i="5"/>
  <c r="K18" i="5"/>
  <c r="W18" i="5"/>
  <c r="S17" i="5"/>
  <c r="T17" i="5" s="1"/>
  <c r="C19" i="5" a="1"/>
  <c r="C19" i="5" s="1"/>
  <c r="D19" i="5" a="1"/>
  <c r="D19" i="5" s="1"/>
  <c r="R19" i="5" l="1"/>
  <c r="P19" i="5"/>
  <c r="H19" i="5"/>
  <c r="N19" i="5"/>
  <c r="K19" i="5"/>
  <c r="M19" i="5"/>
  <c r="L19" i="5"/>
  <c r="J19" i="5"/>
  <c r="Q19" i="5"/>
  <c r="I19" i="5"/>
  <c r="G19" i="5"/>
  <c r="O19" i="5"/>
  <c r="S18" i="5"/>
  <c r="T18" i="5" s="1"/>
  <c r="W19" i="5"/>
  <c r="C20" i="5" a="1"/>
  <c r="C20" i="5" s="1"/>
  <c r="D20" i="5" a="1"/>
  <c r="D20" i="5" s="1"/>
  <c r="W20" i="5" l="1"/>
  <c r="L20" i="5"/>
  <c r="R20" i="5"/>
  <c r="J20" i="5"/>
  <c r="P20" i="5"/>
  <c r="H20" i="5"/>
  <c r="O20" i="5"/>
  <c r="Q20" i="5"/>
  <c r="I20" i="5"/>
  <c r="G20" i="5"/>
  <c r="N20" i="5"/>
  <c r="M20" i="5"/>
  <c r="K20" i="5"/>
  <c r="D21" i="5" a="1"/>
  <c r="D21" i="5" s="1"/>
  <c r="C21" i="5" a="1"/>
  <c r="C21" i="5" s="1"/>
  <c r="S19" i="5"/>
  <c r="T19" i="5" s="1"/>
  <c r="W21" i="5" l="1"/>
  <c r="K21" i="5"/>
  <c r="Q21" i="5"/>
  <c r="P21" i="5"/>
  <c r="H21" i="5"/>
  <c r="N21" i="5"/>
  <c r="J21" i="5"/>
  <c r="M21" i="5"/>
  <c r="L21" i="5"/>
  <c r="R21" i="5"/>
  <c r="O21" i="5"/>
  <c r="I21" i="5"/>
  <c r="G21" i="5"/>
  <c r="S20" i="5"/>
  <c r="T20" i="5" s="1"/>
  <c r="C22" i="5" a="1"/>
  <c r="C22" i="5" s="1"/>
  <c r="D22" i="5" a="1"/>
  <c r="D22" i="5" s="1"/>
  <c r="M22" i="5" l="1"/>
  <c r="L22" i="5"/>
  <c r="R22" i="5"/>
  <c r="J22" i="5"/>
  <c r="H22" i="5"/>
  <c r="O22" i="5"/>
  <c r="N22" i="5"/>
  <c r="Q22" i="5"/>
  <c r="I22" i="5"/>
  <c r="P22" i="5"/>
  <c r="G22" i="5"/>
  <c r="K22" i="5"/>
  <c r="W22" i="5"/>
  <c r="S21" i="5"/>
  <c r="T21" i="5" s="1"/>
  <c r="D23" i="5" a="1"/>
  <c r="D23" i="5" s="1"/>
  <c r="C23" i="5" a="1"/>
  <c r="C23" i="5" s="1"/>
  <c r="J23" i="5" l="1"/>
  <c r="P23" i="5"/>
  <c r="H23" i="5"/>
  <c r="N23" i="5"/>
  <c r="L23" i="5"/>
  <c r="M23" i="5"/>
  <c r="K23" i="5"/>
  <c r="R23" i="5"/>
  <c r="I23" i="5"/>
  <c r="G23" i="5"/>
  <c r="O23" i="5"/>
  <c r="Q23" i="5"/>
  <c r="W23" i="5"/>
  <c r="C24" i="5" a="1"/>
  <c r="C24" i="5" s="1"/>
  <c r="D24" i="5" a="1"/>
  <c r="D24" i="5" s="1"/>
  <c r="S22" i="5"/>
  <c r="T22" i="5" s="1"/>
  <c r="O24" i="5" l="1"/>
  <c r="M24" i="5"/>
  <c r="L24" i="5"/>
  <c r="R24" i="5"/>
  <c r="J24" i="5"/>
  <c r="P24" i="5"/>
  <c r="G24" i="5"/>
  <c r="N24" i="5"/>
  <c r="Q24" i="5"/>
  <c r="I24" i="5"/>
  <c r="H24" i="5"/>
  <c r="K24" i="5"/>
  <c r="W24" i="5"/>
  <c r="S23" i="5"/>
  <c r="T23" i="5" s="1"/>
  <c r="C25" i="5" a="1"/>
  <c r="C25" i="5" s="1"/>
  <c r="D25" i="5" a="1"/>
  <c r="D25" i="5" s="1"/>
  <c r="W25" i="5" l="1"/>
  <c r="R25" i="5"/>
  <c r="Q25" i="5"/>
  <c r="I25" i="5"/>
  <c r="P25" i="5"/>
  <c r="H25" i="5"/>
  <c r="N25" i="5"/>
  <c r="J25" i="5"/>
  <c r="M25" i="5"/>
  <c r="L25" i="5"/>
  <c r="K25" i="5"/>
  <c r="O25" i="5"/>
  <c r="G25" i="5"/>
  <c r="S24" i="5"/>
  <c r="T24" i="5" s="1"/>
  <c r="D26" i="5" a="1"/>
  <c r="D26" i="5" s="1"/>
  <c r="C26" i="5" a="1"/>
  <c r="C26" i="5" s="1"/>
  <c r="M26" i="5" l="1"/>
  <c r="L26" i="5"/>
  <c r="R26" i="5"/>
  <c r="J26" i="5"/>
  <c r="H26" i="5"/>
  <c r="G26" i="5"/>
  <c r="Q26" i="5"/>
  <c r="I26" i="5"/>
  <c r="P26" i="5"/>
  <c r="O26" i="5"/>
  <c r="N26" i="5"/>
  <c r="K26" i="5"/>
  <c r="W26" i="5"/>
  <c r="C27" i="5" a="1"/>
  <c r="C27" i="5" s="1"/>
  <c r="D27" i="5" a="1"/>
  <c r="D27" i="5" s="1"/>
  <c r="S25" i="5"/>
  <c r="T25" i="5" s="1"/>
  <c r="L27" i="5" l="1"/>
  <c r="Q27" i="5"/>
  <c r="I27" i="5"/>
  <c r="P27" i="5"/>
  <c r="H27" i="5"/>
  <c r="N27" i="5"/>
  <c r="K27" i="5"/>
  <c r="J27" i="5"/>
  <c r="M27" i="5"/>
  <c r="R27" i="5"/>
  <c r="O27" i="5"/>
  <c r="G27" i="5"/>
  <c r="W27" i="5"/>
  <c r="C28" i="5" a="1"/>
  <c r="C28" i="5" s="1"/>
  <c r="D28" i="5" a="1"/>
  <c r="D28" i="5" s="1"/>
  <c r="S26" i="5"/>
  <c r="T26" i="5" s="1"/>
  <c r="O28" i="5" l="1"/>
  <c r="N28" i="5"/>
  <c r="M28" i="5"/>
  <c r="L28" i="5"/>
  <c r="R28" i="5"/>
  <c r="J28" i="5"/>
  <c r="H28" i="5"/>
  <c r="Q28" i="5"/>
  <c r="I28" i="5"/>
  <c r="P28" i="5"/>
  <c r="G28" i="5"/>
  <c r="K28" i="5"/>
  <c r="W28" i="5"/>
  <c r="C29" i="5" a="1"/>
  <c r="C29" i="5" s="1"/>
  <c r="D29" i="5" a="1"/>
  <c r="D29" i="5" s="1"/>
  <c r="S27" i="5"/>
  <c r="T27" i="5" s="1"/>
  <c r="Q29" i="5" l="1"/>
  <c r="I29" i="5"/>
  <c r="P29" i="5"/>
  <c r="H29" i="5"/>
  <c r="O29" i="5"/>
  <c r="G29" i="5"/>
  <c r="N29" i="5"/>
  <c r="L29" i="5"/>
  <c r="K29" i="5"/>
  <c r="R29" i="5"/>
  <c r="M29" i="5"/>
  <c r="J29" i="5"/>
  <c r="W29" i="5"/>
  <c r="S28" i="5"/>
  <c r="T28" i="5" s="1"/>
  <c r="S29" i="5" l="1"/>
  <c r="T29" i="5" s="1"/>
  <c r="T3" i="5" l="1"/>
  <c r="U5" i="5" l="1"/>
  <c r="D4" i="4" s="1"/>
  <c r="L4" i="8" s="1"/>
  <c r="U6" i="5"/>
  <c r="E4" i="4" s="1"/>
  <c r="U7" i="5"/>
  <c r="F4" i="4" s="1"/>
  <c r="U8" i="5"/>
  <c r="G4" i="4" s="1"/>
  <c r="U9" i="5"/>
  <c r="H4" i="4" s="1"/>
  <c r="U10" i="5"/>
  <c r="D5" i="4" s="1"/>
  <c r="U11" i="5"/>
  <c r="E5" i="4" s="1"/>
  <c r="L5" i="8" s="1"/>
  <c r="U12" i="5"/>
  <c r="F5" i="4" s="1"/>
  <c r="U13" i="5"/>
  <c r="G5" i="4" s="1"/>
  <c r="U14" i="5"/>
  <c r="H5" i="4" s="1"/>
  <c r="U15" i="5"/>
  <c r="D6" i="4" s="1"/>
  <c r="U17" i="5"/>
  <c r="F6" i="4" s="1"/>
  <c r="L6" i="8" s="1"/>
  <c r="U16" i="5"/>
  <c r="E6" i="4" s="1"/>
  <c r="U18" i="5"/>
  <c r="G6" i="4" s="1"/>
  <c r="U19" i="5"/>
  <c r="H6" i="4" s="1"/>
  <c r="U21" i="5"/>
  <c r="E7" i="4" s="1"/>
  <c r="U20" i="5"/>
  <c r="U22" i="5"/>
  <c r="U23" i="5"/>
  <c r="U24" i="5"/>
  <c r="H7" i="4" s="1"/>
  <c r="U25" i="5"/>
  <c r="D8" i="4" s="1"/>
  <c r="U26" i="5"/>
  <c r="U27" i="5"/>
  <c r="U28" i="5"/>
  <c r="G8" i="4" s="1"/>
  <c r="U29" i="5"/>
  <c r="F8" i="4" l="1"/>
  <c r="E8" i="4"/>
  <c r="E9" i="4" s="1"/>
  <c r="G7" i="4"/>
  <c r="L7" i="8" s="1"/>
  <c r="F7" i="4"/>
  <c r="H8" i="4"/>
  <c r="L8" i="8" s="1"/>
  <c r="D7" i="4"/>
  <c r="I5" i="4"/>
  <c r="B5" i="8" s="1"/>
  <c r="I6" i="4"/>
  <c r="B6" i="8" s="1"/>
  <c r="I4" i="4"/>
  <c r="B4" i="8" s="1"/>
  <c r="L9" i="8" l="1"/>
  <c r="G9" i="4"/>
  <c r="H9" i="4"/>
  <c r="C12" i="2"/>
  <c r="F9" i="4"/>
  <c r="I7" i="4"/>
  <c r="B7" i="8" s="1"/>
  <c r="D9" i="4"/>
  <c r="I8" i="4"/>
  <c r="B8" i="8" s="1"/>
  <c r="C9" i="2"/>
  <c r="C15" i="2" s="1"/>
  <c r="Q3" i="8" l="1"/>
  <c r="D4" i="8" s="1" a="1"/>
  <c r="D4" i="8" s="1"/>
  <c r="E4" i="8" s="1"/>
  <c r="M8" i="8"/>
  <c r="M5" i="8"/>
  <c r="M6" i="8"/>
  <c r="M4" i="8"/>
  <c r="G4" i="8" a="1"/>
  <c r="M7" i="8"/>
  <c r="C13" i="2"/>
  <c r="C14" i="2"/>
  <c r="C16" i="2"/>
  <c r="D8" i="8" l="1" a="1"/>
  <c r="D8" i="8" s="1"/>
  <c r="D7" i="8" a="1"/>
  <c r="D7" i="8" s="1"/>
  <c r="D6" i="8" a="1"/>
  <c r="D6" i="8" s="1"/>
  <c r="D5" i="8" a="1"/>
  <c r="D5" i="8" s="1"/>
  <c r="E5" i="8" s="1"/>
  <c r="G7" i="8"/>
  <c r="G6" i="8"/>
  <c r="G5" i="8"/>
  <c r="G8" i="8"/>
  <c r="G4" i="8"/>
  <c r="E7" i="8"/>
  <c r="E8" i="8"/>
  <c r="E6" i="8"/>
  <c r="Q5" i="8" l="1"/>
  <c r="V9" i="8" s="1"/>
  <c r="Q4" i="8"/>
  <c r="N3" i="12" l="1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3" i="12"/>
  <c r="N22" i="12"/>
  <c r="V5" i="8"/>
  <c r="V4" i="8"/>
  <c r="V7" i="8"/>
  <c r="V8" i="8"/>
  <c r="V6" i="8"/>
  <c r="I8" i="8"/>
  <c r="I5" i="8"/>
  <c r="I7" i="8"/>
  <c r="I6" i="8"/>
  <c r="I4" i="8"/>
  <c r="N24" i="12" l="1"/>
  <c r="O10" i="12" s="1"/>
  <c r="J8" i="8"/>
  <c r="N8" i="8"/>
  <c r="J7" i="8"/>
  <c r="N7" i="8"/>
  <c r="J6" i="8"/>
  <c r="N6" i="8"/>
  <c r="J5" i="8"/>
  <c r="N5" i="8"/>
  <c r="O11" i="12" l="1"/>
  <c r="O13" i="12"/>
  <c r="O21" i="12"/>
  <c r="O6" i="12"/>
  <c r="O4" i="12"/>
  <c r="O14" i="12"/>
  <c r="O9" i="12"/>
  <c r="O5" i="12"/>
  <c r="O18" i="12"/>
  <c r="O7" i="12"/>
  <c r="O19" i="12"/>
  <c r="O15" i="12"/>
  <c r="O8" i="12"/>
  <c r="O16" i="12"/>
  <c r="O23" i="12"/>
  <c r="O12" i="12"/>
  <c r="O17" i="12"/>
  <c r="O20" i="12"/>
  <c r="O22" i="12"/>
  <c r="O3" i="12"/>
  <c r="P3" i="12" l="1"/>
  <c r="P4" i="12" s="1"/>
  <c r="P5" i="12" s="1"/>
  <c r="P6" i="12" s="1"/>
  <c r="P7" i="12" s="1"/>
  <c r="P8" i="12" s="1"/>
  <c r="P9" i="12" s="1"/>
  <c r="P10" i="12" s="1"/>
  <c r="P11" i="12" s="1"/>
  <c r="P12" i="12" s="1"/>
  <c r="P13" i="12" s="1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J4" i="8" l="1"/>
  <c r="Q6" i="8" s="1"/>
  <c r="N4" i="8"/>
  <c r="Q7" i="8" s="1"/>
  <c r="Q8" i="8" l="1"/>
  <c r="W9" i="8" l="1"/>
  <c r="Y9" i="8" s="1"/>
  <c r="W6" i="8"/>
  <c r="Y6" i="8" s="1"/>
  <c r="W4" i="8"/>
  <c r="Y4" i="8" s="1"/>
  <c r="W5" i="8"/>
  <c r="Y5" i="8" s="1"/>
  <c r="W7" i="8"/>
  <c r="Y7" i="8" s="1"/>
  <c r="W8" i="8"/>
  <c r="Y8" i="8" s="1"/>
  <c r="Z15" i="8" l="1" a="1"/>
  <c r="Z15" i="8" s="1"/>
  <c r="AE15" i="8" l="1"/>
  <c r="AD15" i="8"/>
  <c r="AC15" i="8"/>
  <c r="AB15" i="8"/>
  <c r="AA1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E7" authorId="0" shapeId="0" xr:uid="{9DFC1F81-87B0-469D-8B56-811E60200BE5}">
      <text>
        <r>
          <rPr>
            <sz val="8"/>
            <color indexed="81"/>
            <rFont val="Tahoma"/>
            <family val="2"/>
          </rPr>
          <t>Variable cell</t>
        </r>
      </text>
    </comment>
    <comment ref="E8" authorId="0" shapeId="0" xr:uid="{AA946F2E-99FA-4E9C-914D-F5575E1C07DF}">
      <text>
        <r>
          <rPr>
            <sz val="8"/>
            <color indexed="81"/>
            <rFont val="Tahoma"/>
            <family val="2"/>
          </rPr>
          <t>Variable cell</t>
        </r>
      </text>
    </comment>
    <comment ref="E9" authorId="0" shapeId="0" xr:uid="{0F20F87F-EC43-4849-9E98-8D4074289A0F}">
      <text>
        <r>
          <rPr>
            <sz val="8"/>
            <color indexed="81"/>
            <rFont val="Tahoma"/>
            <family val="2"/>
          </rPr>
          <t>Variable cell</t>
        </r>
      </text>
    </comment>
    <comment ref="E10" authorId="0" shapeId="0" xr:uid="{0DCFE873-6142-452D-8E9E-318772B85BE7}">
      <text>
        <r>
          <rPr>
            <sz val="8"/>
            <color indexed="81"/>
            <rFont val="Tahoma"/>
            <family val="2"/>
          </rPr>
          <t>Variable cell</t>
        </r>
      </text>
    </comment>
    <comment ref="E11" authorId="0" shapeId="0" xr:uid="{A0F0F45C-DC47-443A-826A-671354AD7B26}">
      <text>
        <r>
          <rPr>
            <sz val="8"/>
            <color indexed="81"/>
            <rFont val="Tahoma"/>
            <family val="2"/>
          </rPr>
          <t>Variable cell</t>
        </r>
      </text>
    </comment>
    <comment ref="E12" authorId="0" shapeId="0" xr:uid="{66A8E2E8-7F7D-4B69-8FB4-5E7339A0CFDC}">
      <text>
        <r>
          <rPr>
            <sz val="8"/>
            <color indexed="81"/>
            <rFont val="Tahoma"/>
            <family val="2"/>
          </rPr>
          <t>Variable cell</t>
        </r>
      </text>
    </comment>
    <comment ref="E13" authorId="0" shapeId="0" xr:uid="{956D6A24-E05C-4506-B05E-BA3E0522646B}">
      <text>
        <r>
          <rPr>
            <sz val="8"/>
            <color indexed="81"/>
            <rFont val="Tahoma"/>
            <family val="2"/>
          </rPr>
          <t>Variable cell</t>
        </r>
      </text>
    </comment>
    <comment ref="E14" authorId="0" shapeId="0" xr:uid="{DD780B33-36F1-4E5C-A195-598FAB7AEBDA}">
      <text>
        <r>
          <rPr>
            <sz val="8"/>
            <color indexed="81"/>
            <rFont val="Tahoma"/>
            <family val="2"/>
          </rPr>
          <t>Variable cell</t>
        </r>
      </text>
    </comment>
    <comment ref="E15" authorId="0" shapeId="0" xr:uid="{9139ED49-ECFC-456F-B358-A6B0192C0B18}">
      <text>
        <r>
          <rPr>
            <sz val="8"/>
            <color indexed="81"/>
            <rFont val="Tahoma"/>
            <family val="2"/>
          </rPr>
          <t>Variable cell</t>
        </r>
      </text>
    </comment>
    <comment ref="E16" authorId="0" shapeId="0" xr:uid="{F4C9B417-5A37-4561-A32C-4BB17F58BD3F}">
      <text>
        <r>
          <rPr>
            <sz val="8"/>
            <color indexed="81"/>
            <rFont val="Tahoma"/>
            <family val="2"/>
          </rPr>
          <t>Variable cell</t>
        </r>
      </text>
    </comment>
    <comment ref="E17" authorId="0" shapeId="0" xr:uid="{1B898CB2-9935-4E9A-A81E-EB75D429281B}">
      <text>
        <r>
          <rPr>
            <sz val="8"/>
            <color indexed="81"/>
            <rFont val="Tahoma"/>
            <family val="2"/>
          </rPr>
          <t>Variable cell</t>
        </r>
      </text>
    </comment>
    <comment ref="E18" authorId="0" shapeId="0" xr:uid="{E488F486-1B7F-43D9-97AF-F50A513524B8}">
      <text>
        <r>
          <rPr>
            <sz val="8"/>
            <color indexed="81"/>
            <rFont val="Tahoma"/>
            <family val="2"/>
          </rPr>
          <t>Variable cell</t>
        </r>
      </text>
    </comment>
    <comment ref="E19" authorId="0" shapeId="0" xr:uid="{7A805568-FD2D-40E6-88FB-D04DDC113EC6}">
      <text>
        <r>
          <rPr>
            <sz val="8"/>
            <color indexed="81"/>
            <rFont val="Tahoma"/>
            <family val="2"/>
          </rPr>
          <t>Objective cell</t>
        </r>
      </text>
    </comment>
    <comment ref="H19" authorId="0" shapeId="0" xr:uid="{3382195F-5A25-4358-A1A3-3A632103C0C3}">
      <text>
        <r>
          <rPr>
            <sz val="8"/>
            <color indexed="81"/>
            <rFont val="Tahoma"/>
            <family val="2"/>
          </rPr>
          <t>Constraint cell</t>
        </r>
      </text>
    </comment>
    <comment ref="I19" authorId="0" shapeId="0" xr:uid="{0AF82637-5C01-48F7-9F7D-51CFFCF22E0E}">
      <text>
        <r>
          <rPr>
            <sz val="8"/>
            <color indexed="81"/>
            <rFont val="Tahoma"/>
            <family val="2"/>
          </rPr>
          <t>Constraint cell</t>
        </r>
      </text>
    </comment>
    <comment ref="J19" authorId="0" shapeId="0" xr:uid="{217D4F8C-23EC-4662-B3E2-D23F6F6EE5D1}">
      <text>
        <r>
          <rPr>
            <sz val="8"/>
            <color indexed="81"/>
            <rFont val="Tahoma"/>
            <family val="2"/>
          </rPr>
          <t>Constraint cell</t>
        </r>
      </text>
    </comment>
    <comment ref="K19" authorId="0" shapeId="0" xr:uid="{95867AA6-0C30-4A18-B8AC-16199E8080AA}">
      <text>
        <r>
          <rPr>
            <sz val="8"/>
            <color indexed="81"/>
            <rFont val="Tahoma"/>
            <family val="2"/>
          </rPr>
          <t>Constraint cell</t>
        </r>
      </text>
    </comment>
    <comment ref="L19" authorId="0" shapeId="0" xr:uid="{69A61069-693B-4C65-9833-B4DD1F0001D5}">
      <text>
        <r>
          <rPr>
            <sz val="8"/>
            <color indexed="81"/>
            <rFont val="Tahoma"/>
            <family val="2"/>
          </rPr>
          <t>Constraint cell</t>
        </r>
      </text>
    </comment>
    <comment ref="M19" authorId="0" shapeId="0" xr:uid="{919BFA35-D265-4C38-B047-A8AB3269BE06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<sst xmlns="http://schemas.openxmlformats.org/spreadsheetml/2006/main" count="208" uniqueCount="146">
  <si>
    <t>min</t>
  </si>
  <si>
    <t>max</t>
  </si>
  <si>
    <t>IQR</t>
  </si>
  <si>
    <t>mean</t>
  </si>
  <si>
    <t>sd</t>
  </si>
  <si>
    <t>sigma</t>
  </si>
  <si>
    <t>25-fence</t>
  </si>
  <si>
    <t>75-fence</t>
  </si>
  <si>
    <t>sigma_h</t>
  </si>
  <si>
    <t>c6:</t>
  </si>
  <si>
    <t>L5:</t>
  </si>
  <si>
    <t>M5:</t>
  </si>
  <si>
    <t>Pr(sigma)</t>
  </si>
  <si>
    <t>Pr(d | h)</t>
  </si>
  <si>
    <t>sum</t>
  </si>
  <si>
    <t>Pr(h | d)</t>
  </si>
  <si>
    <t>key</t>
  </si>
  <si>
    <t>AF4:</t>
  </si>
  <si>
    <t>D5:</t>
  </si>
  <si>
    <t>F9:</t>
  </si>
  <si>
    <t>I5:</t>
  </si>
  <si>
    <t>D3:</t>
  </si>
  <si>
    <t>C4:</t>
  </si>
  <si>
    <t>c13:</t>
  </si>
  <si>
    <t>C5:</t>
  </si>
  <si>
    <t>E5:</t>
  </si>
  <si>
    <t>F5:</t>
  </si>
  <si>
    <t>G4:</t>
  </si>
  <si>
    <t>S5:</t>
  </si>
  <si>
    <t>T5:</t>
  </si>
  <si>
    <t>U5:</t>
  </si>
  <si>
    <t>T3:</t>
  </si>
  <si>
    <t>h = hypotheses</t>
  </si>
  <si>
    <t>d = data = wages</t>
  </si>
  <si>
    <t>claims</t>
  </si>
  <si>
    <t>xi</t>
  </si>
  <si>
    <t>xi_h</t>
  </si>
  <si>
    <t>mu_thres</t>
  </si>
  <si>
    <t>u</t>
  </si>
  <si>
    <t>title</t>
  </si>
  <si>
    <t>x-axis</t>
  </si>
  <si>
    <t>y-axis</t>
  </si>
  <si>
    <t>Time Series of Workers Compensation Claims</t>
  </si>
  <si>
    <t>year</t>
  </si>
  <si>
    <t>Mean Excess Over Threshold</t>
  </si>
  <si>
    <t>thresholds</t>
  </si>
  <si>
    <t>mean excess over threshold</t>
  </si>
  <si>
    <t>threshold u grid</t>
  </si>
  <si>
    <t>intervals</t>
  </si>
  <si>
    <t>width</t>
  </si>
  <si>
    <t>max Pr(xi, sigma)</t>
  </si>
  <si>
    <t>xi_max</t>
  </si>
  <si>
    <t>sigma_max</t>
  </si>
  <si>
    <t>gross_claims</t>
  </si>
  <si>
    <t>lowest to highest</t>
  </si>
  <si>
    <t>F4:</t>
  </si>
  <si>
    <t>G16:</t>
  </si>
  <si>
    <t>G17:</t>
  </si>
  <si>
    <t>G18:</t>
  </si>
  <si>
    <t>V16:</t>
  </si>
  <si>
    <t>D6:</t>
  </si>
  <si>
    <t>C6:</t>
  </si>
  <si>
    <t>skew</t>
  </si>
  <si>
    <t>kurtosis</t>
  </si>
  <si>
    <t>count</t>
  </si>
  <si>
    <t>Pr(xi)</t>
  </si>
  <si>
    <t>cov(xi, sigma)</t>
  </si>
  <si>
    <t>mu_xi</t>
  </si>
  <si>
    <t>sig_sigma</t>
  </si>
  <si>
    <t>mu_sigma</t>
  </si>
  <si>
    <t>sig_xi</t>
  </si>
  <si>
    <t>rho</t>
  </si>
  <si>
    <t>dev</t>
  </si>
  <si>
    <t>dev^2</t>
  </si>
  <si>
    <t>Pr(xi_i,sigma_i)</t>
  </si>
  <si>
    <t>normalized</t>
  </si>
  <si>
    <t>dev_xi*dev_sigma</t>
  </si>
  <si>
    <t>Claims (000)</t>
  </si>
  <si>
    <t>fund</t>
  </si>
  <si>
    <t>inflow</t>
  </si>
  <si>
    <t>outflow</t>
  </si>
  <si>
    <t>return</t>
  </si>
  <si>
    <t>A</t>
  </si>
  <si>
    <t>B</t>
  </si>
  <si>
    <t>C</t>
  </si>
  <si>
    <t>D</t>
  </si>
  <si>
    <t>year of cash flow</t>
  </si>
  <si>
    <t>Y4:</t>
  </si>
  <si>
    <t>H4:</t>
  </si>
  <si>
    <t>I4:</t>
  </si>
  <si>
    <t>J4:</t>
  </si>
  <si>
    <t>L4:</t>
  </si>
  <si>
    <t>M4:</t>
  </si>
  <si>
    <t>N4:</t>
  </si>
  <si>
    <t>B4:</t>
  </si>
  <si>
    <t>D4:</t>
  </si>
  <si>
    <t>E4:</t>
  </si>
  <si>
    <t>sum_pr_xi_sigma</t>
  </si>
  <si>
    <t>T4:</t>
  </si>
  <si>
    <t>U4:</t>
  </si>
  <si>
    <t xml:space="preserve">Vegan Workers Insurance Fund </t>
  </si>
  <si>
    <t>year of casl flow</t>
  </si>
  <si>
    <t>cash flow per year</t>
  </si>
  <si>
    <t>capital</t>
  </si>
  <si>
    <t>capital invested in year 1</t>
  </si>
  <si>
    <t>surplus</t>
  </si>
  <si>
    <t>M</t>
  </si>
  <si>
    <t>claims_sim</t>
  </si>
  <si>
    <t>capital_yr1</t>
  </si>
  <si>
    <t>cut and paste into fund-allocation constraint</t>
  </si>
  <si>
    <t>copy and paste special values to fund-simulation</t>
  </si>
  <si>
    <t>E19:</t>
  </si>
  <si>
    <t>M19:</t>
  </si>
  <si>
    <t>M20:</t>
  </si>
  <si>
    <t>run</t>
  </si>
  <si>
    <t>interval</t>
  </si>
  <si>
    <t>begin</t>
  </si>
  <si>
    <t>end</t>
  </si>
  <si>
    <t>mid</t>
  </si>
  <si>
    <t>frequency</t>
  </si>
  <si>
    <t>relative frequency</t>
  </si>
  <si>
    <t>cumulative relative prequency</t>
  </si>
  <si>
    <t>y1-axis</t>
  </si>
  <si>
    <t>y2-axis</t>
  </si>
  <si>
    <t>mad</t>
  </si>
  <si>
    <t>skewness</t>
  </si>
  <si>
    <t>kurtosis (+3)</t>
  </si>
  <si>
    <t>G3:</t>
  </si>
  <si>
    <t>H3:</t>
  </si>
  <si>
    <t>I3:</t>
  </si>
  <si>
    <t>J3:</t>
  </si>
  <si>
    <t>K3:</t>
  </si>
  <si>
    <t>L3:</t>
  </si>
  <si>
    <t>M3:</t>
  </si>
  <si>
    <t>N3:</t>
  </si>
  <si>
    <t>K23:</t>
  </si>
  <si>
    <t>sim_list</t>
  </si>
  <si>
    <t>max_claim</t>
  </si>
  <si>
    <t>$ amount</t>
  </si>
  <si>
    <t>GPD pdf</t>
  </si>
  <si>
    <t>Raw GPD pmf</t>
  </si>
  <si>
    <t>sum_pmf</t>
  </si>
  <si>
    <t>N3</t>
  </si>
  <si>
    <t>O3</t>
  </si>
  <si>
    <t>N4</t>
  </si>
  <si>
    <t>GDF cdf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</si>
</sst>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$&quot;#,##0_);\(&quot;$&quot;#,##0\)"/>
    <numFmt numFmtId="164" formatCode="0.0000"/>
    <numFmt numFmtId="165" formatCode="0.000"/>
    <numFmt numFmtId="166" formatCode="0.000000"/>
    <numFmt numFmtId="167" formatCode="General_)"/>
    <numFmt numFmtId="168" formatCode="0.0%"/>
    <numFmt numFmtId="169" formatCode="&quot;$&quot;#,##0.000_);\(&quot;$&quot;#,##0.000\)"/>
    <numFmt numFmtId="170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167" fontId="5" fillId="0" borderId="0"/>
    <xf numFmtId="9" fontId="5" fillId="0" borderId="0" applyFont="0" applyFill="0" applyBorder="0" applyAlignment="0" applyProtection="0"/>
  </cellStyleXfs>
  <cellXfs count="198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2" xfId="0" applyBorder="1"/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0" borderId="1" xfId="0" applyBorder="1"/>
    <xf numFmtId="0" fontId="0" fillId="2" borderId="1" xfId="0" applyFill="1" applyBorder="1"/>
    <xf numFmtId="9" fontId="0" fillId="2" borderId="2" xfId="0" applyNumberFormat="1" applyFill="1" applyBorder="1"/>
    <xf numFmtId="9" fontId="0" fillId="2" borderId="3" xfId="0" applyNumberFormat="1" applyFill="1" applyBorder="1"/>
    <xf numFmtId="9" fontId="0" fillId="2" borderId="4" xfId="0" applyNumberFormat="1" applyFill="1" applyBorder="1"/>
    <xf numFmtId="0" fontId="0" fillId="2" borderId="2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0" borderId="0" xfId="0" applyNumberFormat="1"/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165" fontId="0" fillId="0" borderId="7" xfId="0" applyNumberFormat="1" applyBorder="1"/>
    <xf numFmtId="165" fontId="0" fillId="0" borderId="5" xfId="0" applyNumberFormat="1" applyBorder="1"/>
    <xf numFmtId="165" fontId="0" fillId="0" borderId="11" xfId="0" applyNumberFormat="1" applyBorder="1"/>
    <xf numFmtId="165" fontId="0" fillId="0" borderId="12" xfId="0" applyNumberFormat="1" applyBorder="1"/>
    <xf numFmtId="165" fontId="0" fillId="0" borderId="8" xfId="0" applyNumberFormat="1" applyBorder="1"/>
    <xf numFmtId="165" fontId="0" fillId="0" borderId="6" xfId="0" applyNumberFormat="1" applyBorder="1"/>
    <xf numFmtId="2" fontId="0" fillId="0" borderId="5" xfId="0" applyNumberFormat="1" applyBorder="1"/>
    <xf numFmtId="2" fontId="0" fillId="0" borderId="6" xfId="0" applyNumberFormat="1" applyBorder="1"/>
    <xf numFmtId="2" fontId="0" fillId="0" borderId="2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8" xfId="0" applyBorder="1"/>
    <xf numFmtId="164" fontId="0" fillId="0" borderId="7" xfId="0" applyNumberFormat="1" applyBorder="1"/>
    <xf numFmtId="164" fontId="0" fillId="0" borderId="0" xfId="0" applyNumberFormat="1" applyBorder="1"/>
    <xf numFmtId="164" fontId="0" fillId="0" borderId="14" xfId="0" applyNumberFormat="1" applyBorder="1"/>
    <xf numFmtId="1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1" fontId="0" fillId="0" borderId="7" xfId="0" applyNumberFormat="1" applyFill="1" applyBorder="1"/>
    <xf numFmtId="11" fontId="0" fillId="0" borderId="5" xfId="0" applyNumberFormat="1" applyBorder="1"/>
    <xf numFmtId="11" fontId="0" fillId="0" borderId="11" xfId="0" applyNumberFormat="1" applyFill="1" applyBorder="1"/>
    <xf numFmtId="11" fontId="0" fillId="0" borderId="12" xfId="0" applyNumberFormat="1" applyBorder="1"/>
    <xf numFmtId="11" fontId="0" fillId="0" borderId="8" xfId="0" applyNumberFormat="1" applyFill="1" applyBorder="1"/>
    <xf numFmtId="11" fontId="0" fillId="0" borderId="6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9" xfId="0" applyNumberFormat="1" applyBorder="1"/>
    <xf numFmtId="0" fontId="2" fillId="0" borderId="0" xfId="0" applyFont="1"/>
    <xf numFmtId="11" fontId="2" fillId="0" borderId="1" xfId="0" applyNumberFormat="1" applyFont="1" applyFill="1" applyBorder="1"/>
    <xf numFmtId="0" fontId="4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horizontal="center"/>
    </xf>
    <xf numFmtId="165" fontId="0" fillId="0" borderId="1" xfId="0" applyNumberFormat="1" applyBorder="1"/>
    <xf numFmtId="164" fontId="0" fillId="0" borderId="1" xfId="0" applyNumberFormat="1" applyBorder="1"/>
    <xf numFmtId="166" fontId="0" fillId="0" borderId="7" xfId="0" applyNumberFormat="1" applyBorder="1"/>
    <xf numFmtId="166" fontId="0" fillId="0" borderId="15" xfId="0" applyNumberFormat="1" applyBorder="1"/>
    <xf numFmtId="166" fontId="0" fillId="0" borderId="5" xfId="0" applyNumberFormat="1" applyBorder="1"/>
    <xf numFmtId="166" fontId="0" fillId="0" borderId="11" xfId="0" applyNumberFormat="1" applyBorder="1"/>
    <xf numFmtId="166" fontId="0" fillId="0" borderId="0" xfId="0" applyNumberFormat="1" applyBorder="1"/>
    <xf numFmtId="166" fontId="0" fillId="0" borderId="12" xfId="0" applyNumberFormat="1" applyBorder="1"/>
    <xf numFmtId="166" fontId="0" fillId="0" borderId="8" xfId="0" applyNumberFormat="1" applyBorder="1"/>
    <xf numFmtId="166" fontId="0" fillId="0" borderId="14" xfId="0" applyNumberFormat="1" applyBorder="1"/>
    <xf numFmtId="166" fontId="0" fillId="0" borderId="6" xfId="0" applyNumberFormat="1" applyBorder="1"/>
    <xf numFmtId="166" fontId="0" fillId="0" borderId="10" xfId="0" applyNumberFormat="1" applyBorder="1"/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0" fillId="0" borderId="4" xfId="0" applyBorder="1"/>
    <xf numFmtId="2" fontId="0" fillId="3" borderId="2" xfId="0" applyNumberFormat="1" applyFill="1" applyBorder="1" applyAlignment="1">
      <alignment horizontal="right"/>
    </xf>
    <xf numFmtId="2" fontId="0" fillId="3" borderId="2" xfId="0" applyNumberFormat="1" applyFill="1" applyBorder="1"/>
    <xf numFmtId="2" fontId="0" fillId="3" borderId="4" xfId="0" applyNumberFormat="1" applyFill="1" applyBorder="1"/>
    <xf numFmtId="0" fontId="3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4" fillId="0" borderId="1" xfId="0" applyFont="1" applyBorder="1"/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horizontal="right"/>
    </xf>
    <xf numFmtId="2" fontId="0" fillId="4" borderId="9" xfId="0" applyNumberFormat="1" applyFill="1" applyBorder="1"/>
    <xf numFmtId="166" fontId="0" fillId="4" borderId="11" xfId="0" applyNumberFormat="1" applyFill="1" applyBorder="1"/>
    <xf numFmtId="166" fontId="0" fillId="4" borderId="0" xfId="0" applyNumberFormat="1" applyFill="1" applyBorder="1"/>
    <xf numFmtId="166" fontId="0" fillId="4" borderId="12" xfId="0" applyNumberFormat="1" applyFill="1" applyBorder="1"/>
    <xf numFmtId="166" fontId="0" fillId="4" borderId="10" xfId="0" applyNumberFormat="1" applyFill="1" applyBorder="1"/>
    <xf numFmtId="0" fontId="0" fillId="4" borderId="2" xfId="0" applyFill="1" applyBorder="1"/>
    <xf numFmtId="166" fontId="0" fillId="4" borderId="15" xfId="0" applyNumberFormat="1" applyFill="1" applyBorder="1"/>
    <xf numFmtId="166" fontId="0" fillId="4" borderId="14" xfId="0" applyNumberFormat="1" applyFill="1" applyBorder="1"/>
    <xf numFmtId="164" fontId="0" fillId="4" borderId="4" xfId="0" applyNumberFormat="1" applyFill="1" applyBorder="1"/>
    <xf numFmtId="0" fontId="3" fillId="0" borderId="0" xfId="0" applyFont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3" xfId="0" applyBorder="1"/>
    <xf numFmtId="166" fontId="0" fillId="0" borderId="0" xfId="0" applyNumberFormat="1"/>
    <xf numFmtId="2" fontId="0" fillId="0" borderId="0" xfId="0" applyNumberFormat="1" applyBorder="1"/>
    <xf numFmtId="0" fontId="0" fillId="0" borderId="14" xfId="0" applyBorder="1"/>
    <xf numFmtId="0" fontId="0" fillId="0" borderId="1" xfId="0" applyBorder="1" applyAlignment="1">
      <alignment horizontal="center" vertical="center"/>
    </xf>
    <xf numFmtId="2" fontId="0" fillId="0" borderId="14" xfId="0" applyNumberFormat="1" applyBorder="1"/>
    <xf numFmtId="164" fontId="0" fillId="0" borderId="0" xfId="0" applyNumberFormat="1"/>
    <xf numFmtId="167" fontId="5" fillId="4" borderId="1" xfId="1" applyFill="1" applyBorder="1" applyAlignment="1">
      <alignment horizontal="center"/>
    </xf>
    <xf numFmtId="5" fontId="5" fillId="0" borderId="1" xfId="1" applyNumberFormat="1" applyBorder="1" applyAlignment="1">
      <alignment horizontal="center"/>
    </xf>
    <xf numFmtId="167" fontId="5" fillId="4" borderId="0" xfId="1" applyFill="1"/>
    <xf numFmtId="167" fontId="5" fillId="0" borderId="2" xfId="1" applyBorder="1" applyAlignment="1">
      <alignment horizontal="center"/>
    </xf>
    <xf numFmtId="167" fontId="5" fillId="0" borderId="7" xfId="1" applyBorder="1" applyAlignment="1">
      <alignment horizontal="center"/>
    </xf>
    <xf numFmtId="167" fontId="5" fillId="0" borderId="5" xfId="1" applyBorder="1" applyAlignment="1">
      <alignment horizontal="center"/>
    </xf>
    <xf numFmtId="168" fontId="5" fillId="0" borderId="2" xfId="2" applyNumberFormat="1" applyFont="1" applyBorder="1" applyAlignment="1" applyProtection="1">
      <alignment horizontal="center"/>
    </xf>
    <xf numFmtId="167" fontId="5" fillId="0" borderId="3" xfId="1" applyBorder="1" applyAlignment="1">
      <alignment horizontal="center"/>
    </xf>
    <xf numFmtId="167" fontId="5" fillId="0" borderId="11" xfId="1" applyBorder="1" applyAlignment="1">
      <alignment horizontal="center"/>
    </xf>
    <xf numFmtId="167" fontId="5" fillId="0" borderId="12" xfId="1" applyBorder="1" applyAlignment="1">
      <alignment horizontal="center"/>
    </xf>
    <xf numFmtId="168" fontId="5" fillId="0" borderId="3" xfId="2" applyNumberFormat="1" applyFont="1" applyBorder="1" applyAlignment="1" applyProtection="1">
      <alignment horizontal="center"/>
    </xf>
    <xf numFmtId="167" fontId="5" fillId="0" borderId="4" xfId="1" applyBorder="1" applyAlignment="1">
      <alignment horizontal="center"/>
    </xf>
    <xf numFmtId="167" fontId="5" fillId="0" borderId="8" xfId="1" applyBorder="1" applyAlignment="1">
      <alignment horizontal="center"/>
    </xf>
    <xf numFmtId="167" fontId="5" fillId="0" borderId="6" xfId="1" applyBorder="1" applyAlignment="1">
      <alignment horizontal="center"/>
    </xf>
    <xf numFmtId="168" fontId="5" fillId="0" borderId="4" xfId="2" applyNumberFormat="1" applyFont="1" applyBorder="1" applyAlignment="1" applyProtection="1">
      <alignment horizontal="center"/>
    </xf>
    <xf numFmtId="166" fontId="0" fillId="0" borderId="1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/>
    </xf>
    <xf numFmtId="0" fontId="0" fillId="0" borderId="0" xfId="0" applyBorder="1"/>
    <xf numFmtId="0" fontId="3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7" fontId="7" fillId="0" borderId="0" xfId="1" applyFont="1"/>
    <xf numFmtId="167" fontId="5" fillId="0" borderId="0" xfId="1"/>
    <xf numFmtId="169" fontId="5" fillId="0" borderId="0" xfId="1" applyNumberFormat="1"/>
    <xf numFmtId="167" fontId="5" fillId="0" borderId="0" xfId="1" applyAlignment="1">
      <alignment horizontal="center"/>
    </xf>
    <xf numFmtId="167" fontId="5" fillId="0" borderId="1" xfId="1" applyBorder="1" applyAlignment="1">
      <alignment horizontal="center"/>
    </xf>
    <xf numFmtId="165" fontId="5" fillId="5" borderId="16" xfId="1" applyNumberFormat="1" applyFill="1" applyBorder="1" applyAlignment="1">
      <alignment horizontal="center"/>
    </xf>
    <xf numFmtId="167" fontId="5" fillId="0" borderId="15" xfId="1" applyBorder="1" applyAlignment="1">
      <alignment horizontal="center"/>
    </xf>
    <xf numFmtId="165" fontId="5" fillId="5" borderId="17" xfId="1" applyNumberFormat="1" applyFill="1" applyBorder="1" applyAlignment="1">
      <alignment horizontal="center"/>
    </xf>
    <xf numFmtId="165" fontId="5" fillId="5" borderId="18" xfId="1" applyNumberFormat="1" applyFill="1" applyBorder="1" applyAlignment="1">
      <alignment horizontal="center"/>
    </xf>
    <xf numFmtId="167" fontId="5" fillId="0" borderId="14" xfId="1" applyBorder="1" applyAlignment="1">
      <alignment horizontal="center"/>
    </xf>
    <xf numFmtId="165" fontId="5" fillId="4" borderId="19" xfId="1" applyNumberFormat="1" applyFill="1" applyBorder="1" applyAlignment="1">
      <alignment horizontal="center"/>
    </xf>
    <xf numFmtId="170" fontId="5" fillId="6" borderId="3" xfId="1" applyNumberFormat="1" applyFill="1" applyBorder="1" applyAlignment="1">
      <alignment horizontal="center"/>
    </xf>
    <xf numFmtId="170" fontId="5" fillId="7" borderId="0" xfId="1" applyNumberFormat="1" applyFill="1" applyAlignment="1">
      <alignment horizontal="center"/>
    </xf>
    <xf numFmtId="5" fontId="5" fillId="0" borderId="0" xfId="1" applyNumberFormat="1" applyAlignment="1">
      <alignment horizontal="center"/>
    </xf>
    <xf numFmtId="167" fontId="8" fillId="0" borderId="9" xfId="1" applyFont="1" applyBorder="1" applyAlignment="1">
      <alignment horizontal="right"/>
    </xf>
    <xf numFmtId="0" fontId="0" fillId="0" borderId="1" xfId="0" applyFill="1" applyBorder="1" applyAlignment="1">
      <alignment horizontal="center" vertical="center"/>
    </xf>
    <xf numFmtId="167" fontId="5" fillId="0" borderId="1" xfId="1" applyBorder="1"/>
    <xf numFmtId="167" fontId="10" fillId="0" borderId="1" xfId="1" applyFont="1" applyBorder="1"/>
    <xf numFmtId="167" fontId="10" fillId="0" borderId="0" xfId="1" applyFont="1"/>
    <xf numFmtId="2" fontId="3" fillId="0" borderId="1" xfId="0" applyNumberFormat="1" applyFont="1" applyBorder="1"/>
    <xf numFmtId="167" fontId="8" fillId="0" borderId="0" xfId="1" applyFont="1" applyBorder="1" applyAlignment="1">
      <alignment horizontal="right"/>
    </xf>
    <xf numFmtId="0" fontId="0" fillId="0" borderId="9" xfId="0" applyBorder="1"/>
    <xf numFmtId="0" fontId="0" fillId="0" borderId="13" xfId="0" applyBorder="1"/>
    <xf numFmtId="0" fontId="0" fillId="0" borderId="10" xfId="0" applyBorder="1"/>
    <xf numFmtId="167" fontId="10" fillId="0" borderId="2" xfId="1" applyFont="1" applyBorder="1"/>
    <xf numFmtId="167" fontId="5" fillId="0" borderId="10" xfId="1" applyBorder="1"/>
    <xf numFmtId="167" fontId="8" fillId="0" borderId="9" xfId="1" applyFont="1" applyBorder="1"/>
    <xf numFmtId="167" fontId="10" fillId="0" borderId="13" xfId="1" applyFont="1" applyBorder="1"/>
    <xf numFmtId="167" fontId="10" fillId="0" borderId="10" xfId="1" applyFont="1" applyBorder="1"/>
    <xf numFmtId="167" fontId="10" fillId="0" borderId="9" xfId="1" applyFont="1" applyBorder="1" applyAlignment="1">
      <alignment vertical="center"/>
    </xf>
    <xf numFmtId="167" fontId="10" fillId="0" borderId="1" xfId="1" applyFont="1" applyBorder="1" applyAlignment="1"/>
    <xf numFmtId="167" fontId="10" fillId="0" borderId="1" xfId="1" applyFont="1" applyBorder="1" applyAlignment="1">
      <alignment horizontal="right"/>
    </xf>
    <xf numFmtId="167" fontId="10" fillId="0" borderId="10" xfId="1" applyFont="1" applyBorder="1" applyAlignment="1">
      <alignment horizontal="right"/>
    </xf>
    <xf numFmtId="167" fontId="10" fillId="0" borderId="0" xfId="1" applyFont="1" applyBorder="1" applyAlignment="1"/>
    <xf numFmtId="167" fontId="5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2" fontId="0" fillId="0" borderId="3" xfId="0" applyNumberFormat="1" applyBorder="1" applyAlignment="1">
      <alignment horizontal="right"/>
    </xf>
    <xf numFmtId="2" fontId="0" fillId="0" borderId="4" xfId="0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2" fontId="0" fillId="0" borderId="12" xfId="0" applyNumberFormat="1" applyBorder="1"/>
    <xf numFmtId="164" fontId="0" fillId="0" borderId="1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11" fontId="2" fillId="0" borderId="1" xfId="0" applyNumberFormat="1" applyFont="1" applyFill="1" applyBorder="1" applyAlignment="1"/>
    <xf numFmtId="11" fontId="2" fillId="0" borderId="1" xfId="0" applyNumberFormat="1" applyFont="1" applyFill="1" applyBorder="1" applyAlignment="1">
      <alignment horizontal="left"/>
    </xf>
    <xf numFmtId="0" fontId="0" fillId="0" borderId="2" xfId="0" applyBorder="1" applyAlignment="1">
      <alignment horizontal="center" vertical="center" textRotation="90"/>
    </xf>
    <xf numFmtId="0" fontId="0" fillId="0" borderId="3" xfId="0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/>
    </xf>
    <xf numFmtId="0" fontId="3" fillId="0" borderId="1" xfId="0" applyFont="1" applyBorder="1" applyAlignment="1">
      <alignment horizontal="left"/>
    </xf>
    <xf numFmtId="167" fontId="5" fillId="4" borderId="9" xfId="1" applyFill="1" applyBorder="1" applyAlignment="1">
      <alignment horizontal="right"/>
    </xf>
    <xf numFmtId="167" fontId="5" fillId="4" borderId="10" xfId="1" applyFill="1" applyBorder="1" applyAlignment="1">
      <alignment horizontal="right"/>
    </xf>
    <xf numFmtId="167" fontId="5" fillId="4" borderId="9" xfId="1" applyFill="1" applyBorder="1" applyAlignment="1">
      <alignment horizontal="center"/>
    </xf>
    <xf numFmtId="167" fontId="5" fillId="4" borderId="10" xfId="1" applyFill="1" applyBorder="1" applyAlignment="1">
      <alignment horizontal="center"/>
    </xf>
    <xf numFmtId="167" fontId="5" fillId="0" borderId="9" xfId="1" applyBorder="1" applyAlignment="1">
      <alignment horizontal="center"/>
    </xf>
    <xf numFmtId="167" fontId="5" fillId="0" borderId="10" xfId="1" applyBorder="1" applyAlignment="1">
      <alignment horizontal="center"/>
    </xf>
    <xf numFmtId="167" fontId="5" fillId="0" borderId="13" xfId="1" applyBorder="1" applyAlignment="1">
      <alignment horizontal="center"/>
    </xf>
    <xf numFmtId="167" fontId="8" fillId="0" borderId="9" xfId="1" applyFont="1" applyBorder="1" applyAlignment="1">
      <alignment horizontal="right"/>
    </xf>
    <xf numFmtId="167" fontId="8" fillId="0" borderId="13" xfId="1" applyFont="1" applyBorder="1" applyAlignment="1">
      <alignment horizontal="right"/>
    </xf>
    <xf numFmtId="167" fontId="8" fillId="0" borderId="10" xfId="1" applyFont="1" applyBorder="1" applyAlignment="1">
      <alignment horizontal="right"/>
    </xf>
    <xf numFmtId="167" fontId="5" fillId="0" borderId="4" xfId="1" applyBorder="1" applyAlignment="1">
      <alignment horizontal="right"/>
    </xf>
    <xf numFmtId="167" fontId="5" fillId="0" borderId="9" xfId="1" applyBorder="1" applyAlignment="1">
      <alignment horizontal="right"/>
    </xf>
    <xf numFmtId="167" fontId="5" fillId="0" borderId="10" xfId="1" applyBorder="1" applyAlignment="1">
      <alignment horizontal="right"/>
    </xf>
    <xf numFmtId="167" fontId="10" fillId="0" borderId="1" xfId="1" applyFont="1" applyBorder="1" applyAlignment="1">
      <alignment horizontal="left"/>
    </xf>
  </cellXfs>
  <cellStyles count="3">
    <cellStyle name="Normal" xfId="0" builtinId="0"/>
    <cellStyle name="Normal 3" xfId="1" xr:uid="{2B1D89AA-3277-4F11-A41A-1B0A3AA830DA}"/>
    <cellStyle name="Percent 2" xfId="2" xr:uid="{F40E7387-2831-434B-8091-5909ED300D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'mean-excess-over-threshold'!$AJ$2</c:f>
          <c:strCache>
            <c:ptCount val="1"/>
            <c:pt idx="0">
              <c:v>Mean Excess Over Threshold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'mean-excess-over-threshold'!$AI$4</c:f>
              <c:strCache>
                <c:ptCount val="1"/>
                <c:pt idx="0">
                  <c:v>y-axis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'mean-excess-over-threshold'!$F$15:$Q$15</c:f>
              <c:numCache>
                <c:formatCode>General</c:formatCode>
                <c:ptCount val="12"/>
                <c:pt idx="0">
                  <c:v>200</c:v>
                </c:pt>
                <c:pt idx="1">
                  <c:v>272.72727272727275</c:v>
                </c:pt>
                <c:pt idx="2">
                  <c:v>345.4545454545455</c:v>
                </c:pt>
                <c:pt idx="3">
                  <c:v>418.18181818181824</c:v>
                </c:pt>
                <c:pt idx="4">
                  <c:v>490.90909090909099</c:v>
                </c:pt>
                <c:pt idx="5">
                  <c:v>563.63636363636374</c:v>
                </c:pt>
                <c:pt idx="6">
                  <c:v>636.36363636363649</c:v>
                </c:pt>
                <c:pt idx="7">
                  <c:v>709.09090909090924</c:v>
                </c:pt>
                <c:pt idx="8">
                  <c:v>781.81818181818198</c:v>
                </c:pt>
                <c:pt idx="9">
                  <c:v>854.54545454545473</c:v>
                </c:pt>
                <c:pt idx="10">
                  <c:v>927.27272727272748</c:v>
                </c:pt>
                <c:pt idx="11">
                  <c:v>1000.0000000000002</c:v>
                </c:pt>
              </c:numCache>
            </c:numRef>
          </c:xVal>
          <c:yVal>
            <c:numRef>
              <c:f>'mean-excess-over-threshold'!$F$16:$Q$16</c:f>
              <c:numCache>
                <c:formatCode>0.000</c:formatCode>
                <c:ptCount val="12"/>
                <c:pt idx="0">
                  <c:v>717.66666666666663</c:v>
                </c:pt>
                <c:pt idx="1">
                  <c:v>644.93939393939388</c:v>
                </c:pt>
                <c:pt idx="2">
                  <c:v>572.21212121212113</c:v>
                </c:pt>
                <c:pt idx="3">
                  <c:v>499.48484848484844</c:v>
                </c:pt>
                <c:pt idx="4">
                  <c:v>426.75757575757569</c:v>
                </c:pt>
                <c:pt idx="5">
                  <c:v>354.03030303030295</c:v>
                </c:pt>
                <c:pt idx="6">
                  <c:v>281.3030303030302</c:v>
                </c:pt>
                <c:pt idx="7">
                  <c:v>329.90909090909076</c:v>
                </c:pt>
                <c:pt idx="8">
                  <c:v>257.18181818181802</c:v>
                </c:pt>
                <c:pt idx="9">
                  <c:v>184.45454545454527</c:v>
                </c:pt>
                <c:pt idx="10">
                  <c:v>275.72727272727252</c:v>
                </c:pt>
                <c:pt idx="11">
                  <c:v>202.99999999999977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7-4F47-ACFC-9BAE53AF5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25392"/>
        <c:axId val="64087152"/>
      </c:scatterChart>
      <c:valAx>
        <c:axId val="12972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'mean-excess-over-threshold'!$AJ$3</c:f>
              <c:strCache>
                <c:ptCount val="1"/>
                <c:pt idx="0">
                  <c:v>thresholds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7152"/>
        <c:crosses val="autoZero"/>
        <c:crossBetween val="midCat"/>
      </c:valAx>
      <c:valAx>
        <c:axId val="6408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'mean-excess-over-threshold'!$AJ$4</c:f>
              <c:strCache>
                <c:ptCount val="1"/>
                <c:pt idx="0">
                  <c:v>mean excess over threshold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2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eda!$F$18</c:f>
          <c:strCache>
            <c:ptCount val="1"/>
            <c:pt idx="0">
              <c:v>Time Series of Workers Compensation Claims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eda!$F$20</c:f>
              <c:strCache>
                <c:ptCount val="1"/>
                <c:pt idx="0">
                  <c:v>claims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587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data!$C$3:$C$14</c:f>
              <c:numCache>
                <c:formatCode>General</c:formatCode>
                <c:ptCount val="12"/>
                <c:pt idx="0">
                  <c:v>107</c:v>
                </c:pt>
                <c:pt idx="1">
                  <c:v>126</c:v>
                </c:pt>
                <c:pt idx="2">
                  <c:v>118</c:v>
                </c:pt>
                <c:pt idx="3">
                  <c:v>106</c:v>
                </c:pt>
                <c:pt idx="4">
                  <c:v>108</c:v>
                </c:pt>
                <c:pt idx="5">
                  <c:v>675</c:v>
                </c:pt>
                <c:pt idx="6">
                  <c:v>110</c:v>
                </c:pt>
                <c:pt idx="7">
                  <c:v>143</c:v>
                </c:pt>
                <c:pt idx="8">
                  <c:v>101</c:v>
                </c:pt>
                <c:pt idx="9">
                  <c:v>1203</c:v>
                </c:pt>
                <c:pt idx="10">
                  <c:v>875</c:v>
                </c:pt>
                <c:pt idx="11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D-4ACF-A36C-8FAE691B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333136"/>
        <c:axId val="1947299504"/>
      </c:scatterChart>
      <c:valAx>
        <c:axId val="1989333136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299504"/>
        <c:crosses val="autoZero"/>
        <c:crossBetween val="midCat"/>
      </c:valAx>
      <c:valAx>
        <c:axId val="194729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33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'eda-sim-short-term'!$T$3</c:f>
          <c:strCache>
            <c:ptCount val="1"/>
            <c:pt idx="0">
              <c:v>capital_yr1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'eda-sim-short-term'!$L$2</c:f>
              <c:strCache>
                <c:ptCount val="1"/>
                <c:pt idx="0">
                  <c:v>relative frequency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'eda-sim-short-term'!$J$3:$J$23</c:f>
              <c:numCache>
                <c:formatCode>General</c:formatCode>
                <c:ptCount val="21"/>
                <c:pt idx="0">
                  <c:v>747.74567633354536</c:v>
                </c:pt>
                <c:pt idx="1">
                  <c:v>1065.8910135596182</c:v>
                </c:pt>
                <c:pt idx="2">
                  <c:v>1384.0363507856907</c:v>
                </c:pt>
                <c:pt idx="3">
                  <c:v>1702.1816880117633</c:v>
                </c:pt>
                <c:pt idx="4">
                  <c:v>2020.3270252378359</c:v>
                </c:pt>
                <c:pt idx="5">
                  <c:v>2338.4723624639082</c:v>
                </c:pt>
                <c:pt idx="6">
                  <c:v>2656.6176996899812</c:v>
                </c:pt>
                <c:pt idx="7">
                  <c:v>2974.7630369160534</c:v>
                </c:pt>
                <c:pt idx="8">
                  <c:v>3292.9083741421264</c:v>
                </c:pt>
                <c:pt idx="9">
                  <c:v>3611.0537113681985</c:v>
                </c:pt>
                <c:pt idx="10">
                  <c:v>3929.1990485942715</c:v>
                </c:pt>
                <c:pt idx="11">
                  <c:v>4247.3443858203436</c:v>
                </c:pt>
                <c:pt idx="12">
                  <c:v>4565.4897230464167</c:v>
                </c:pt>
                <c:pt idx="13">
                  <c:v>4883.6350602724897</c:v>
                </c:pt>
                <c:pt idx="14">
                  <c:v>5201.7803974985627</c:v>
                </c:pt>
                <c:pt idx="15">
                  <c:v>5519.9257347246357</c:v>
                </c:pt>
                <c:pt idx="16">
                  <c:v>5838.0710719507088</c:v>
                </c:pt>
                <c:pt idx="17">
                  <c:v>6156.2164091767818</c:v>
                </c:pt>
                <c:pt idx="18">
                  <c:v>6474.3617464028548</c:v>
                </c:pt>
                <c:pt idx="19">
                  <c:v>6792.5070836289278</c:v>
                </c:pt>
                <c:pt idx="20">
                  <c:v>7110.6524208550009</c:v>
                </c:pt>
              </c:numCache>
            </c:numRef>
          </c:xVal>
          <c:yVal>
            <c:numRef>
              <c:f>'eda-sim-short-term'!$L$3:$L$23</c:f>
              <c:numCache>
                <c:formatCode>0.0000</c:formatCode>
                <c:ptCount val="21"/>
                <c:pt idx="0">
                  <c:v>0.24</c:v>
                </c:pt>
                <c:pt idx="1">
                  <c:v>0.13</c:v>
                </c:pt>
                <c:pt idx="2">
                  <c:v>0.1</c:v>
                </c:pt>
                <c:pt idx="3">
                  <c:v>0.06</c:v>
                </c:pt>
                <c:pt idx="4">
                  <c:v>0.03</c:v>
                </c:pt>
                <c:pt idx="5">
                  <c:v>0.01</c:v>
                </c:pt>
                <c:pt idx="6">
                  <c:v>7.0000000000000007E-2</c:v>
                </c:pt>
                <c:pt idx="7">
                  <c:v>0.16</c:v>
                </c:pt>
                <c:pt idx="8">
                  <c:v>0.04</c:v>
                </c:pt>
                <c:pt idx="9">
                  <c:v>0.03</c:v>
                </c:pt>
                <c:pt idx="10">
                  <c:v>0.04</c:v>
                </c:pt>
                <c:pt idx="11">
                  <c:v>0</c:v>
                </c:pt>
                <c:pt idx="12">
                  <c:v>0.02</c:v>
                </c:pt>
                <c:pt idx="13">
                  <c:v>0.03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8D-40F6-8909-238D62481066}"/>
            </c:ext>
          </c:extLst>
        </c:ser>
        <c:ser>
          <c:idx val="3"/>
          <c:order val="3"/>
          <c:tx>
            <c:strRef>
              <c:f>'eda-sim-short-term'!$O$2</c:f>
              <c:strCache>
                <c:ptCount val="1"/>
                <c:pt idx="0">
                  <c:v>GPD pdf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'eda-sim-short-term'!$J$3:$J$23</c:f>
              <c:numCache>
                <c:formatCode>General</c:formatCode>
                <c:ptCount val="21"/>
                <c:pt idx="0">
                  <c:v>747.74567633354536</c:v>
                </c:pt>
                <c:pt idx="1">
                  <c:v>1065.8910135596182</c:v>
                </c:pt>
                <c:pt idx="2">
                  <c:v>1384.0363507856907</c:v>
                </c:pt>
                <c:pt idx="3">
                  <c:v>1702.1816880117633</c:v>
                </c:pt>
                <c:pt idx="4">
                  <c:v>2020.3270252378359</c:v>
                </c:pt>
                <c:pt idx="5">
                  <c:v>2338.4723624639082</c:v>
                </c:pt>
                <c:pt idx="6">
                  <c:v>2656.6176996899812</c:v>
                </c:pt>
                <c:pt idx="7">
                  <c:v>2974.7630369160534</c:v>
                </c:pt>
                <c:pt idx="8">
                  <c:v>3292.9083741421264</c:v>
                </c:pt>
                <c:pt idx="9">
                  <c:v>3611.0537113681985</c:v>
                </c:pt>
                <c:pt idx="10">
                  <c:v>3929.1990485942715</c:v>
                </c:pt>
                <c:pt idx="11">
                  <c:v>4247.3443858203436</c:v>
                </c:pt>
                <c:pt idx="12">
                  <c:v>4565.4897230464167</c:v>
                </c:pt>
                <c:pt idx="13">
                  <c:v>4883.6350602724897</c:v>
                </c:pt>
                <c:pt idx="14">
                  <c:v>5201.7803974985627</c:v>
                </c:pt>
                <c:pt idx="15">
                  <c:v>5519.9257347246357</c:v>
                </c:pt>
                <c:pt idx="16">
                  <c:v>5838.0710719507088</c:v>
                </c:pt>
                <c:pt idx="17">
                  <c:v>6156.2164091767818</c:v>
                </c:pt>
                <c:pt idx="18">
                  <c:v>6474.3617464028548</c:v>
                </c:pt>
                <c:pt idx="19">
                  <c:v>6792.5070836289278</c:v>
                </c:pt>
                <c:pt idx="20">
                  <c:v>7110.6524208550009</c:v>
                </c:pt>
              </c:numCache>
            </c:numRef>
          </c:xVal>
          <c:yVal>
            <c:numRef>
              <c:f>'eda-sim-short-term'!$O$3:$O$23</c:f>
              <c:numCache>
                <c:formatCode>0.0000</c:formatCode>
                <c:ptCount val="21"/>
                <c:pt idx="0">
                  <c:v>0.28872296140697457</c:v>
                </c:pt>
                <c:pt idx="1">
                  <c:v>0.16011585098287873</c:v>
                </c:pt>
                <c:pt idx="2">
                  <c:v>0.1050840359413333</c:v>
                </c:pt>
                <c:pt idx="3">
                  <c:v>7.5709321862923409E-2</c:v>
                </c:pt>
                <c:pt idx="4">
                  <c:v>5.7881677210097467E-2</c:v>
                </c:pt>
                <c:pt idx="5">
                  <c:v>4.6109774649495422E-2</c:v>
                </c:pt>
                <c:pt idx="6">
                  <c:v>3.7857655619462943E-2</c:v>
                </c:pt>
                <c:pt idx="7">
                  <c:v>3.1808796323253584E-2</c:v>
                </c:pt>
                <c:pt idx="8">
                  <c:v>2.7218702785652846E-2</c:v>
                </c:pt>
                <c:pt idx="9">
                  <c:v>2.3637894582440307E-2</c:v>
                </c:pt>
                <c:pt idx="10">
                  <c:v>2.0780586331528537E-2</c:v>
                </c:pt>
                <c:pt idx="11">
                  <c:v>1.8457275193633049E-2</c:v>
                </c:pt>
                <c:pt idx="12">
                  <c:v>1.6537851884827655E-2</c:v>
                </c:pt>
                <c:pt idx="13">
                  <c:v>1.4930327406497402E-2</c:v>
                </c:pt>
                <c:pt idx="14">
                  <c:v>1.3568014583656012E-2</c:v>
                </c:pt>
                <c:pt idx="15">
                  <c:v>1.2401510563831911E-2</c:v>
                </c:pt>
                <c:pt idx="16">
                  <c:v>1.1393518495777827E-2</c:v>
                </c:pt>
                <c:pt idx="17">
                  <c:v>1.0515408177891528E-2</c:v>
                </c:pt>
                <c:pt idx="18">
                  <c:v>9.7448749217327549E-3</c:v>
                </c:pt>
                <c:pt idx="19">
                  <c:v>9.064310929720364E-3</c:v>
                </c:pt>
                <c:pt idx="20">
                  <c:v>8.4596501463907528E-3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8D-40F6-8909-238D6248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25376"/>
        <c:axId val="445343456"/>
      </c:scatterChart>
      <c:scatterChart>
        <c:scatterStyle val="smoothMarker"/>
        <c:varyColors val="0"/>
        <c:ser>
          <c:idx val="1"/>
          <c:order val="1"/>
          <c:tx>
            <c:strRef>
              <c:f>'eda-sim-short-term'!$M$2</c:f>
              <c:strCache>
                <c:ptCount val="1"/>
                <c:pt idx="0">
                  <c:v>cumulative relative prequency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'eda-sim-short-term'!$J$3:$J$23</c:f>
              <c:numCache>
                <c:formatCode>General</c:formatCode>
                <c:ptCount val="21"/>
                <c:pt idx="0">
                  <c:v>747.74567633354536</c:v>
                </c:pt>
                <c:pt idx="1">
                  <c:v>1065.8910135596182</c:v>
                </c:pt>
                <c:pt idx="2">
                  <c:v>1384.0363507856907</c:v>
                </c:pt>
                <c:pt idx="3">
                  <c:v>1702.1816880117633</c:v>
                </c:pt>
                <c:pt idx="4">
                  <c:v>2020.3270252378359</c:v>
                </c:pt>
                <c:pt idx="5">
                  <c:v>2338.4723624639082</c:v>
                </c:pt>
                <c:pt idx="6">
                  <c:v>2656.6176996899812</c:v>
                </c:pt>
                <c:pt idx="7">
                  <c:v>2974.7630369160534</c:v>
                </c:pt>
                <c:pt idx="8">
                  <c:v>3292.9083741421264</c:v>
                </c:pt>
                <c:pt idx="9">
                  <c:v>3611.0537113681985</c:v>
                </c:pt>
                <c:pt idx="10">
                  <c:v>3929.1990485942715</c:v>
                </c:pt>
                <c:pt idx="11">
                  <c:v>4247.3443858203436</c:v>
                </c:pt>
                <c:pt idx="12">
                  <c:v>4565.4897230464167</c:v>
                </c:pt>
                <c:pt idx="13">
                  <c:v>4883.6350602724897</c:v>
                </c:pt>
                <c:pt idx="14">
                  <c:v>5201.7803974985627</c:v>
                </c:pt>
                <c:pt idx="15">
                  <c:v>5519.9257347246357</c:v>
                </c:pt>
                <c:pt idx="16">
                  <c:v>5838.0710719507088</c:v>
                </c:pt>
                <c:pt idx="17">
                  <c:v>6156.2164091767818</c:v>
                </c:pt>
                <c:pt idx="18">
                  <c:v>6474.3617464028548</c:v>
                </c:pt>
                <c:pt idx="19">
                  <c:v>6792.5070836289278</c:v>
                </c:pt>
                <c:pt idx="20">
                  <c:v>7110.6524208550009</c:v>
                </c:pt>
              </c:numCache>
            </c:numRef>
          </c:xVal>
          <c:yVal>
            <c:numRef>
              <c:f>'eda-sim-short-term'!$M$3:$M$23</c:f>
              <c:numCache>
                <c:formatCode>0.0000</c:formatCode>
                <c:ptCount val="21"/>
                <c:pt idx="0">
                  <c:v>0.24</c:v>
                </c:pt>
                <c:pt idx="1">
                  <c:v>0.37</c:v>
                </c:pt>
                <c:pt idx="2">
                  <c:v>0.47</c:v>
                </c:pt>
                <c:pt idx="3">
                  <c:v>0.53</c:v>
                </c:pt>
                <c:pt idx="4">
                  <c:v>0.56000000000000005</c:v>
                </c:pt>
                <c:pt idx="5">
                  <c:v>0.57000000000000006</c:v>
                </c:pt>
                <c:pt idx="6">
                  <c:v>0.64000000000000012</c:v>
                </c:pt>
                <c:pt idx="7">
                  <c:v>0.80000000000000016</c:v>
                </c:pt>
                <c:pt idx="8">
                  <c:v>0.84000000000000019</c:v>
                </c:pt>
                <c:pt idx="9">
                  <c:v>0.87000000000000022</c:v>
                </c:pt>
                <c:pt idx="10">
                  <c:v>0.91000000000000025</c:v>
                </c:pt>
                <c:pt idx="11">
                  <c:v>0.91000000000000025</c:v>
                </c:pt>
                <c:pt idx="12">
                  <c:v>0.93000000000000027</c:v>
                </c:pt>
                <c:pt idx="13">
                  <c:v>0.9600000000000003</c:v>
                </c:pt>
                <c:pt idx="14">
                  <c:v>0.97000000000000031</c:v>
                </c:pt>
                <c:pt idx="15">
                  <c:v>0.98000000000000032</c:v>
                </c:pt>
                <c:pt idx="16">
                  <c:v>0.99000000000000032</c:v>
                </c:pt>
                <c:pt idx="17">
                  <c:v>0.99000000000000032</c:v>
                </c:pt>
                <c:pt idx="18">
                  <c:v>0.99000000000000032</c:v>
                </c:pt>
                <c:pt idx="19">
                  <c:v>0.99000000000000032</c:v>
                </c:pt>
                <c:pt idx="20">
                  <c:v>1.0000000000000002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D-40F6-8909-238D62481066}"/>
            </c:ext>
          </c:extLst>
        </c:ser>
        <c:ser>
          <c:idx val="2"/>
          <c:order val="2"/>
          <c:tx>
            <c:strRef>
              <c:f>'eda-sim-short-term'!$P$2</c:f>
              <c:strCache>
                <c:ptCount val="1"/>
                <c:pt idx="0">
                  <c:v>GDF cdf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'eda-sim-short-term'!$J$3:$J$23</c:f>
              <c:numCache>
                <c:formatCode>General</c:formatCode>
                <c:ptCount val="21"/>
                <c:pt idx="0">
                  <c:v>747.74567633354536</c:v>
                </c:pt>
                <c:pt idx="1">
                  <c:v>1065.8910135596182</c:v>
                </c:pt>
                <c:pt idx="2">
                  <c:v>1384.0363507856907</c:v>
                </c:pt>
                <c:pt idx="3">
                  <c:v>1702.1816880117633</c:v>
                </c:pt>
                <c:pt idx="4">
                  <c:v>2020.3270252378359</c:v>
                </c:pt>
                <c:pt idx="5">
                  <c:v>2338.4723624639082</c:v>
                </c:pt>
                <c:pt idx="6">
                  <c:v>2656.6176996899812</c:v>
                </c:pt>
                <c:pt idx="7">
                  <c:v>2974.7630369160534</c:v>
                </c:pt>
                <c:pt idx="8">
                  <c:v>3292.9083741421264</c:v>
                </c:pt>
                <c:pt idx="9">
                  <c:v>3611.0537113681985</c:v>
                </c:pt>
                <c:pt idx="10">
                  <c:v>3929.1990485942715</c:v>
                </c:pt>
                <c:pt idx="11">
                  <c:v>4247.3443858203436</c:v>
                </c:pt>
                <c:pt idx="12">
                  <c:v>4565.4897230464167</c:v>
                </c:pt>
                <c:pt idx="13">
                  <c:v>4883.6350602724897</c:v>
                </c:pt>
                <c:pt idx="14">
                  <c:v>5201.7803974985627</c:v>
                </c:pt>
                <c:pt idx="15">
                  <c:v>5519.9257347246357</c:v>
                </c:pt>
                <c:pt idx="16">
                  <c:v>5838.0710719507088</c:v>
                </c:pt>
                <c:pt idx="17">
                  <c:v>6156.2164091767818</c:v>
                </c:pt>
                <c:pt idx="18">
                  <c:v>6474.3617464028548</c:v>
                </c:pt>
                <c:pt idx="19">
                  <c:v>6792.5070836289278</c:v>
                </c:pt>
                <c:pt idx="20">
                  <c:v>7110.6524208550009</c:v>
                </c:pt>
              </c:numCache>
            </c:numRef>
          </c:xVal>
          <c:yVal>
            <c:numRef>
              <c:f>'eda-sim-short-term'!$P$3:$P$23</c:f>
              <c:numCache>
                <c:formatCode>0.0000</c:formatCode>
                <c:ptCount val="21"/>
                <c:pt idx="0">
                  <c:v>0.28872296140697457</c:v>
                </c:pt>
                <c:pt idx="1">
                  <c:v>0.44883881238985329</c:v>
                </c:pt>
                <c:pt idx="2">
                  <c:v>0.55392284833118655</c:v>
                </c:pt>
                <c:pt idx="3">
                  <c:v>0.62963217019411</c:v>
                </c:pt>
                <c:pt idx="4">
                  <c:v>0.68751384740420751</c:v>
                </c:pt>
                <c:pt idx="5">
                  <c:v>0.73362362205370291</c:v>
                </c:pt>
                <c:pt idx="6">
                  <c:v>0.77148127767316588</c:v>
                </c:pt>
                <c:pt idx="7">
                  <c:v>0.8032900739964195</c:v>
                </c:pt>
                <c:pt idx="8">
                  <c:v>0.83050877678207236</c:v>
                </c:pt>
                <c:pt idx="9">
                  <c:v>0.85414667136451261</c:v>
                </c:pt>
                <c:pt idx="10">
                  <c:v>0.87492725769604118</c:v>
                </c:pt>
                <c:pt idx="11">
                  <c:v>0.89338453288967423</c:v>
                </c:pt>
                <c:pt idx="12">
                  <c:v>0.90992238477450194</c:v>
                </c:pt>
                <c:pt idx="13">
                  <c:v>0.92485271218099929</c:v>
                </c:pt>
                <c:pt idx="14">
                  <c:v>0.93842072676465527</c:v>
                </c:pt>
                <c:pt idx="15">
                  <c:v>0.95082223732848714</c:v>
                </c:pt>
                <c:pt idx="16">
                  <c:v>0.962215755824265</c:v>
                </c:pt>
                <c:pt idx="17">
                  <c:v>0.97273116400215653</c:v>
                </c:pt>
                <c:pt idx="18">
                  <c:v>0.98247603892388924</c:v>
                </c:pt>
                <c:pt idx="19">
                  <c:v>0.99154034985360961</c:v>
                </c:pt>
                <c:pt idx="20">
                  <c:v>1.0000000000000004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8D-40F6-8909-238D6248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83776"/>
        <c:axId val="543985024"/>
      </c:scatterChart>
      <c:valAx>
        <c:axId val="2060225376"/>
        <c:scaling>
          <c:orientation val="minMax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'eda-sim-short-term'!$T$4</c:f>
              <c:strCache>
                <c:ptCount val="1"/>
                <c:pt idx="0">
                  <c:v>$ amount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343456"/>
        <c:crosses val="autoZero"/>
        <c:crossBetween val="midCat"/>
      </c:valAx>
      <c:valAx>
        <c:axId val="44534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'eda-sim-short-term'!$T$5</c:f>
              <c:strCache>
                <c:ptCount val="1"/>
                <c:pt idx="0">
                  <c:v>relative frequency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225376"/>
        <c:crosses val="autoZero"/>
        <c:crossBetween val="midCat"/>
      </c:valAx>
      <c:valAx>
        <c:axId val="543985024"/>
        <c:scaling>
          <c:orientation val="minMax"/>
        </c:scaling>
        <c:delete val="0"/>
        <c:axPos val="r"/>
        <c:title>
          <c:tx>
            <c:strRef>
              <c:f>'eda-sim-short-term'!$T$6</c:f>
              <c:strCache>
                <c:ptCount val="1"/>
                <c:pt idx="0">
                  <c:v>cumulative relative prequency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83776"/>
        <c:crosses val="max"/>
        <c:crossBetween val="midCat"/>
      </c:valAx>
      <c:valAx>
        <c:axId val="54398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3985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ustomXml" Target="../ink/ink1.xml"/><Relationship Id="rId27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ustomXml" Target="../ink/ink2.xml"/><Relationship Id="rId1" Type="http://schemas.openxmlformats.org/officeDocument/2006/relationships/chart" Target="../charts/chart1.xml"/><Relationship Id="rId27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266280</xdr:colOff>
      <xdr:row>1</xdr:row>
      <xdr:rowOff>48566</xdr:rowOff>
    </xdr:from>
    <xdr:to>
      <xdr:col>4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611320</xdr:colOff>
      <xdr:row>0</xdr:row>
      <xdr:rowOff>136300</xdr:rowOff>
    </xdr:from>
    <xdr:to>
      <xdr:col>33</xdr:col>
      <xdr:colOff>306520</xdr:colOff>
      <xdr:row>15</xdr:row>
      <xdr:rowOff>136300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266280</xdr:colOff>
      <xdr:row>1</xdr:row>
      <xdr:rowOff>48566</xdr:rowOff>
    </xdr:from>
    <xdr:to>
      <xdr:col>1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</xdr:colOff>
      <xdr:row>20</xdr:row>
      <xdr:rowOff>91440</xdr:rowOff>
    </xdr:from>
    <xdr:to>
      <xdr:col>3</xdr:col>
      <xdr:colOff>68580</xdr:colOff>
      <xdr:row>25</xdr:row>
      <xdr:rowOff>28575</xdr:rowOff>
    </xdr:to>
    <xdr:sp macro="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630555" y="3467100"/>
          <a:ext cx="1746885" cy="7753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  <a:effectLst>
          <a:outerShdw blurRad="63500"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Minimize:       E19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 E7:E18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   G19:L19=G20:L20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           E7:E18&gt;=0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21</xdr:row>
          <xdr:rowOff>129540</xdr:rowOff>
        </xdr:from>
        <xdr:to>
          <xdr:col>11</xdr:col>
          <xdr:colOff>91440</xdr:colOff>
          <xdr:row>24</xdr:row>
          <xdr:rowOff>83820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Allocator 1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21</xdr:row>
          <xdr:rowOff>152400</xdr:rowOff>
        </xdr:from>
        <xdr:to>
          <xdr:col>14</xdr:col>
          <xdr:colOff>213360</xdr:colOff>
          <xdr:row>24</xdr:row>
          <xdr:rowOff>68580</xdr:rowOff>
        </xdr:to>
        <xdr:sp macro="" textlink="">
          <xdr:nvSpPr>
            <xdr:cNvPr id="11285" name="Butto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8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Allocator 100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596900</xdr:colOff>
      <xdr:row>6</xdr:row>
      <xdr:rowOff>173990</xdr:rowOff>
    </xdr:from>
    <xdr:to>
      <xdr:col>22</xdr:col>
      <xdr:colOff>429260</xdr:colOff>
      <xdr:row>25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gfoo/OneDrive/Documents/0-decision-optimization/mbac617/00021S/week5/3-workbook/week5-sim-1-waiting-time-cholesky-dem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DA/Dropbox/SMDA/SMDA%207ed/SMDA%207ed%20Data%20Files/Chapter%2003/Taco-Viv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ulation-a-b"/>
      <sheetName val="simulation-live"/>
      <sheetName val="eda"/>
      <sheetName val="&gt;&gt;&gt;&gt;&gt;&gt;"/>
      <sheetName val="simulation-pm"/>
      <sheetName val="simulation-am"/>
      <sheetName val="control"/>
      <sheetName val="cholesky"/>
      <sheetName val="gaussian"/>
      <sheetName val="poisson"/>
    </sheetNames>
    <sheetDataSet>
      <sheetData sheetId="0">
        <row r="10">
          <cell r="C10">
            <v>10</v>
          </cell>
        </row>
        <row r="11">
          <cell r="C11">
            <v>20</v>
          </cell>
        </row>
      </sheetData>
      <sheetData sheetId="1">
        <row r="2">
          <cell r="F2" t="str">
            <v>mu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co-Viva"/>
    </sheetNames>
    <definedNames>
      <definedName name="Toggle"/>
    </definedNames>
    <sheetDataSet>
      <sheetData sheetId="0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2-27T21:28:38.702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4-24T16:55:15.333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AE7D4-94B8-4186-879E-5199D7CC7F4C}">
  <sheetPr codeName="Sheet1"/>
  <dimension ref="B2:G14"/>
  <sheetViews>
    <sheetView workbookViewId="0">
      <selection activeCell="J3" sqref="J3"/>
    </sheetView>
  </sheetViews>
  <sheetFormatPr defaultRowHeight="14.4" x14ac:dyDescent="0.3"/>
  <cols>
    <col min="3" max="3" width="10.44140625" customWidth="1"/>
  </cols>
  <sheetData>
    <row r="2" spans="2:7" x14ac:dyDescent="0.3">
      <c r="B2" t="s">
        <v>43</v>
      </c>
      <c r="C2" s="5" t="s">
        <v>53</v>
      </c>
      <c r="E2" s="33" t="s">
        <v>43</v>
      </c>
      <c r="F2" s="1" t="s">
        <v>34</v>
      </c>
      <c r="G2" s="33"/>
    </row>
    <row r="3" spans="2:7" x14ac:dyDescent="0.3">
      <c r="B3">
        <v>1</v>
      </c>
      <c r="C3">
        <v>107</v>
      </c>
      <c r="E3">
        <v>9</v>
      </c>
      <c r="F3">
        <v>101</v>
      </c>
    </row>
    <row r="4" spans="2:7" x14ac:dyDescent="0.3">
      <c r="B4">
        <v>2</v>
      </c>
      <c r="C4">
        <v>126</v>
      </c>
      <c r="E4">
        <v>12</v>
      </c>
      <c r="F4">
        <v>103</v>
      </c>
    </row>
    <row r="5" spans="2:7" x14ac:dyDescent="0.3">
      <c r="B5">
        <v>3</v>
      </c>
      <c r="C5">
        <v>118</v>
      </c>
      <c r="E5">
        <v>4</v>
      </c>
      <c r="F5">
        <v>106</v>
      </c>
    </row>
    <row r="6" spans="2:7" x14ac:dyDescent="0.3">
      <c r="B6">
        <v>4</v>
      </c>
      <c r="C6">
        <v>106</v>
      </c>
      <c r="E6">
        <v>1</v>
      </c>
      <c r="F6">
        <v>107</v>
      </c>
    </row>
    <row r="7" spans="2:7" x14ac:dyDescent="0.3">
      <c r="B7">
        <v>5</v>
      </c>
      <c r="C7">
        <v>108</v>
      </c>
      <c r="E7">
        <v>5</v>
      </c>
      <c r="F7">
        <v>108</v>
      </c>
    </row>
    <row r="8" spans="2:7" x14ac:dyDescent="0.3">
      <c r="B8">
        <v>6</v>
      </c>
      <c r="C8">
        <v>675</v>
      </c>
      <c r="E8">
        <v>7</v>
      </c>
      <c r="F8">
        <v>110</v>
      </c>
    </row>
    <row r="9" spans="2:7" x14ac:dyDescent="0.3">
      <c r="B9">
        <v>7</v>
      </c>
      <c r="C9">
        <v>110</v>
      </c>
      <c r="E9">
        <v>3</v>
      </c>
      <c r="F9">
        <v>118</v>
      </c>
    </row>
    <row r="10" spans="2:7" x14ac:dyDescent="0.3">
      <c r="B10">
        <v>8</v>
      </c>
      <c r="C10">
        <v>143</v>
      </c>
      <c r="E10">
        <v>2</v>
      </c>
      <c r="F10">
        <v>126</v>
      </c>
    </row>
    <row r="11" spans="2:7" x14ac:dyDescent="0.3">
      <c r="B11">
        <v>9</v>
      </c>
      <c r="C11">
        <v>101</v>
      </c>
      <c r="E11">
        <v>8</v>
      </c>
      <c r="F11">
        <v>143</v>
      </c>
    </row>
    <row r="12" spans="2:7" x14ac:dyDescent="0.3">
      <c r="B12">
        <v>10</v>
      </c>
      <c r="C12">
        <v>1203</v>
      </c>
      <c r="E12">
        <v>6</v>
      </c>
      <c r="F12">
        <v>675</v>
      </c>
    </row>
    <row r="13" spans="2:7" x14ac:dyDescent="0.3">
      <c r="B13">
        <v>11</v>
      </c>
      <c r="C13">
        <v>875</v>
      </c>
      <c r="E13">
        <v>11</v>
      </c>
      <c r="F13">
        <v>875</v>
      </c>
    </row>
    <row r="14" spans="2:7" x14ac:dyDescent="0.3">
      <c r="B14">
        <v>12</v>
      </c>
      <c r="C14">
        <v>103</v>
      </c>
      <c r="E14">
        <v>10</v>
      </c>
      <c r="F14">
        <v>1203</v>
      </c>
    </row>
  </sheetData>
  <autoFilter ref="B2:C2" xr:uid="{5566FACA-4FD9-4203-8F2D-F25F3C7F693F}">
    <sortState xmlns:xlrd2="http://schemas.microsoft.com/office/spreadsheetml/2017/richdata2" ref="B3:C14">
      <sortCondition ref="B2"/>
    </sortState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E1C21-FBE2-4663-B649-E7974E95891D}">
  <sheetPr codeName="Sheet2"/>
  <dimension ref="B2:AJ23"/>
  <sheetViews>
    <sheetView topLeftCell="Z1" zoomScale="62" workbookViewId="0">
      <selection activeCell="Z31" sqref="Z31"/>
    </sheetView>
  </sheetViews>
  <sheetFormatPr defaultRowHeight="14.4" x14ac:dyDescent="0.3"/>
  <cols>
    <col min="1" max="1" width="2.77734375" customWidth="1"/>
    <col min="4" max="4" width="3" customWidth="1"/>
    <col min="6" max="6" width="10.5546875" customWidth="1"/>
    <col min="18" max="18" width="3.109375" customWidth="1"/>
    <col min="21" max="21" width="3" customWidth="1"/>
    <col min="26" max="26" width="3.5546875" customWidth="1"/>
  </cols>
  <sheetData>
    <row r="2" spans="2:36" x14ac:dyDescent="0.3">
      <c r="B2" s="33" t="s">
        <v>43</v>
      </c>
      <c r="C2" s="1" t="s">
        <v>34</v>
      </c>
      <c r="D2" s="33"/>
      <c r="E2" s="75" t="str">
        <f>data!F2</f>
        <v>claims</v>
      </c>
      <c r="F2" s="33" t="str">
        <f>"x - "&amp;ROUND(F15, 0)</f>
        <v>x - 200</v>
      </c>
      <c r="G2" s="33" t="str">
        <f t="shared" ref="G2:Q2" si="0">"x - "&amp;ROUND(G15, 0)</f>
        <v>x - 273</v>
      </c>
      <c r="H2" s="33" t="str">
        <f t="shared" si="0"/>
        <v>x - 345</v>
      </c>
      <c r="I2" s="33" t="str">
        <f t="shared" si="0"/>
        <v>x - 418</v>
      </c>
      <c r="J2" s="33" t="str">
        <f t="shared" si="0"/>
        <v>x - 491</v>
      </c>
      <c r="K2" s="33" t="str">
        <f t="shared" si="0"/>
        <v>x - 564</v>
      </c>
      <c r="L2" s="33" t="str">
        <f t="shared" si="0"/>
        <v>x - 636</v>
      </c>
      <c r="M2" s="33" t="str">
        <f t="shared" si="0"/>
        <v>x - 709</v>
      </c>
      <c r="N2" s="33" t="str">
        <f t="shared" si="0"/>
        <v>x - 782</v>
      </c>
      <c r="O2" s="33" t="str">
        <f t="shared" si="0"/>
        <v>x - 855</v>
      </c>
      <c r="P2" s="33" t="str">
        <f t="shared" si="0"/>
        <v>x - 927</v>
      </c>
      <c r="Q2" s="33" t="str">
        <f t="shared" si="0"/>
        <v>x - 1000</v>
      </c>
      <c r="S2" t="s">
        <v>47</v>
      </c>
      <c r="V2" s="33" t="s">
        <v>38</v>
      </c>
      <c r="AI2" s="5" t="s">
        <v>39</v>
      </c>
      <c r="AJ2" t="s">
        <v>44</v>
      </c>
    </row>
    <row r="3" spans="2:36" x14ac:dyDescent="0.3">
      <c r="B3">
        <v>9</v>
      </c>
      <c r="C3">
        <v>101</v>
      </c>
      <c r="E3" s="74">
        <f>C3</f>
        <v>101</v>
      </c>
      <c r="F3" s="74">
        <f>MAX( 0, $E3 - F$15)</f>
        <v>0</v>
      </c>
      <c r="G3" s="74">
        <f t="shared" ref="G3:Q14" si="1">MAX( 0, $E3 - G$15)</f>
        <v>0</v>
      </c>
      <c r="H3" s="74">
        <f t="shared" si="1"/>
        <v>0</v>
      </c>
      <c r="I3" s="74">
        <f t="shared" si="1"/>
        <v>0</v>
      </c>
      <c r="J3" s="74">
        <f t="shared" si="1"/>
        <v>0</v>
      </c>
      <c r="K3" s="74">
        <f t="shared" si="1"/>
        <v>0</v>
      </c>
      <c r="L3" s="74">
        <f t="shared" si="1"/>
        <v>0</v>
      </c>
      <c r="M3" s="74">
        <f t="shared" si="1"/>
        <v>0</v>
      </c>
      <c r="N3" s="74">
        <f t="shared" si="1"/>
        <v>0</v>
      </c>
      <c r="O3" s="74">
        <f t="shared" si="1"/>
        <v>0</v>
      </c>
      <c r="P3" s="74">
        <f t="shared" si="1"/>
        <v>0</v>
      </c>
      <c r="Q3" s="74">
        <f t="shared" si="1"/>
        <v>0</v>
      </c>
      <c r="S3" s="85" t="s">
        <v>1</v>
      </c>
      <c r="T3" s="5">
        <v>1000</v>
      </c>
      <c r="V3" s="19">
        <f>T4</f>
        <v>200</v>
      </c>
      <c r="AI3" s="5" t="s">
        <v>40</v>
      </c>
      <c r="AJ3" t="s">
        <v>45</v>
      </c>
    </row>
    <row r="4" spans="2:36" x14ac:dyDescent="0.3">
      <c r="B4">
        <v>12</v>
      </c>
      <c r="C4">
        <v>103</v>
      </c>
      <c r="E4" s="74">
        <f t="shared" ref="E4:E14" si="2">C4</f>
        <v>103</v>
      </c>
      <c r="F4" s="74">
        <f t="shared" ref="F4:F14" si="3">MAX( 0, $E4 - F$15)</f>
        <v>0</v>
      </c>
      <c r="G4" s="74">
        <f t="shared" si="1"/>
        <v>0</v>
      </c>
      <c r="H4" s="74">
        <f t="shared" si="1"/>
        <v>0</v>
      </c>
      <c r="I4" s="74">
        <f t="shared" si="1"/>
        <v>0</v>
      </c>
      <c r="J4" s="74">
        <f t="shared" si="1"/>
        <v>0</v>
      </c>
      <c r="K4" s="74">
        <f t="shared" si="1"/>
        <v>0</v>
      </c>
      <c r="L4" s="74">
        <f t="shared" si="1"/>
        <v>0</v>
      </c>
      <c r="M4" s="74">
        <f t="shared" si="1"/>
        <v>0</v>
      </c>
      <c r="N4" s="74">
        <f t="shared" si="1"/>
        <v>0</v>
      </c>
      <c r="O4" s="74">
        <f t="shared" si="1"/>
        <v>0</v>
      </c>
      <c r="P4" s="74">
        <f t="shared" si="1"/>
        <v>0</v>
      </c>
      <c r="Q4" s="74">
        <f t="shared" si="1"/>
        <v>0</v>
      </c>
      <c r="S4" s="85" t="s">
        <v>0</v>
      </c>
      <c r="T4" s="5">
        <v>200</v>
      </c>
      <c r="V4" s="19">
        <f>V3 + $T$6</f>
        <v>272.72727272727275</v>
      </c>
      <c r="AI4" s="5" t="s">
        <v>41</v>
      </c>
      <c r="AJ4" t="s">
        <v>46</v>
      </c>
    </row>
    <row r="5" spans="2:36" x14ac:dyDescent="0.3">
      <c r="B5">
        <v>4</v>
      </c>
      <c r="C5">
        <v>106</v>
      </c>
      <c r="E5" s="74">
        <f t="shared" si="2"/>
        <v>106</v>
      </c>
      <c r="F5" s="74">
        <f t="shared" si="3"/>
        <v>0</v>
      </c>
      <c r="G5" s="74">
        <f t="shared" si="1"/>
        <v>0</v>
      </c>
      <c r="H5" s="74">
        <f t="shared" si="1"/>
        <v>0</v>
      </c>
      <c r="I5" s="74">
        <f t="shared" si="1"/>
        <v>0</v>
      </c>
      <c r="J5" s="74">
        <f t="shared" si="1"/>
        <v>0</v>
      </c>
      <c r="K5" s="74">
        <f t="shared" si="1"/>
        <v>0</v>
      </c>
      <c r="L5" s="74">
        <f t="shared" si="1"/>
        <v>0</v>
      </c>
      <c r="M5" s="74">
        <f t="shared" si="1"/>
        <v>0</v>
      </c>
      <c r="N5" s="74">
        <f t="shared" si="1"/>
        <v>0</v>
      </c>
      <c r="O5" s="74">
        <f t="shared" si="1"/>
        <v>0</v>
      </c>
      <c r="P5" s="74">
        <f t="shared" si="1"/>
        <v>0</v>
      </c>
      <c r="Q5" s="74">
        <f t="shared" si="1"/>
        <v>0</v>
      </c>
      <c r="S5" s="85" t="s">
        <v>48</v>
      </c>
      <c r="T5" s="5">
        <v>11</v>
      </c>
      <c r="V5" s="19">
        <f t="shared" ref="V5:V14" si="4">V4 + $T$6</f>
        <v>345.4545454545455</v>
      </c>
    </row>
    <row r="6" spans="2:36" x14ac:dyDescent="0.3">
      <c r="B6">
        <v>1</v>
      </c>
      <c r="C6">
        <v>107</v>
      </c>
      <c r="E6" s="74">
        <f t="shared" si="2"/>
        <v>107</v>
      </c>
      <c r="F6" s="74">
        <f t="shared" si="3"/>
        <v>0</v>
      </c>
      <c r="G6" s="74">
        <f t="shared" si="1"/>
        <v>0</v>
      </c>
      <c r="H6" s="74">
        <f t="shared" si="1"/>
        <v>0</v>
      </c>
      <c r="I6" s="74">
        <f t="shared" si="1"/>
        <v>0</v>
      </c>
      <c r="J6" s="74">
        <f t="shared" si="1"/>
        <v>0</v>
      </c>
      <c r="K6" s="74">
        <f t="shared" si="1"/>
        <v>0</v>
      </c>
      <c r="L6" s="74">
        <f t="shared" si="1"/>
        <v>0</v>
      </c>
      <c r="M6" s="74">
        <f t="shared" si="1"/>
        <v>0</v>
      </c>
      <c r="N6" s="74">
        <f t="shared" si="1"/>
        <v>0</v>
      </c>
      <c r="O6" s="74">
        <f t="shared" si="1"/>
        <v>0</v>
      </c>
      <c r="P6" s="74">
        <f t="shared" si="1"/>
        <v>0</v>
      </c>
      <c r="Q6" s="74">
        <f t="shared" si="1"/>
        <v>0</v>
      </c>
      <c r="S6" s="85" t="s">
        <v>49</v>
      </c>
      <c r="T6" s="5">
        <f>( T3-T4 ) / T5</f>
        <v>72.727272727272734</v>
      </c>
      <c r="V6" s="19">
        <f t="shared" si="4"/>
        <v>418.18181818181824</v>
      </c>
    </row>
    <row r="7" spans="2:36" x14ac:dyDescent="0.3">
      <c r="B7">
        <v>5</v>
      </c>
      <c r="C7">
        <v>108</v>
      </c>
      <c r="E7" s="74">
        <f t="shared" si="2"/>
        <v>108</v>
      </c>
      <c r="F7" s="74">
        <f t="shared" si="3"/>
        <v>0</v>
      </c>
      <c r="G7" s="74">
        <f t="shared" si="1"/>
        <v>0</v>
      </c>
      <c r="H7" s="74">
        <f t="shared" si="1"/>
        <v>0</v>
      </c>
      <c r="I7" s="74">
        <f t="shared" si="1"/>
        <v>0</v>
      </c>
      <c r="J7" s="74">
        <f t="shared" si="1"/>
        <v>0</v>
      </c>
      <c r="K7" s="74">
        <f t="shared" si="1"/>
        <v>0</v>
      </c>
      <c r="L7" s="74">
        <f t="shared" si="1"/>
        <v>0</v>
      </c>
      <c r="M7" s="74">
        <f t="shared" si="1"/>
        <v>0</v>
      </c>
      <c r="N7" s="74">
        <f t="shared" si="1"/>
        <v>0</v>
      </c>
      <c r="O7" s="74">
        <f t="shared" si="1"/>
        <v>0</v>
      </c>
      <c r="P7" s="74">
        <f t="shared" si="1"/>
        <v>0</v>
      </c>
      <c r="Q7" s="74">
        <f t="shared" si="1"/>
        <v>0</v>
      </c>
      <c r="V7" s="19">
        <f t="shared" si="4"/>
        <v>490.90909090909099</v>
      </c>
    </row>
    <row r="8" spans="2:36" x14ac:dyDescent="0.3">
      <c r="B8">
        <v>7</v>
      </c>
      <c r="C8">
        <v>110</v>
      </c>
      <c r="E8" s="74">
        <f t="shared" si="2"/>
        <v>110</v>
      </c>
      <c r="F8" s="74">
        <f t="shared" si="3"/>
        <v>0</v>
      </c>
      <c r="G8" s="74">
        <f t="shared" si="1"/>
        <v>0</v>
      </c>
      <c r="H8" s="74">
        <f t="shared" si="1"/>
        <v>0</v>
      </c>
      <c r="I8" s="74">
        <f t="shared" si="1"/>
        <v>0</v>
      </c>
      <c r="J8" s="74">
        <f t="shared" si="1"/>
        <v>0</v>
      </c>
      <c r="K8" s="74">
        <f t="shared" si="1"/>
        <v>0</v>
      </c>
      <c r="L8" s="74">
        <f t="shared" si="1"/>
        <v>0</v>
      </c>
      <c r="M8" s="74">
        <f t="shared" si="1"/>
        <v>0</v>
      </c>
      <c r="N8" s="74">
        <f t="shared" si="1"/>
        <v>0</v>
      </c>
      <c r="O8" s="74">
        <f t="shared" si="1"/>
        <v>0</v>
      </c>
      <c r="P8" s="74">
        <f t="shared" si="1"/>
        <v>0</v>
      </c>
      <c r="Q8" s="74">
        <f t="shared" si="1"/>
        <v>0</v>
      </c>
      <c r="V8" s="19">
        <f t="shared" si="4"/>
        <v>563.63636363636374</v>
      </c>
    </row>
    <row r="9" spans="2:36" x14ac:dyDescent="0.3">
      <c r="B9">
        <v>3</v>
      </c>
      <c r="C9">
        <v>118</v>
      </c>
      <c r="E9" s="74">
        <f t="shared" si="2"/>
        <v>118</v>
      </c>
      <c r="F9" s="74">
        <f t="shared" si="3"/>
        <v>0</v>
      </c>
      <c r="G9" s="74">
        <f t="shared" si="1"/>
        <v>0</v>
      </c>
      <c r="H9" s="74">
        <f t="shared" si="1"/>
        <v>0</v>
      </c>
      <c r="I9" s="74">
        <f t="shared" si="1"/>
        <v>0</v>
      </c>
      <c r="J9" s="74">
        <f t="shared" si="1"/>
        <v>0</v>
      </c>
      <c r="K9" s="74">
        <f t="shared" si="1"/>
        <v>0</v>
      </c>
      <c r="L9" s="74">
        <f t="shared" si="1"/>
        <v>0</v>
      </c>
      <c r="M9" s="74">
        <f t="shared" si="1"/>
        <v>0</v>
      </c>
      <c r="N9" s="74">
        <f t="shared" si="1"/>
        <v>0</v>
      </c>
      <c r="O9" s="74">
        <f t="shared" si="1"/>
        <v>0</v>
      </c>
      <c r="P9" s="74">
        <f t="shared" si="1"/>
        <v>0</v>
      </c>
      <c r="Q9" s="74">
        <f t="shared" si="1"/>
        <v>0</v>
      </c>
      <c r="V9" s="19">
        <f t="shared" si="4"/>
        <v>636.36363636363649</v>
      </c>
    </row>
    <row r="10" spans="2:36" x14ac:dyDescent="0.3">
      <c r="B10">
        <v>2</v>
      </c>
      <c r="C10">
        <v>126</v>
      </c>
      <c r="E10" s="74">
        <f t="shared" si="2"/>
        <v>126</v>
      </c>
      <c r="F10" s="74">
        <f t="shared" si="3"/>
        <v>0</v>
      </c>
      <c r="G10" s="74">
        <f t="shared" si="1"/>
        <v>0</v>
      </c>
      <c r="H10" s="74">
        <f t="shared" si="1"/>
        <v>0</v>
      </c>
      <c r="I10" s="74">
        <f t="shared" si="1"/>
        <v>0</v>
      </c>
      <c r="J10" s="74">
        <f t="shared" si="1"/>
        <v>0</v>
      </c>
      <c r="K10" s="74">
        <f t="shared" si="1"/>
        <v>0</v>
      </c>
      <c r="L10" s="74">
        <f t="shared" si="1"/>
        <v>0</v>
      </c>
      <c r="M10" s="74">
        <f t="shared" si="1"/>
        <v>0</v>
      </c>
      <c r="N10" s="74">
        <f t="shared" si="1"/>
        <v>0</v>
      </c>
      <c r="O10" s="74">
        <f t="shared" si="1"/>
        <v>0</v>
      </c>
      <c r="P10" s="74">
        <f t="shared" si="1"/>
        <v>0</v>
      </c>
      <c r="Q10" s="74">
        <f t="shared" si="1"/>
        <v>0</v>
      </c>
      <c r="V10" s="19">
        <f t="shared" si="4"/>
        <v>709.09090909090924</v>
      </c>
    </row>
    <row r="11" spans="2:36" x14ac:dyDescent="0.3">
      <c r="B11">
        <v>8</v>
      </c>
      <c r="C11">
        <v>143</v>
      </c>
      <c r="E11" s="74">
        <f t="shared" si="2"/>
        <v>143</v>
      </c>
      <c r="F11" s="74">
        <f t="shared" si="3"/>
        <v>0</v>
      </c>
      <c r="G11" s="74">
        <f t="shared" si="1"/>
        <v>0</v>
      </c>
      <c r="H11" s="74">
        <f t="shared" si="1"/>
        <v>0</v>
      </c>
      <c r="I11" s="74">
        <f t="shared" si="1"/>
        <v>0</v>
      </c>
      <c r="J11" s="74">
        <f t="shared" si="1"/>
        <v>0</v>
      </c>
      <c r="K11" s="74">
        <f t="shared" si="1"/>
        <v>0</v>
      </c>
      <c r="L11" s="74">
        <f t="shared" si="1"/>
        <v>0</v>
      </c>
      <c r="M11" s="74">
        <f t="shared" si="1"/>
        <v>0</v>
      </c>
      <c r="N11" s="74">
        <f t="shared" si="1"/>
        <v>0</v>
      </c>
      <c r="O11" s="74">
        <f t="shared" si="1"/>
        <v>0</v>
      </c>
      <c r="P11" s="74">
        <f t="shared" si="1"/>
        <v>0</v>
      </c>
      <c r="Q11" s="74">
        <f t="shared" si="1"/>
        <v>0</v>
      </c>
      <c r="V11" s="19">
        <f t="shared" si="4"/>
        <v>781.81818181818198</v>
      </c>
    </row>
    <row r="12" spans="2:36" x14ac:dyDescent="0.3">
      <c r="B12">
        <v>6</v>
      </c>
      <c r="C12">
        <v>675</v>
      </c>
      <c r="E12" s="74">
        <f t="shared" si="2"/>
        <v>675</v>
      </c>
      <c r="F12" s="74">
        <f t="shared" si="3"/>
        <v>475</v>
      </c>
      <c r="G12" s="74">
        <f t="shared" si="1"/>
        <v>402.27272727272725</v>
      </c>
      <c r="H12" s="74">
        <f t="shared" si="1"/>
        <v>329.5454545454545</v>
      </c>
      <c r="I12" s="74">
        <f t="shared" si="1"/>
        <v>256.81818181818176</v>
      </c>
      <c r="J12" s="74">
        <f t="shared" si="1"/>
        <v>184.09090909090901</v>
      </c>
      <c r="K12" s="74">
        <f t="shared" si="1"/>
        <v>111.36363636363626</v>
      </c>
      <c r="L12" s="74">
        <f t="shared" si="1"/>
        <v>38.636363636363512</v>
      </c>
      <c r="M12" s="74">
        <f t="shared" si="1"/>
        <v>0</v>
      </c>
      <c r="N12" s="74">
        <f t="shared" si="1"/>
        <v>0</v>
      </c>
      <c r="O12" s="74">
        <f t="shared" si="1"/>
        <v>0</v>
      </c>
      <c r="P12" s="74">
        <f t="shared" si="1"/>
        <v>0</v>
      </c>
      <c r="Q12" s="74">
        <f t="shared" si="1"/>
        <v>0</v>
      </c>
      <c r="V12" s="19">
        <f t="shared" si="4"/>
        <v>854.54545454545473</v>
      </c>
    </row>
    <row r="13" spans="2:36" x14ac:dyDescent="0.3">
      <c r="B13">
        <v>11</v>
      </c>
      <c r="C13">
        <v>875</v>
      </c>
      <c r="E13" s="74">
        <f t="shared" si="2"/>
        <v>875</v>
      </c>
      <c r="F13" s="74">
        <f t="shared" si="3"/>
        <v>675</v>
      </c>
      <c r="G13" s="74">
        <f t="shared" si="1"/>
        <v>602.27272727272725</v>
      </c>
      <c r="H13" s="74">
        <f t="shared" si="1"/>
        <v>529.5454545454545</v>
      </c>
      <c r="I13" s="74">
        <f t="shared" si="1"/>
        <v>456.81818181818176</v>
      </c>
      <c r="J13" s="74">
        <f t="shared" si="1"/>
        <v>384.09090909090901</v>
      </c>
      <c r="K13" s="74">
        <f t="shared" si="1"/>
        <v>311.36363636363626</v>
      </c>
      <c r="L13" s="74">
        <f t="shared" si="1"/>
        <v>238.63636363636351</v>
      </c>
      <c r="M13" s="74">
        <f t="shared" si="1"/>
        <v>165.90909090909076</v>
      </c>
      <c r="N13" s="74">
        <f t="shared" si="1"/>
        <v>93.181818181818016</v>
      </c>
      <c r="O13" s="74">
        <f t="shared" si="1"/>
        <v>20.454545454545269</v>
      </c>
      <c r="P13" s="74">
        <f t="shared" si="1"/>
        <v>0</v>
      </c>
      <c r="Q13" s="74">
        <f t="shared" si="1"/>
        <v>0</v>
      </c>
      <c r="V13" s="19">
        <f t="shared" si="4"/>
        <v>927.27272727272748</v>
      </c>
    </row>
    <row r="14" spans="2:36" x14ac:dyDescent="0.3">
      <c r="B14">
        <v>10</v>
      </c>
      <c r="C14">
        <v>1203</v>
      </c>
      <c r="E14" s="74">
        <f t="shared" si="2"/>
        <v>1203</v>
      </c>
      <c r="F14" s="74">
        <f t="shared" si="3"/>
        <v>1003</v>
      </c>
      <c r="G14" s="74">
        <f t="shared" si="1"/>
        <v>930.27272727272725</v>
      </c>
      <c r="H14" s="74">
        <f t="shared" si="1"/>
        <v>857.5454545454545</v>
      </c>
      <c r="I14" s="74">
        <f t="shared" si="1"/>
        <v>784.81818181818176</v>
      </c>
      <c r="J14" s="74">
        <f t="shared" si="1"/>
        <v>712.09090909090901</v>
      </c>
      <c r="K14" s="74">
        <f t="shared" si="1"/>
        <v>639.36363636363626</v>
      </c>
      <c r="L14" s="74">
        <f t="shared" si="1"/>
        <v>566.63636363636351</v>
      </c>
      <c r="M14" s="74">
        <f t="shared" si="1"/>
        <v>493.90909090909076</v>
      </c>
      <c r="N14" s="74">
        <f t="shared" si="1"/>
        <v>421.18181818181802</v>
      </c>
      <c r="O14" s="74">
        <f t="shared" si="1"/>
        <v>348.45454545454527</v>
      </c>
      <c r="P14" s="74">
        <f t="shared" si="1"/>
        <v>275.72727272727252</v>
      </c>
      <c r="Q14" s="74">
        <f t="shared" si="1"/>
        <v>202.99999999999977</v>
      </c>
      <c r="V14" s="19">
        <f t="shared" si="4"/>
        <v>1000.0000000000002</v>
      </c>
    </row>
    <row r="15" spans="2:36" x14ac:dyDescent="0.3">
      <c r="E15" s="33" t="s">
        <v>38</v>
      </c>
      <c r="F15" s="5">
        <f t="array" ref="F15:Q15">TRANSPOSE( u )</f>
        <v>200</v>
      </c>
      <c r="G15" s="5">
        <v>272.72727272727275</v>
      </c>
      <c r="H15" s="5">
        <v>345.4545454545455</v>
      </c>
      <c r="I15" s="5">
        <v>418.18181818181824</v>
      </c>
      <c r="J15" s="5">
        <v>490.90909090909099</v>
      </c>
      <c r="K15" s="5">
        <v>563.63636363636374</v>
      </c>
      <c r="L15" s="5">
        <v>636.36363636363649</v>
      </c>
      <c r="M15" s="5">
        <v>709.09090909090924</v>
      </c>
      <c r="N15" s="5">
        <v>781.81818181818198</v>
      </c>
      <c r="O15" s="5">
        <v>854.54545454545473</v>
      </c>
      <c r="P15" s="5">
        <v>927.27272727272748</v>
      </c>
      <c r="Q15" s="5">
        <v>1000.0000000000002</v>
      </c>
    </row>
    <row r="16" spans="2:36" x14ac:dyDescent="0.3">
      <c r="E16" s="33" t="s">
        <v>3</v>
      </c>
      <c r="F16" s="62">
        <f>AVERAGEIF( F3:F14, "&gt;"&amp;0  )</f>
        <v>717.66666666666663</v>
      </c>
      <c r="G16" s="62">
        <f t="shared" ref="G16:O16" si="5">AVERAGEIF( G3:G14, "&gt;"&amp;0  )</f>
        <v>644.93939393939388</v>
      </c>
      <c r="H16" s="62">
        <f t="shared" si="5"/>
        <v>572.21212121212113</v>
      </c>
      <c r="I16" s="62">
        <f t="shared" si="5"/>
        <v>499.48484848484844</v>
      </c>
      <c r="J16" s="62">
        <f t="shared" si="5"/>
        <v>426.75757575757569</v>
      </c>
      <c r="K16" s="62">
        <f t="shared" si="5"/>
        <v>354.03030303030295</v>
      </c>
      <c r="L16" s="62">
        <f t="shared" si="5"/>
        <v>281.3030303030302</v>
      </c>
      <c r="M16" s="62">
        <f t="shared" si="5"/>
        <v>329.90909090909076</v>
      </c>
      <c r="N16" s="62">
        <f t="shared" si="5"/>
        <v>257.18181818181802</v>
      </c>
      <c r="O16" s="62">
        <f t="shared" si="5"/>
        <v>184.45454545454527</v>
      </c>
      <c r="P16" s="62">
        <f>AVERAGEIF( P3:P14, "&gt;"&amp;0  )</f>
        <v>275.72727272727252</v>
      </c>
      <c r="Q16" s="62">
        <f>AVERAGEIF( Q3:Q14, "&gt;"&amp;0  )</f>
        <v>202.99999999999977</v>
      </c>
    </row>
    <row r="18" spans="3:22" x14ac:dyDescent="0.3">
      <c r="C18" s="5" t="str">
        <f>C2</f>
        <v>claims</v>
      </c>
      <c r="F18" s="81" t="s">
        <v>55</v>
      </c>
      <c r="G18" s="81" t="s">
        <v>56</v>
      </c>
      <c r="V18" s="83" t="s">
        <v>59</v>
      </c>
    </row>
    <row r="19" spans="3:22" ht="36.6" x14ac:dyDescent="0.3">
      <c r="C19" s="82" t="s">
        <v>54</v>
      </c>
      <c r="F19" s="81" t="str">
        <f ca="1">_xlfn.FORMULATEXT(F2)</f>
        <v>="x - "&amp;ROUND(F15, 0)</v>
      </c>
      <c r="G19" s="81" t="str">
        <f ca="1">_xlfn.FORMULATEXT(G14)</f>
        <v>=MAX( 0, $E14 - G$15)</v>
      </c>
      <c r="V19" s="84" t="str">
        <f ca="1">_xlfn.FORMULATEXT(V14)</f>
        <v>=V13 + $T$6</v>
      </c>
    </row>
    <row r="20" spans="3:22" x14ac:dyDescent="0.3">
      <c r="G20" s="81" t="s">
        <v>57</v>
      </c>
    </row>
    <row r="21" spans="3:22" ht="24.6" x14ac:dyDescent="0.3">
      <c r="G21" s="81" t="str">
        <f ca="1">_xlfn.FORMULATEXT(G15)</f>
        <v>{=TRANSPOSE( u )}</v>
      </c>
    </row>
    <row r="22" spans="3:22" x14ac:dyDescent="0.3">
      <c r="G22" s="81" t="s">
        <v>58</v>
      </c>
    </row>
    <row r="23" spans="3:22" ht="36.6" x14ac:dyDescent="0.3">
      <c r="G23" s="81" t="str">
        <f ca="1">_xlfn.FORMULATEXT(G16)</f>
        <v>=AVERAGEIF( G3:G14, "&gt;"&amp;0  )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457AD-78A6-4B60-9FBF-8B2AE4A10B3F}">
  <sheetPr codeName="Sheet3"/>
  <dimension ref="B3:J20"/>
  <sheetViews>
    <sheetView topLeftCell="H1" workbookViewId="0">
      <selection activeCell="AD24" sqref="AD24"/>
    </sheetView>
  </sheetViews>
  <sheetFormatPr defaultRowHeight="14.4" x14ac:dyDescent="0.3"/>
  <cols>
    <col min="2" max="2" width="15.77734375" customWidth="1"/>
  </cols>
  <sheetData>
    <row r="3" spans="2:3" x14ac:dyDescent="0.3">
      <c r="C3" s="3" t="str">
        <f>data!F2</f>
        <v>claims</v>
      </c>
    </row>
    <row r="4" spans="2:3" x14ac:dyDescent="0.3">
      <c r="B4" s="4" t="s">
        <v>0</v>
      </c>
      <c r="C4" s="20">
        <f ca="1">MIN(INDIRECT(C$3))</f>
        <v>101</v>
      </c>
    </row>
    <row r="5" spans="2:3" x14ac:dyDescent="0.3">
      <c r="B5" s="7">
        <v>0.25</v>
      </c>
      <c r="C5" s="21">
        <f ca="1">PERCENTILE( INDIRECT(C$3), $B5)</f>
        <v>106.75</v>
      </c>
    </row>
    <row r="6" spans="2:3" x14ac:dyDescent="0.3">
      <c r="B6" s="8">
        <v>0.5</v>
      </c>
      <c r="C6" s="21">
        <f ca="1">PERCENTILE( INDIRECT(C$3), $B6)</f>
        <v>114</v>
      </c>
    </row>
    <row r="7" spans="2:3" x14ac:dyDescent="0.3">
      <c r="B7" s="9">
        <v>0.75</v>
      </c>
      <c r="C7" s="21">
        <f ca="1">PERCENTILE( INDIRECT(C$3), $B7)</f>
        <v>276</v>
      </c>
    </row>
    <row r="8" spans="2:3" x14ac:dyDescent="0.3">
      <c r="B8" s="4" t="s">
        <v>1</v>
      </c>
      <c r="C8" s="20">
        <f ca="1">MAX(INDIRECT(C$3))</f>
        <v>1203</v>
      </c>
    </row>
    <row r="9" spans="2:3" x14ac:dyDescent="0.3">
      <c r="B9" s="4" t="s">
        <v>2</v>
      </c>
      <c r="C9" s="20">
        <f ca="1">C7 - C5</f>
        <v>169.25</v>
      </c>
    </row>
    <row r="10" spans="2:3" x14ac:dyDescent="0.3">
      <c r="B10" s="10" t="s">
        <v>3</v>
      </c>
      <c r="C10" s="30">
        <f ca="1">AVERAGE( INDIRECT(C$3))</f>
        <v>314.58333333333331</v>
      </c>
    </row>
    <row r="11" spans="2:3" x14ac:dyDescent="0.3">
      <c r="B11" s="11" t="s">
        <v>4</v>
      </c>
      <c r="C11" s="31">
        <f ca="1">_xlfn.STDEV.S( INDIRECT(C$3))</f>
        <v>381.19607417928245</v>
      </c>
    </row>
    <row r="12" spans="2:3" x14ac:dyDescent="0.3">
      <c r="B12" s="12" t="s">
        <v>50</v>
      </c>
      <c r="C12" s="78">
        <f>MAX( 'xi-sigma-grid'!D4:H8 )</f>
        <v>5.8798974872535145E-2</v>
      </c>
    </row>
    <row r="13" spans="2:3" x14ac:dyDescent="0.3">
      <c r="B13" s="13" t="s">
        <v>51</v>
      </c>
      <c r="C13" s="79">
        <f>INDEX( 'xi-sigma-grid'!C4:C8, MATCH( MAX('xi-sigma-grid'!I4:I8), 'xi-sigma-grid'!I4:I8, 0 ))</f>
        <v>2</v>
      </c>
    </row>
    <row r="14" spans="2:3" x14ac:dyDescent="0.3">
      <c r="B14" s="14" t="s">
        <v>52</v>
      </c>
      <c r="C14" s="80">
        <f>INDEX( 'xi-sigma-grid'!D3:H3, MATCH( MAX('xi-sigma-grid'!D9:H9), 'xi-sigma-grid'!D9:H9, 0) )</f>
        <v>13.5</v>
      </c>
    </row>
    <row r="15" spans="2:3" x14ac:dyDescent="0.3">
      <c r="B15" s="10" t="s">
        <v>6</v>
      </c>
      <c r="C15" s="30">
        <f ca="1">MAX(0, C5-1.5*C9)</f>
        <v>0</v>
      </c>
    </row>
    <row r="16" spans="2:3" x14ac:dyDescent="0.3">
      <c r="B16" s="11" t="s">
        <v>7</v>
      </c>
      <c r="C16" s="31">
        <f ca="1">C7+1.5*C9</f>
        <v>529.875</v>
      </c>
    </row>
    <row r="17" spans="2:10" x14ac:dyDescent="0.3">
      <c r="B17" s="12" t="s">
        <v>62</v>
      </c>
      <c r="C17" s="2">
        <f ca="1">SKEW( INDIRECT(C$3) )</f>
        <v>1.6741648036750576</v>
      </c>
    </row>
    <row r="18" spans="2:10" x14ac:dyDescent="0.3">
      <c r="B18" s="12" t="s">
        <v>63</v>
      </c>
      <c r="C18" s="100">
        <f ca="1">KURT( INDIRECT(C$3) ) + 3</f>
        <v>4.5899152379603061</v>
      </c>
      <c r="E18" s="5" t="s">
        <v>39</v>
      </c>
      <c r="F18" s="173" t="s">
        <v>42</v>
      </c>
      <c r="G18" s="173"/>
      <c r="H18" s="173"/>
      <c r="I18" s="173"/>
      <c r="J18" s="173"/>
    </row>
    <row r="19" spans="2:10" x14ac:dyDescent="0.3">
      <c r="B19" s="12" t="s">
        <v>64</v>
      </c>
      <c r="C19" s="77">
        <f ca="1">COUNT( INDIRECT(C$3) )</f>
        <v>12</v>
      </c>
      <c r="E19" s="5" t="s">
        <v>40</v>
      </c>
      <c r="F19" s="77" t="s">
        <v>43</v>
      </c>
    </row>
    <row r="20" spans="2:10" x14ac:dyDescent="0.3">
      <c r="E20" s="5" t="s">
        <v>41</v>
      </c>
      <c r="F20" s="5" t="s">
        <v>34</v>
      </c>
    </row>
  </sheetData>
  <mergeCells count="1">
    <mergeCell ref="F18:J1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C3BC2-D14B-4422-A2D9-2DF031C18DF2}">
  <sheetPr codeName="Sheet4"/>
  <dimension ref="B2:I20"/>
  <sheetViews>
    <sheetView workbookViewId="0">
      <selection activeCell="C4" sqref="C4"/>
    </sheetView>
  </sheetViews>
  <sheetFormatPr defaultRowHeight="14.4" x14ac:dyDescent="0.3"/>
  <cols>
    <col min="2" max="2" width="14.77734375" customWidth="1"/>
    <col min="3" max="5" width="8.88671875" style="19"/>
    <col min="6" max="6" width="20.21875" customWidth="1"/>
    <col min="7" max="7" width="2.33203125" customWidth="1"/>
    <col min="8" max="8" width="5.33203125" customWidth="1"/>
    <col min="9" max="9" width="40.88671875" customWidth="1"/>
    <col min="16" max="16" width="12" bestFit="1" customWidth="1"/>
    <col min="28" max="28" width="11.109375" customWidth="1"/>
    <col min="29" max="29" width="20.109375" customWidth="1"/>
    <col min="32" max="32" width="12.33203125" customWidth="1"/>
    <col min="33" max="33" width="5.21875" customWidth="1"/>
    <col min="34" max="34" width="11.77734375" customWidth="1"/>
  </cols>
  <sheetData>
    <row r="2" spans="2:9" x14ac:dyDescent="0.3">
      <c r="C2" s="18" t="s">
        <v>36</v>
      </c>
      <c r="E2" s="18" t="str">
        <f>C2</f>
        <v>xi_h</v>
      </c>
    </row>
    <row r="3" spans="2:9" x14ac:dyDescent="0.3">
      <c r="B3" s="6" t="str">
        <f>"max_"&amp;C$2</f>
        <v>max_xi_h</v>
      </c>
      <c r="C3" s="20">
        <v>3</v>
      </c>
      <c r="E3" s="20">
        <f>min_mu_h</f>
        <v>1</v>
      </c>
      <c r="F3" s="5" t="str">
        <f ca="1">_xlfn.FORMULATEXT(E3 )</f>
        <v>=min_mu_h</v>
      </c>
    </row>
    <row r="4" spans="2:9" x14ac:dyDescent="0.3">
      <c r="B4" s="6" t="str">
        <f>"min_"&amp;C$2</f>
        <v>min_xi_h</v>
      </c>
      <c r="C4" s="20">
        <v>1</v>
      </c>
      <c r="E4" s="20">
        <f>E3 + width_mu_h</f>
        <v>1.5</v>
      </c>
      <c r="F4" s="5" t="str">
        <f ca="1">_xlfn.FORMULATEXT(E4 )</f>
        <v>=E3 + width_mu_h</v>
      </c>
    </row>
    <row r="5" spans="2:9" x14ac:dyDescent="0.3">
      <c r="B5" s="6" t="str">
        <f>"interval_"&amp;C$2</f>
        <v>interval_xi_h</v>
      </c>
      <c r="C5" s="20">
        <v>4</v>
      </c>
      <c r="E5" s="20">
        <f>E4 + width_mu_h</f>
        <v>2</v>
      </c>
      <c r="F5" s="5" t="str">
        <f ca="1">_xlfn.FORMULATEXT(E5 )</f>
        <v>=E4 + width_mu_h</v>
      </c>
    </row>
    <row r="6" spans="2:9" x14ac:dyDescent="0.3">
      <c r="B6" s="6" t="str">
        <f>"width_"&amp;C$2</f>
        <v>width_xi_h</v>
      </c>
      <c r="C6" s="20">
        <f>( max_mu_h - min_mu_h)/interval_mu_h</f>
        <v>0.5</v>
      </c>
      <c r="E6" s="20">
        <f>E5 + width_mu_h</f>
        <v>2.5</v>
      </c>
      <c r="F6" s="5" t="str">
        <f ca="1">_xlfn.FORMULATEXT(E6 )</f>
        <v>=E5 + width_mu_h</v>
      </c>
      <c r="I6" s="5" t="s">
        <v>9</v>
      </c>
    </row>
    <row r="7" spans="2:9" x14ac:dyDescent="0.3">
      <c r="E7" s="20">
        <f>E6 + width_mu_h</f>
        <v>3</v>
      </c>
      <c r="F7" s="5" t="str">
        <f ca="1">_xlfn.FORMULATEXT(E7 )</f>
        <v>=E6 + width_mu_h</v>
      </c>
      <c r="I7" s="5" t="str">
        <f ca="1">_xlfn.FORMULATEXT(width_mu_h)</f>
        <v>=( max_mu_h - min_mu_h)/interval_mu_h</v>
      </c>
    </row>
    <row r="9" spans="2:9" x14ac:dyDescent="0.3">
      <c r="C9" s="18" t="s">
        <v>8</v>
      </c>
      <c r="E9" s="18" t="str">
        <f>C9</f>
        <v>sigma_h</v>
      </c>
    </row>
    <row r="10" spans="2:9" x14ac:dyDescent="0.3">
      <c r="B10" s="6" t="str">
        <f>"max_"&amp;C$9</f>
        <v>max_sigma_h</v>
      </c>
      <c r="C10" s="63">
        <v>15</v>
      </c>
      <c r="E10" s="63">
        <f>min_sigma_h</f>
        <v>12</v>
      </c>
      <c r="F10" s="5" t="str">
        <f ca="1">_xlfn.FORMULATEXT(E10 )</f>
        <v>=min_sigma_h</v>
      </c>
    </row>
    <row r="11" spans="2:9" x14ac:dyDescent="0.3">
      <c r="B11" s="6" t="str">
        <f>"min_"&amp;C$9</f>
        <v>min_sigma_h</v>
      </c>
      <c r="C11" s="63">
        <v>12</v>
      </c>
      <c r="E11" s="63">
        <f>E10 + width_sigma_h</f>
        <v>12.75</v>
      </c>
      <c r="F11" s="5" t="str">
        <f ca="1">_xlfn.FORMULATEXT(E11 )</f>
        <v>=E10 + width_sigma_h</v>
      </c>
    </row>
    <row r="12" spans="2:9" x14ac:dyDescent="0.3">
      <c r="B12" s="6" t="str">
        <f>"interval_"&amp;C$9</f>
        <v>interval_sigma_h</v>
      </c>
      <c r="C12" s="20">
        <v>4</v>
      </c>
      <c r="E12" s="63">
        <f>E11 + width_sigma_h</f>
        <v>13.5</v>
      </c>
      <c r="F12" s="5" t="str">
        <f ca="1">_xlfn.FORMULATEXT(E12 )</f>
        <v>=E11 + width_sigma_h</v>
      </c>
    </row>
    <row r="13" spans="2:9" x14ac:dyDescent="0.3">
      <c r="B13" s="6" t="str">
        <f>"width_"&amp;C$9</f>
        <v>width_sigma_h</v>
      </c>
      <c r="C13" s="20">
        <f>(max_sigma_h - min_sigma_h)/interval_sigma_h</f>
        <v>0.75</v>
      </c>
      <c r="E13" s="63">
        <f>E12 + width_sigma_h</f>
        <v>14.25</v>
      </c>
      <c r="F13" s="5" t="str">
        <f ca="1">_xlfn.FORMULATEXT(E13 )</f>
        <v>=E12 + width_sigma_h</v>
      </c>
      <c r="I13" s="5" t="s">
        <v>23</v>
      </c>
    </row>
    <row r="14" spans="2:9" x14ac:dyDescent="0.3">
      <c r="E14" s="63">
        <f>E13 + width_sigma_h</f>
        <v>15</v>
      </c>
      <c r="F14" s="5" t="str">
        <f ca="1">_xlfn.FORMULATEXT(E14 )</f>
        <v>=E13 + width_sigma_h</v>
      </c>
      <c r="I14" s="5" t="str">
        <f ca="1">_xlfn.FORMULATEXT(width_sigma_h)</f>
        <v>=(max_sigma_h - min_sigma_h)/interval_sigma_h</v>
      </c>
    </row>
    <row r="15" spans="2:9" x14ac:dyDescent="0.3">
      <c r="B15" s="6" t="s">
        <v>37</v>
      </c>
      <c r="C15" s="20">
        <v>100</v>
      </c>
    </row>
    <row r="17" spans="2:8" x14ac:dyDescent="0.3">
      <c r="B17" s="5" t="s">
        <v>10</v>
      </c>
    </row>
    <row r="18" spans="2:8" x14ac:dyDescent="0.3">
      <c r="B18" s="174" t="str">
        <f ca="1">_xlfn.FORMULATEXT('grid-approx'!C6)</f>
        <v>=IF(D5=MAX(sigma_h),INDEX(mu_h,MATCH(C5,mu_h,0)+1), C5)</v>
      </c>
      <c r="C18" s="175"/>
      <c r="D18" s="175"/>
      <c r="E18" s="175"/>
      <c r="F18" s="175"/>
      <c r="G18" s="175"/>
      <c r="H18" s="176"/>
    </row>
    <row r="19" spans="2:8" x14ac:dyDescent="0.3">
      <c r="B19" s="2" t="s">
        <v>11</v>
      </c>
    </row>
    <row r="20" spans="2:8" x14ac:dyDescent="0.3">
      <c r="B20" s="174" t="str">
        <f ca="1">_xlfn.FORMULATEXT('grid-approx'!D6)</f>
        <v>=IF( D5 &lt; MAX(sigma_h), INDEX(sigma_h, MATCH(D5, sigma_h, 0)+1), MIN( sigma_h))</v>
      </c>
      <c r="C20" s="175"/>
      <c r="D20" s="175"/>
      <c r="E20" s="175"/>
      <c r="F20" s="175"/>
      <c r="G20" s="175"/>
      <c r="H20" s="176"/>
    </row>
  </sheetData>
  <mergeCells count="2">
    <mergeCell ref="B18:H18"/>
    <mergeCell ref="B20:H2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6628A-156D-4EA5-ACAC-EC10FD6D5194}">
  <sheetPr codeName="Sheet5"/>
  <dimension ref="A3:Z34"/>
  <sheetViews>
    <sheetView zoomScale="60" zoomScaleNormal="80" workbookViewId="0">
      <selection activeCell="S34" sqref="S34"/>
    </sheetView>
  </sheetViews>
  <sheetFormatPr defaultRowHeight="14.4" x14ac:dyDescent="0.3"/>
  <cols>
    <col min="3" max="3" width="13.21875" customWidth="1"/>
    <col min="4" max="4" width="13.77734375" customWidth="1"/>
    <col min="17" max="17" width="14.21875" customWidth="1"/>
    <col min="19" max="19" width="21.88671875" customWidth="1"/>
    <col min="20" max="20" width="18.88671875" customWidth="1"/>
  </cols>
  <sheetData>
    <row r="3" spans="3:23" x14ac:dyDescent="0.3">
      <c r="C3" s="174" t="s">
        <v>32</v>
      </c>
      <c r="D3" s="176"/>
      <c r="G3" s="177" t="s">
        <v>33</v>
      </c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33" t="s">
        <v>14</v>
      </c>
      <c r="T3" s="41">
        <f>SUM(T5:T29)</f>
        <v>2.8979147647415743E-29</v>
      </c>
    </row>
    <row r="4" spans="3:23" x14ac:dyDescent="0.3">
      <c r="C4" s="52" t="s">
        <v>35</v>
      </c>
      <c r="D4" s="52" t="s">
        <v>5</v>
      </c>
      <c r="E4" s="33" t="s">
        <v>65</v>
      </c>
      <c r="F4" s="33" t="s">
        <v>12</v>
      </c>
      <c r="G4" s="42">
        <f t="array" ref="G4:R4">TRANSPOSE( wages )</f>
        <v>101</v>
      </c>
      <c r="H4" s="42">
        <v>103</v>
      </c>
      <c r="I4" s="42">
        <v>106</v>
      </c>
      <c r="J4" s="42">
        <v>107</v>
      </c>
      <c r="K4" s="42">
        <v>108</v>
      </c>
      <c r="L4" s="42">
        <v>110</v>
      </c>
      <c r="M4" s="42">
        <v>118</v>
      </c>
      <c r="N4" s="42">
        <v>126</v>
      </c>
      <c r="O4" s="42">
        <v>143</v>
      </c>
      <c r="P4" s="42">
        <v>675</v>
      </c>
      <c r="Q4" s="42">
        <v>875</v>
      </c>
      <c r="R4" s="42">
        <v>1203</v>
      </c>
      <c r="S4" s="33" t="s">
        <v>13</v>
      </c>
      <c r="T4" s="59" t="str">
        <f>S4&amp;E4&amp;F4</f>
        <v>Pr(d | h)Pr(xi)Pr(sigma)</v>
      </c>
      <c r="U4" s="52" t="s">
        <v>15</v>
      </c>
      <c r="W4" s="52" t="s">
        <v>16</v>
      </c>
    </row>
    <row r="5" spans="3:23" x14ac:dyDescent="0.3">
      <c r="C5" s="24">
        <f>'grid-setup'!E3</f>
        <v>1</v>
      </c>
      <c r="D5" s="25">
        <f>'grid-setup'!E10</f>
        <v>12</v>
      </c>
      <c r="E5" s="34">
        <f t="shared" ref="E5:F29" si="0">1/5</f>
        <v>0.2</v>
      </c>
      <c r="F5" s="15">
        <f t="shared" si="0"/>
        <v>0.2</v>
      </c>
      <c r="G5" s="38">
        <f t="shared" ref="G5:R14" si="1">(1/$D5)*(1+$C5*(G$4 - mu_thres)/$D5)^(-($C5+1)/$C5)</f>
        <v>7.1005917159763315E-2</v>
      </c>
      <c r="H5" s="38">
        <f t="shared" si="1"/>
        <v>5.333333333333333E-2</v>
      </c>
      <c r="I5" s="38">
        <f t="shared" si="1"/>
        <v>3.7037037037037035E-2</v>
      </c>
      <c r="J5" s="38">
        <f t="shared" si="1"/>
        <v>3.3240997229916885E-2</v>
      </c>
      <c r="K5" s="38">
        <f t="shared" si="1"/>
        <v>3.0000000000000006E-2</v>
      </c>
      <c r="L5" s="38">
        <f t="shared" si="1"/>
        <v>2.479338842975206E-2</v>
      </c>
      <c r="M5" s="38">
        <f t="shared" si="1"/>
        <v>1.3333333333333332E-2</v>
      </c>
      <c r="N5" s="38">
        <f t="shared" si="1"/>
        <v>8.3102493074792248E-3</v>
      </c>
      <c r="O5" s="38">
        <f t="shared" si="1"/>
        <v>3.9669421487603298E-3</v>
      </c>
      <c r="P5" s="38">
        <f t="shared" si="1"/>
        <v>3.4826116104466747E-5</v>
      </c>
      <c r="Q5" s="38">
        <f t="shared" si="1"/>
        <v>1.9374557008826725E-5</v>
      </c>
      <c r="R5" s="38">
        <f t="shared" si="1"/>
        <v>9.6523155502825301E-6</v>
      </c>
      <c r="S5" s="43">
        <f t="shared" ref="S5:S29" si="2">PRODUCT(G5:R5)</f>
        <v>9.9274493763848126E-30</v>
      </c>
      <c r="T5" s="44">
        <f t="shared" ref="T5:T29" si="3">S5*E5*F5</f>
        <v>3.9709797505539258E-31</v>
      </c>
      <c r="U5" s="49">
        <f t="shared" ref="U5:U29" si="4">T5 / sum</f>
        <v>1.370288663720599E-2</v>
      </c>
      <c r="W5" s="53" t="str">
        <f>'grid-approx'!C5&amp;"-"&amp;'grid-approx'!D5</f>
        <v>1-12</v>
      </c>
    </row>
    <row r="6" spans="3:23" x14ac:dyDescent="0.3">
      <c r="C6" s="26" cm="1">
        <f t="array" ref="C6">IF(D5=MAX(sigma_h),INDEX(mu_h,MATCH(C5,mu_h,0)+1), C5)</f>
        <v>1</v>
      </c>
      <c r="D6" s="27" cm="1">
        <f t="array" ref="D6">IF( D5 &lt; MAX(sigma_h), INDEX(sigma_h, MATCH(D5, sigma_h, 0)+1), MIN( sigma_h))</f>
        <v>12.75</v>
      </c>
      <c r="E6" s="35">
        <f t="shared" si="0"/>
        <v>0.2</v>
      </c>
      <c r="F6" s="36">
        <f t="shared" si="0"/>
        <v>0.2</v>
      </c>
      <c r="G6" s="38">
        <f t="shared" si="1"/>
        <v>6.7438016528925615E-2</v>
      </c>
      <c r="H6" s="38">
        <f t="shared" si="1"/>
        <v>5.1398337112622823E-2</v>
      </c>
      <c r="I6" s="38">
        <f t="shared" si="1"/>
        <v>3.6266666666666662E-2</v>
      </c>
      <c r="J6" s="38">
        <f t="shared" si="1"/>
        <v>3.2687069379907063E-2</v>
      </c>
      <c r="K6" s="38">
        <f t="shared" si="1"/>
        <v>2.9612425606038609E-2</v>
      </c>
      <c r="L6" s="38">
        <f t="shared" si="1"/>
        <v>2.4634705953387275E-2</v>
      </c>
      <c r="M6" s="38">
        <f t="shared" si="1"/>
        <v>1.348403727939718E-2</v>
      </c>
      <c r="N6" s="38">
        <f t="shared" si="1"/>
        <v>8.4911550468262237E-3</v>
      </c>
      <c r="O6" s="38">
        <f t="shared" si="1"/>
        <v>4.1022341088700742E-3</v>
      </c>
      <c r="P6" s="38">
        <f t="shared" si="1"/>
        <v>3.6908373695836279E-5</v>
      </c>
      <c r="Q6" s="38">
        <f t="shared" si="1"/>
        <v>2.0546287512459966E-5</v>
      </c>
      <c r="R6" s="38">
        <f t="shared" si="1"/>
        <v>1.0241802428702871E-5</v>
      </c>
      <c r="S6" s="45">
        <f t="shared" si="2"/>
        <v>1.0934543807711704E-29</v>
      </c>
      <c r="T6" s="46">
        <f t="shared" si="3"/>
        <v>4.373817523084682E-31</v>
      </c>
      <c r="U6" s="50">
        <f t="shared" si="4"/>
        <v>1.5092981947917035E-2</v>
      </c>
      <c r="W6" s="54" t="str">
        <f>'grid-approx'!C6&amp;"-"&amp;'grid-approx'!D6</f>
        <v>1-12.75</v>
      </c>
    </row>
    <row r="7" spans="3:23" x14ac:dyDescent="0.3">
      <c r="C7" s="26" cm="1">
        <f t="array" ref="C7">IF(D6=MAX(sigma_h),INDEX(mu_h,MATCH(C6,mu_h,0)+1), C6)</f>
        <v>1</v>
      </c>
      <c r="D7" s="27" cm="1">
        <f t="array" ref="D7">IF( D6 &lt; MAX(sigma_h), INDEX(sigma_h, MATCH(D6, sigma_h, 0)+1), MIN( sigma_h))</f>
        <v>13.5</v>
      </c>
      <c r="E7" s="35">
        <f t="shared" si="0"/>
        <v>0.2</v>
      </c>
      <c r="F7" s="36">
        <f t="shared" si="0"/>
        <v>0.2</v>
      </c>
      <c r="G7" s="38">
        <f t="shared" si="1"/>
        <v>6.4209274673008326E-2</v>
      </c>
      <c r="H7" s="38">
        <f t="shared" si="1"/>
        <v>4.958677685950412E-2</v>
      </c>
      <c r="I7" s="38">
        <f t="shared" si="1"/>
        <v>3.5502958579881658E-2</v>
      </c>
      <c r="J7" s="38">
        <f t="shared" si="1"/>
        <v>3.2123735871505056E-2</v>
      </c>
      <c r="K7" s="38">
        <f t="shared" si="1"/>
        <v>2.9204975662520279E-2</v>
      </c>
      <c r="L7" s="38">
        <f t="shared" si="1"/>
        <v>2.4445450430058847E-2</v>
      </c>
      <c r="M7" s="38">
        <f t="shared" si="1"/>
        <v>1.3605442176870753E-2</v>
      </c>
      <c r="N7" s="38">
        <f t="shared" si="1"/>
        <v>8.6524595417401071E-3</v>
      </c>
      <c r="O7" s="38">
        <f t="shared" si="1"/>
        <v>4.2289920902184985E-3</v>
      </c>
      <c r="P7" s="38">
        <f t="shared" si="1"/>
        <v>3.8979910187399517E-5</v>
      </c>
      <c r="Q7" s="38">
        <f t="shared" si="1"/>
        <v>2.1713527004590802E-5</v>
      </c>
      <c r="R7" s="38">
        <f t="shared" si="1"/>
        <v>1.0829697195649909E-5</v>
      </c>
      <c r="S7" s="45">
        <f t="shared" si="2"/>
        <v>1.1830027681671326E-29</v>
      </c>
      <c r="T7" s="46">
        <f t="shared" si="3"/>
        <v>4.7320110726685309E-31</v>
      </c>
      <c r="U7" s="50">
        <f t="shared" si="4"/>
        <v>1.6329020888544026E-2</v>
      </c>
      <c r="W7" s="54" t="str">
        <f>'grid-approx'!C7&amp;"-"&amp;'grid-approx'!D7</f>
        <v>1-13.5</v>
      </c>
    </row>
    <row r="8" spans="3:23" x14ac:dyDescent="0.3">
      <c r="C8" s="26" cm="1">
        <f t="array" ref="C8">IF(D7=MAX(sigma_h),INDEX(mu_h,MATCH(C7,mu_h,0)+1), C7)</f>
        <v>1</v>
      </c>
      <c r="D8" s="27" cm="1">
        <f t="array" ref="D8">IF( D7 &lt; MAX(sigma_h), INDEX(sigma_h, MATCH(D7, sigma_h, 0)+1), MIN( sigma_h))</f>
        <v>14.25</v>
      </c>
      <c r="E8" s="35">
        <f t="shared" si="0"/>
        <v>0.2</v>
      </c>
      <c r="F8" s="36">
        <f t="shared" si="0"/>
        <v>0.2</v>
      </c>
      <c r="G8" s="38">
        <f t="shared" si="1"/>
        <v>6.1273851115291586E-2</v>
      </c>
      <c r="H8" s="38">
        <f t="shared" si="1"/>
        <v>4.7889098928796468E-2</v>
      </c>
      <c r="I8" s="38">
        <f t="shared" si="1"/>
        <v>3.4750800182898944E-2</v>
      </c>
      <c r="J8" s="38">
        <f t="shared" si="1"/>
        <v>3.1557093425605538E-2</v>
      </c>
      <c r="K8" s="38">
        <f t="shared" si="1"/>
        <v>2.878424441358414E-2</v>
      </c>
      <c r="L8" s="38">
        <f t="shared" si="1"/>
        <v>2.423211818471676E-2</v>
      </c>
      <c r="M8" s="38">
        <f t="shared" si="1"/>
        <v>1.3701099693528033E-2</v>
      </c>
      <c r="N8" s="38">
        <f t="shared" si="1"/>
        <v>8.7959569461054741E-3</v>
      </c>
      <c r="O8" s="38">
        <f t="shared" si="1"/>
        <v>4.3477431780477097E-3</v>
      </c>
      <c r="P8" s="38">
        <f t="shared" si="1"/>
        <v>4.1040787162297767E-5</v>
      </c>
      <c r="Q8" s="38">
        <f t="shared" si="1"/>
        <v>2.2876294730555875E-5</v>
      </c>
      <c r="R8" s="38">
        <f t="shared" si="1"/>
        <v>1.1416004667743943E-5</v>
      </c>
      <c r="S8" s="45">
        <f t="shared" si="2"/>
        <v>1.2604852442210765E-29</v>
      </c>
      <c r="T8" s="46">
        <f t="shared" si="3"/>
        <v>5.0419409768843066E-31</v>
      </c>
      <c r="U8" s="50">
        <f t="shared" si="4"/>
        <v>1.739851371140631E-2</v>
      </c>
      <c r="W8" s="54" t="str">
        <f>'grid-approx'!C8&amp;"-"&amp;'grid-approx'!D8</f>
        <v>1-14.25</v>
      </c>
    </row>
    <row r="9" spans="3:23" x14ac:dyDescent="0.3">
      <c r="C9" s="26" cm="1">
        <f t="array" ref="C9">IF(D8=MAX(sigma_h),INDEX(mu_h,MATCH(C8,mu_h,0)+1), C8)</f>
        <v>1</v>
      </c>
      <c r="D9" s="27" cm="1">
        <f t="array" ref="D9">IF( D8 &lt; MAX(sigma_h), INDEX(sigma_h, MATCH(D8, sigma_h, 0)+1), MIN( sigma_h))</f>
        <v>15</v>
      </c>
      <c r="E9" s="35">
        <f t="shared" si="0"/>
        <v>0.2</v>
      </c>
      <c r="F9" s="36">
        <f t="shared" si="0"/>
        <v>0.2</v>
      </c>
      <c r="G9" s="38">
        <f t="shared" si="1"/>
        <v>5.859375E-2</v>
      </c>
      <c r="H9" s="38">
        <f t="shared" si="1"/>
        <v>4.6296296296296294E-2</v>
      </c>
      <c r="I9" s="38">
        <f t="shared" si="1"/>
        <v>3.4013605442176881E-2</v>
      </c>
      <c r="J9" s="38">
        <f t="shared" si="1"/>
        <v>3.0991735537190077E-2</v>
      </c>
      <c r="K9" s="38">
        <f t="shared" si="1"/>
        <v>2.835538752362949E-2</v>
      </c>
      <c r="L9" s="38">
        <f t="shared" si="1"/>
        <v>2.4000000000000007E-2</v>
      </c>
      <c r="M9" s="38">
        <f t="shared" si="1"/>
        <v>1.3774104683195591E-2</v>
      </c>
      <c r="N9" s="38">
        <f t="shared" si="1"/>
        <v>8.92325996430696E-3</v>
      </c>
      <c r="O9" s="38">
        <f t="shared" si="1"/>
        <v>4.4589774078478001E-3</v>
      </c>
      <c r="P9" s="38">
        <f t="shared" si="1"/>
        <v>4.3091065785693758E-5</v>
      </c>
      <c r="Q9" s="38">
        <f t="shared" si="1"/>
        <v>2.4034609838166965E-5</v>
      </c>
      <c r="R9" s="38">
        <f t="shared" si="1"/>
        <v>1.2000729644362376E-5</v>
      </c>
      <c r="S9" s="45">
        <f t="shared" si="2"/>
        <v>1.325553007394842E-29</v>
      </c>
      <c r="T9" s="46">
        <f t="shared" si="3"/>
        <v>5.3022120295793687E-31</v>
      </c>
      <c r="U9" s="50">
        <f t="shared" si="4"/>
        <v>1.8296645898942445E-2</v>
      </c>
      <c r="W9" s="54" t="str">
        <f>'grid-approx'!C9&amp;"-"&amp;'grid-approx'!D9</f>
        <v>1-15</v>
      </c>
    </row>
    <row r="10" spans="3:23" x14ac:dyDescent="0.3">
      <c r="C10" s="24" cm="1">
        <f t="array" ref="C10">IF(D9=MAX(sigma_h),INDEX(mu_h,MATCH(C9,mu_h,0)+1), C9)</f>
        <v>1.5</v>
      </c>
      <c r="D10" s="25" cm="1">
        <f t="array" ref="D10">IF( D9 &lt; MAX(sigma_h), INDEX(sigma_h, MATCH(D9, sigma_h, 0)+1), MIN( sigma_h))</f>
        <v>12</v>
      </c>
      <c r="E10" s="34">
        <f t="shared" si="0"/>
        <v>0.2</v>
      </c>
      <c r="F10" s="15">
        <f t="shared" si="0"/>
        <v>0.2</v>
      </c>
      <c r="G10" s="38">
        <f t="shared" si="1"/>
        <v>6.8480125861791072E-2</v>
      </c>
      <c r="H10" s="38">
        <f t="shared" si="1"/>
        <v>4.9013335329351301E-2</v>
      </c>
      <c r="I10" s="38">
        <f t="shared" si="1"/>
        <v>3.2791051213268432E-2</v>
      </c>
      <c r="J10" s="38">
        <f t="shared" si="1"/>
        <v>2.9229180140212977E-2</v>
      </c>
      <c r="K10" s="38">
        <f t="shared" si="1"/>
        <v>2.624835520614319E-2</v>
      </c>
      <c r="L10" s="38">
        <f t="shared" si="1"/>
        <v>2.1569888018180217E-2</v>
      </c>
      <c r="M10" s="38">
        <f t="shared" si="1"/>
        <v>1.1686375023303235E-2</v>
      </c>
      <c r="N10" s="38">
        <f t="shared" si="1"/>
        <v>7.473152944123377E-3</v>
      </c>
      <c r="O10" s="38">
        <f t="shared" si="1"/>
        <v>3.8020553830743964E-3</v>
      </c>
      <c r="P10" s="38">
        <f t="shared" si="1"/>
        <v>6.5542219033286737E-5</v>
      </c>
      <c r="Q10" s="38">
        <f t="shared" si="1"/>
        <v>4.0089668230039623E-5</v>
      </c>
      <c r="R10" s="38">
        <f t="shared" si="1"/>
        <v>2.2375803219092887E-5</v>
      </c>
      <c r="S10" s="43">
        <f t="shared" si="2"/>
        <v>3.5557820289713036E-29</v>
      </c>
      <c r="T10" s="44">
        <f t="shared" si="3"/>
        <v>1.4223128115885215E-30</v>
      </c>
      <c r="U10" s="49">
        <f t="shared" si="4"/>
        <v>4.9080560577334932E-2</v>
      </c>
      <c r="W10" s="54" t="str">
        <f>'grid-approx'!C10&amp;"-"&amp;'grid-approx'!D10</f>
        <v>1.5-12</v>
      </c>
    </row>
    <row r="11" spans="3:23" x14ac:dyDescent="0.3">
      <c r="C11" s="26" cm="1">
        <f t="array" ref="C11">IF(D10=MAX(sigma_h),INDEX(mu_h,MATCH(C10,mu_h,0)+1), C10)</f>
        <v>1.5</v>
      </c>
      <c r="D11" s="27" cm="1">
        <f t="array" ref="D11">IF( D10 &lt; MAX(sigma_h), INDEX(sigma_h, MATCH(D10, sigma_h, 0)+1), MIN( sigma_h))</f>
        <v>12.75</v>
      </c>
      <c r="E11" s="35">
        <f t="shared" si="0"/>
        <v>0.2</v>
      </c>
      <c r="F11" s="36">
        <f t="shared" si="0"/>
        <v>0.2</v>
      </c>
      <c r="G11" s="38">
        <f t="shared" si="1"/>
        <v>6.5160141079816103E-2</v>
      </c>
      <c r="H11" s="38">
        <f t="shared" si="1"/>
        <v>4.7390536376165811E-2</v>
      </c>
      <c r="I11" s="38">
        <f t="shared" si="1"/>
        <v>3.2203866752668321E-2</v>
      </c>
      <c r="J11" s="38">
        <f t="shared" si="1"/>
        <v>2.8816099460398127E-2</v>
      </c>
      <c r="K11" s="38">
        <f t="shared" si="1"/>
        <v>2.5964588918389059E-2</v>
      </c>
      <c r="L11" s="38">
        <f t="shared" si="1"/>
        <v>2.1456974121473401E-2</v>
      </c>
      <c r="M11" s="38">
        <f t="shared" si="1"/>
        <v>1.1788129590232649E-2</v>
      </c>
      <c r="N11" s="38">
        <f t="shared" si="1"/>
        <v>7.5943311916847507E-3</v>
      </c>
      <c r="O11" s="38">
        <f t="shared" si="1"/>
        <v>3.8950165710503202E-3</v>
      </c>
      <c r="P11" s="38">
        <f t="shared" si="1"/>
        <v>6.8148022395206754E-5</v>
      </c>
      <c r="Q11" s="38">
        <f t="shared" si="1"/>
        <v>4.16987487569832E-5</v>
      </c>
      <c r="R11" s="38">
        <f t="shared" si="1"/>
        <v>2.3281211685303255E-5</v>
      </c>
      <c r="S11" s="45">
        <f t="shared" si="2"/>
        <v>3.6829208782095121E-29</v>
      </c>
      <c r="T11" s="46">
        <f t="shared" si="3"/>
        <v>1.4731683512838051E-30</v>
      </c>
      <c r="U11" s="50">
        <f t="shared" si="4"/>
        <v>5.0835461732953245E-2</v>
      </c>
      <c r="W11" s="54" t="str">
        <f>'grid-approx'!C11&amp;"-"&amp;'grid-approx'!D11</f>
        <v>1.5-12.75</v>
      </c>
    </row>
    <row r="12" spans="3:23" x14ac:dyDescent="0.3">
      <c r="C12" s="26" cm="1">
        <f t="array" ref="C12">IF(D11=MAX(sigma_h),INDEX(mu_h,MATCH(C11,mu_h,0)+1), C11)</f>
        <v>1.5</v>
      </c>
      <c r="D12" s="27" cm="1">
        <f t="array" ref="D12">IF( D11 &lt; MAX(sigma_h), INDEX(sigma_h, MATCH(D11, sigma_h, 0)+1), MIN( sigma_h))</f>
        <v>13.5</v>
      </c>
      <c r="E12" s="35">
        <f t="shared" si="0"/>
        <v>0.2</v>
      </c>
      <c r="F12" s="36">
        <f t="shared" si="0"/>
        <v>0.2</v>
      </c>
      <c r="G12" s="38">
        <f t="shared" si="1"/>
        <v>6.2144650119077174E-2</v>
      </c>
      <c r="H12" s="38">
        <f t="shared" si="1"/>
        <v>4.5860100679092033E-2</v>
      </c>
      <c r="I12" s="38">
        <f t="shared" si="1"/>
        <v>3.1616829373245003E-2</v>
      </c>
      <c r="J12" s="38">
        <f t="shared" si="1"/>
        <v>2.8392509263002179E-2</v>
      </c>
      <c r="K12" s="38">
        <f t="shared" si="1"/>
        <v>2.5663873835752173E-2</v>
      </c>
      <c r="L12" s="38">
        <f t="shared" si="1"/>
        <v>2.1321335907350712E-2</v>
      </c>
      <c r="M12" s="38">
        <f t="shared" si="1"/>
        <v>1.1870366833805827E-2</v>
      </c>
      <c r="N12" s="38">
        <f t="shared" si="1"/>
        <v>7.7023575188841353E-3</v>
      </c>
      <c r="O12" s="38">
        <f t="shared" si="1"/>
        <v>3.9816661332006528E-3</v>
      </c>
      <c r="P12" s="38">
        <f t="shared" si="1"/>
        <v>7.0693964160134851E-5</v>
      </c>
      <c r="Q12" s="38">
        <f t="shared" si="1"/>
        <v>4.3272332889622628E-5</v>
      </c>
      <c r="R12" s="38">
        <f t="shared" si="1"/>
        <v>2.4167353900800921E-5</v>
      </c>
      <c r="S12" s="45">
        <f t="shared" si="2"/>
        <v>3.767661419542335E-29</v>
      </c>
      <c r="T12" s="46">
        <f t="shared" si="3"/>
        <v>1.5070645678169341E-30</v>
      </c>
      <c r="U12" s="50">
        <f t="shared" si="4"/>
        <v>5.2005137837493602E-2</v>
      </c>
      <c r="W12" s="54" t="str">
        <f>'grid-approx'!C12&amp;"-"&amp;'grid-approx'!D12</f>
        <v>1.5-13.5</v>
      </c>
    </row>
    <row r="13" spans="3:23" x14ac:dyDescent="0.3">
      <c r="C13" s="26" cm="1">
        <f t="array" ref="C13">IF(D12=MAX(sigma_h),INDEX(mu_h,MATCH(C12,mu_h,0)+1), C12)</f>
        <v>1.5</v>
      </c>
      <c r="D13" s="27" cm="1">
        <f t="array" ref="D13">IF( D12 &lt; MAX(sigma_h), INDEX(sigma_h, MATCH(D12, sigma_h, 0)+1), MIN( sigma_h))</f>
        <v>14.25</v>
      </c>
      <c r="E13" s="35">
        <f t="shared" si="0"/>
        <v>0.2</v>
      </c>
      <c r="F13" s="36">
        <f t="shared" si="0"/>
        <v>0.2</v>
      </c>
      <c r="G13" s="38">
        <f t="shared" si="1"/>
        <v>5.9393964175932568E-2</v>
      </c>
      <c r="H13" s="38">
        <f t="shared" si="1"/>
        <v>4.4416171648045483E-2</v>
      </c>
      <c r="I13" s="38">
        <f t="shared" si="1"/>
        <v>3.1034039901732816E-2</v>
      </c>
      <c r="J13" s="38">
        <f t="shared" si="1"/>
        <v>2.796305203043753E-2</v>
      </c>
      <c r="K13" s="38">
        <f t="shared" si="1"/>
        <v>2.5350959220539666E-2</v>
      </c>
      <c r="L13" s="38">
        <f t="shared" si="1"/>
        <v>2.1167364686366871E-2</v>
      </c>
      <c r="M13" s="38">
        <f t="shared" si="1"/>
        <v>1.1935391104820468E-2</v>
      </c>
      <c r="N13" s="38">
        <f t="shared" si="1"/>
        <v>7.7984906545401026E-3</v>
      </c>
      <c r="O13" s="38">
        <f t="shared" si="1"/>
        <v>4.0624900047448852E-3</v>
      </c>
      <c r="P13" s="38">
        <f t="shared" si="1"/>
        <v>7.3184136334590653E-5</v>
      </c>
      <c r="Q13" s="38">
        <f t="shared" si="1"/>
        <v>4.4812884356016501E-5</v>
      </c>
      <c r="R13" s="38">
        <f t="shared" si="1"/>
        <v>2.5035586987785872E-5</v>
      </c>
      <c r="S13" s="45">
        <f t="shared" si="2"/>
        <v>3.81403482224679E-29</v>
      </c>
      <c r="T13" s="46">
        <f t="shared" si="3"/>
        <v>1.5256139288987162E-30</v>
      </c>
      <c r="U13" s="50">
        <f t="shared" si="4"/>
        <v>5.2645231235252186E-2</v>
      </c>
      <c r="W13" s="54" t="str">
        <f>'grid-approx'!C13&amp;"-"&amp;'grid-approx'!D13</f>
        <v>1.5-14.25</v>
      </c>
    </row>
    <row r="14" spans="3:23" x14ac:dyDescent="0.3">
      <c r="C14" s="28" cm="1">
        <f t="array" ref="C14">IF(D13=MAX(sigma_h),INDEX(mu_h,MATCH(C13,mu_h,0)+1), C13)</f>
        <v>1.5</v>
      </c>
      <c r="D14" s="29" cm="1">
        <f t="array" ref="D14">IF( D13 &lt; MAX(sigma_h), INDEX(sigma_h, MATCH(D13, sigma_h, 0)+1), MIN( sigma_h))</f>
        <v>15</v>
      </c>
      <c r="E14" s="37">
        <f t="shared" si="0"/>
        <v>0.2</v>
      </c>
      <c r="F14" s="16">
        <f t="shared" si="0"/>
        <v>0.2</v>
      </c>
      <c r="G14" s="38">
        <f t="shared" si="1"/>
        <v>5.6874937490708932E-2</v>
      </c>
      <c r="H14" s="38">
        <f t="shared" si="1"/>
        <v>4.3052973690773405E-2</v>
      </c>
      <c r="I14" s="38">
        <f t="shared" si="1"/>
        <v>3.0458518106384017E-2</v>
      </c>
      <c r="J14" s="38">
        <f t="shared" si="1"/>
        <v>2.7531330840307653E-2</v>
      </c>
      <c r="K14" s="38">
        <f t="shared" si="1"/>
        <v>2.5029637841865841E-2</v>
      </c>
      <c r="L14" s="38">
        <f t="shared" si="1"/>
        <v>2.0998684164914554E-2</v>
      </c>
      <c r="M14" s="38">
        <f t="shared" si="1"/>
        <v>1.1985201925280431E-2</v>
      </c>
      <c r="N14" s="38">
        <f t="shared" si="1"/>
        <v>7.883841897053016E-3</v>
      </c>
      <c r="O14" s="38">
        <f t="shared" si="1"/>
        <v>4.137921920648221E-3</v>
      </c>
      <c r="P14" s="38">
        <f t="shared" si="1"/>
        <v>7.5622140177332688E-5</v>
      </c>
      <c r="Q14" s="38">
        <f t="shared" si="1"/>
        <v>4.6322570010660791E-5</v>
      </c>
      <c r="R14" s="38">
        <f t="shared" si="1"/>
        <v>2.5887103915768207E-5</v>
      </c>
      <c r="S14" s="47">
        <f t="shared" si="2"/>
        <v>3.8264614242850762E-29</v>
      </c>
      <c r="T14" s="48">
        <f t="shared" si="3"/>
        <v>1.5305845697140305E-30</v>
      </c>
      <c r="U14" s="51">
        <f t="shared" si="4"/>
        <v>5.2816755976966168E-2</v>
      </c>
      <c r="W14" s="54" t="str">
        <f>'grid-approx'!C14&amp;"-"&amp;'grid-approx'!D14</f>
        <v>1.5-15</v>
      </c>
    </row>
    <row r="15" spans="3:23" x14ac:dyDescent="0.3">
      <c r="C15" s="26" cm="1">
        <f t="array" ref="C15">IF(D14=MAX(sigma_h),INDEX(mu_h,MATCH(C14,mu_h,0)+1), C14)</f>
        <v>2</v>
      </c>
      <c r="D15" s="27" cm="1">
        <f t="array" ref="D15">IF( D14 &lt; MAX(sigma_h), INDEX(sigma_h, MATCH(D14, sigma_h, 0)+1), MIN( sigma_h))</f>
        <v>12</v>
      </c>
      <c r="E15" s="35">
        <f t="shared" si="0"/>
        <v>0.2</v>
      </c>
      <c r="F15" s="36">
        <f t="shared" si="0"/>
        <v>0.2</v>
      </c>
      <c r="G15" s="38">
        <f t="shared" ref="G15:R29" si="5">(1/$D15)*(1+$C15*(G$4 - mu_thres)/$D15)^(-($C15+1)/$C15)</f>
        <v>6.613000712661081E-2</v>
      </c>
      <c r="H15" s="38">
        <f t="shared" si="5"/>
        <v>4.5360921162651446E-2</v>
      </c>
      <c r="I15" s="38">
        <f t="shared" si="5"/>
        <v>2.946278254943948E-2</v>
      </c>
      <c r="J15" s="38">
        <f t="shared" si="5"/>
        <v>2.6129470018721433E-2</v>
      </c>
      <c r="K15" s="38">
        <f t="shared" si="5"/>
        <v>2.3380488239570618E-2</v>
      </c>
      <c r="L15" s="38">
        <f t="shared" si="5"/>
        <v>1.9136638615493574E-2</v>
      </c>
      <c r="M15" s="38">
        <f t="shared" si="5"/>
        <v>1.0416666666666668E-2</v>
      </c>
      <c r="N15" s="38">
        <f t="shared" si="5"/>
        <v>6.7658234670659265E-3</v>
      </c>
      <c r="O15" s="38">
        <f t="shared" si="5"/>
        <v>3.5706847562436989E-3</v>
      </c>
      <c r="P15" s="38">
        <f t="shared" si="5"/>
        <v>8.74543529562095E-5</v>
      </c>
      <c r="Q15" s="38">
        <f t="shared" si="5"/>
        <v>5.6113722320360937E-5</v>
      </c>
      <c r="R15" s="38">
        <f t="shared" si="5"/>
        <v>3.3162579972425153E-5</v>
      </c>
      <c r="S15" s="45">
        <f t="shared" si="2"/>
        <v>4.2315919902288939E-29</v>
      </c>
      <c r="T15" s="46">
        <f t="shared" si="3"/>
        <v>1.6926367960915577E-30</v>
      </c>
      <c r="U15" s="50">
        <f t="shared" si="4"/>
        <v>5.8408784712565588E-2</v>
      </c>
      <c r="W15" s="54" t="str">
        <f>'grid-approx'!C15&amp;"-"&amp;'grid-approx'!D15</f>
        <v>2-12</v>
      </c>
    </row>
    <row r="16" spans="3:23" x14ac:dyDescent="0.3">
      <c r="C16" s="26" cm="1">
        <f t="array" ref="C16">IF(D15=MAX(sigma_h),INDEX(mu_h,MATCH(C15,mu_h,0)+1), C15)</f>
        <v>2</v>
      </c>
      <c r="D16" s="27" cm="1">
        <f t="array" ref="D16">IF( D15 &lt; MAX(sigma_h), INDEX(sigma_h, MATCH(D15, sigma_h, 0)+1), MIN( sigma_h))</f>
        <v>12.75</v>
      </c>
      <c r="E16" s="35">
        <f t="shared" si="0"/>
        <v>0.2</v>
      </c>
      <c r="F16" s="36">
        <f t="shared" si="0"/>
        <v>0.2</v>
      </c>
      <c r="G16" s="38">
        <f t="shared" si="5"/>
        <v>6.3032867115897631E-2</v>
      </c>
      <c r="H16" s="38">
        <f t="shared" si="5"/>
        <v>4.3979793339921705E-2</v>
      </c>
      <c r="I16" s="38">
        <f t="shared" si="5"/>
        <v>2.8999618689505995E-2</v>
      </c>
      <c r="J16" s="38">
        <f t="shared" si="5"/>
        <v>2.5808895124412728E-2</v>
      </c>
      <c r="K16" s="38">
        <f t="shared" si="5"/>
        <v>2.3163187295027043E-2</v>
      </c>
      <c r="L16" s="38">
        <f t="shared" si="5"/>
        <v>1.9051893094266716E-2</v>
      </c>
      <c r="M16" s="38">
        <f t="shared" si="5"/>
        <v>1.0490426911933512E-2</v>
      </c>
      <c r="N16" s="38">
        <f t="shared" si="5"/>
        <v>6.853231986962147E-3</v>
      </c>
      <c r="O16" s="38">
        <f t="shared" si="5"/>
        <v>3.6387266867301035E-3</v>
      </c>
      <c r="P16" s="38">
        <f t="shared" si="5"/>
        <v>9.0058678535607459E-5</v>
      </c>
      <c r="Q16" s="38">
        <f t="shared" si="5"/>
        <v>5.779906739702586E-5</v>
      </c>
      <c r="R16" s="38">
        <f t="shared" si="5"/>
        <v>3.4165874146560451E-5</v>
      </c>
      <c r="S16" s="45">
        <f t="shared" si="2"/>
        <v>4.2598604358697104E-29</v>
      </c>
      <c r="T16" s="46">
        <f t="shared" si="3"/>
        <v>1.7039441743478842E-30</v>
      </c>
      <c r="U16" s="50">
        <f t="shared" si="4"/>
        <v>5.8798974872535145E-2</v>
      </c>
      <c r="W16" s="54" t="str">
        <f>'grid-approx'!C16&amp;"-"&amp;'grid-approx'!D16</f>
        <v>2-12.75</v>
      </c>
    </row>
    <row r="17" spans="1:23" x14ac:dyDescent="0.3">
      <c r="C17" s="26" cm="1">
        <f t="array" ref="C17">IF(D16=MAX(sigma_h),INDEX(mu_h,MATCH(C16,mu_h,0)+1), C16)</f>
        <v>2</v>
      </c>
      <c r="D17" s="27" cm="1">
        <f t="array" ref="D17">IF( D16 &lt; MAX(sigma_h), INDEX(sigma_h, MATCH(D16, sigma_h, 0)+1), MIN( sigma_h))</f>
        <v>13.5</v>
      </c>
      <c r="E17" s="35">
        <f t="shared" si="0"/>
        <v>0.2</v>
      </c>
      <c r="F17" s="36">
        <f t="shared" si="0"/>
        <v>0.2</v>
      </c>
      <c r="G17" s="38">
        <f t="shared" si="5"/>
        <v>6.021009840370211E-2</v>
      </c>
      <c r="H17" s="38">
        <f t="shared" si="5"/>
        <v>4.2669245863479165E-2</v>
      </c>
      <c r="I17" s="38">
        <f t="shared" si="5"/>
        <v>2.8533602945450934E-2</v>
      </c>
      <c r="J17" s="38">
        <f t="shared" si="5"/>
        <v>2.5478147263468021E-2</v>
      </c>
      <c r="K17" s="38">
        <f t="shared" si="5"/>
        <v>2.2931573735679524E-2</v>
      </c>
      <c r="L17" s="38">
        <f t="shared" si="5"/>
        <v>1.8949583709633983E-2</v>
      </c>
      <c r="M17" s="38">
        <f t="shared" si="5"/>
        <v>1.0550160967011989E-2</v>
      </c>
      <c r="N17" s="38">
        <f t="shared" si="5"/>
        <v>6.9311441996150617E-3</v>
      </c>
      <c r="O17" s="38">
        <f t="shared" si="5"/>
        <v>3.7019646138846843E-3</v>
      </c>
      <c r="P17" s="38">
        <f t="shared" si="5"/>
        <v>9.258002693798995E-5</v>
      </c>
      <c r="Q17" s="38">
        <f t="shared" si="5"/>
        <v>5.9431960387997841E-5</v>
      </c>
      <c r="R17" s="38">
        <f t="shared" si="5"/>
        <v>3.5138576209330698E-5</v>
      </c>
      <c r="S17" s="45">
        <f t="shared" si="2"/>
        <v>4.2477612366087317E-29</v>
      </c>
      <c r="T17" s="46">
        <f t="shared" si="3"/>
        <v>1.6991044946434931E-30</v>
      </c>
      <c r="U17" s="50">
        <f t="shared" si="4"/>
        <v>5.8631969280677348E-2</v>
      </c>
      <c r="W17" s="54" t="str">
        <f>'grid-approx'!C17&amp;"-"&amp;'grid-approx'!D17</f>
        <v>2-13.5</v>
      </c>
    </row>
    <row r="18" spans="1:23" x14ac:dyDescent="0.3">
      <c r="C18" s="26" cm="1">
        <f t="array" ref="C18">IF(D17=MAX(sigma_h),INDEX(mu_h,MATCH(C17,mu_h,0)+1), C17)</f>
        <v>2</v>
      </c>
      <c r="D18" s="27" cm="1">
        <f t="array" ref="D18">IF( D17 &lt; MAX(sigma_h), INDEX(sigma_h, MATCH(D17, sigma_h, 0)+1), MIN( sigma_h))</f>
        <v>14.25</v>
      </c>
      <c r="E18" s="35">
        <f t="shared" si="0"/>
        <v>0.2</v>
      </c>
      <c r="F18" s="36">
        <f t="shared" si="0"/>
        <v>0.2</v>
      </c>
      <c r="G18" s="38">
        <f t="shared" si="5"/>
        <v>5.7627182176693784E-2</v>
      </c>
      <c r="H18" s="38">
        <f t="shared" si="5"/>
        <v>4.1425703348536347E-2</v>
      </c>
      <c r="I18" s="38">
        <f t="shared" si="5"/>
        <v>2.8068129432876468E-2</v>
      </c>
      <c r="J18" s="38">
        <f t="shared" si="5"/>
        <v>2.5140838251682427E-2</v>
      </c>
      <c r="K18" s="38">
        <f t="shared" si="5"/>
        <v>2.2689209422301276E-2</v>
      </c>
      <c r="L18" s="38">
        <f t="shared" si="5"/>
        <v>1.8832872596400766E-2</v>
      </c>
      <c r="M18" s="38">
        <f t="shared" si="5"/>
        <v>1.0597497750002984E-2</v>
      </c>
      <c r="N18" s="38">
        <f t="shared" si="5"/>
        <v>7.0004927192326531E-3</v>
      </c>
      <c r="O18" s="38">
        <f t="shared" si="5"/>
        <v>3.7608053867167839E-3</v>
      </c>
      <c r="P18" s="38">
        <f t="shared" si="5"/>
        <v>9.5025040257593123E-5</v>
      </c>
      <c r="Q18" s="38">
        <f t="shared" si="5"/>
        <v>6.1016625669933533E-5</v>
      </c>
      <c r="R18" s="38">
        <f t="shared" si="5"/>
        <v>3.6083164153384204E-5</v>
      </c>
      <c r="S18" s="45">
        <f t="shared" si="2"/>
        <v>4.201748911401916E-29</v>
      </c>
      <c r="T18" s="46">
        <f t="shared" si="3"/>
        <v>1.6806995645607665E-30</v>
      </c>
      <c r="U18" s="50">
        <f t="shared" si="4"/>
        <v>5.7996859845898377E-2</v>
      </c>
      <c r="W18" s="54" t="str">
        <f>'grid-approx'!C18&amp;"-"&amp;'grid-approx'!D18</f>
        <v>2-14.25</v>
      </c>
    </row>
    <row r="19" spans="1:23" x14ac:dyDescent="0.3">
      <c r="C19" s="26" cm="1">
        <f t="array" ref="C19">IF(D18=MAX(sigma_h),INDEX(mu_h,MATCH(C18,mu_h,0)+1), C18)</f>
        <v>2</v>
      </c>
      <c r="D19" s="27" cm="1">
        <f t="array" ref="D19">IF( D18 &lt; MAX(sigma_h), INDEX(sigma_h, MATCH(D18, sigma_h, 0)+1), MIN( sigma_h))</f>
        <v>15</v>
      </c>
      <c r="E19" s="35">
        <f t="shared" si="0"/>
        <v>0.2</v>
      </c>
      <c r="F19" s="36">
        <f t="shared" si="0"/>
        <v>0.2</v>
      </c>
      <c r="G19" s="38">
        <f t="shared" si="5"/>
        <v>5.5255084507513187E-2</v>
      </c>
      <c r="H19" s="38">
        <f t="shared" si="5"/>
        <v>4.0245440701357937E-2</v>
      </c>
      <c r="I19" s="38">
        <f t="shared" si="5"/>
        <v>2.7605777499997403E-2</v>
      </c>
      <c r="J19" s="38">
        <f t="shared" si="5"/>
        <v>2.4799825938899182E-2</v>
      </c>
      <c r="K19" s="38">
        <f t="shared" si="5"/>
        <v>2.2438978827104921E-2</v>
      </c>
      <c r="L19" s="38">
        <f t="shared" si="5"/>
        <v>1.8704390591656496E-2</v>
      </c>
      <c r="M19" s="38">
        <f t="shared" si="5"/>
        <v>1.0633845971502754E-2</v>
      </c>
      <c r="N19" s="38">
        <f t="shared" si="5"/>
        <v>7.0620928866773694E-3</v>
      </c>
      <c r="O19" s="38">
        <f t="shared" si="5"/>
        <v>3.815606402515158E-3</v>
      </c>
      <c r="P19" s="38">
        <f t="shared" si="5"/>
        <v>9.7399503150931327E-5</v>
      </c>
      <c r="Q19" s="38">
        <f t="shared" si="5"/>
        <v>6.2556741197907699E-5</v>
      </c>
      <c r="R19" s="38">
        <f t="shared" si="5"/>
        <v>3.7001794914627334E-5</v>
      </c>
      <c r="S19" s="45">
        <f t="shared" si="2"/>
        <v>4.1278624032823569E-29</v>
      </c>
      <c r="T19" s="46">
        <f t="shared" si="3"/>
        <v>1.6511449613129431E-30</v>
      </c>
      <c r="U19" s="50">
        <f t="shared" si="4"/>
        <v>5.6977002270809936E-2</v>
      </c>
      <c r="W19" s="54" t="str">
        <f>'grid-approx'!C19&amp;"-"&amp;'grid-approx'!D19</f>
        <v>2-15</v>
      </c>
    </row>
    <row r="20" spans="1:23" x14ac:dyDescent="0.3">
      <c r="C20" s="24" cm="1">
        <f t="array" ref="C20">IF(D19=MAX(sigma_h),INDEX(mu_h,MATCH(C19,mu_h,0)+1), C19)</f>
        <v>2.5</v>
      </c>
      <c r="D20" s="25" cm="1">
        <f t="array" ref="D20">IF( D19 &lt; MAX(sigma_h), INDEX(sigma_h, MATCH(D19, sigma_h, 0)+1), MIN( sigma_h))</f>
        <v>12</v>
      </c>
      <c r="E20" s="34">
        <f t="shared" si="0"/>
        <v>0.2</v>
      </c>
      <c r="F20" s="15">
        <f t="shared" si="0"/>
        <v>0.2</v>
      </c>
      <c r="G20" s="38">
        <f t="shared" si="5"/>
        <v>6.3937742067088466E-2</v>
      </c>
      <c r="H20" s="38">
        <f t="shared" si="5"/>
        <v>4.2230287931620925E-2</v>
      </c>
      <c r="I20" s="38">
        <f t="shared" si="5"/>
        <v>2.6777080770313547E-2</v>
      </c>
      <c r="J20" s="38">
        <f t="shared" si="5"/>
        <v>2.3654930481135667E-2</v>
      </c>
      <c r="K20" s="38">
        <f t="shared" si="5"/>
        <v>2.1108750601884583E-2</v>
      </c>
      <c r="L20" s="38">
        <f t="shared" si="5"/>
        <v>1.7226223781464274E-2</v>
      </c>
      <c r="M20" s="38">
        <f t="shared" si="5"/>
        <v>9.4069254116203142E-3</v>
      </c>
      <c r="N20" s="38">
        <f t="shared" si="5"/>
        <v>6.1742680946205285E-3</v>
      </c>
      <c r="O20" s="38">
        <f t="shared" si="5"/>
        <v>3.3370094077100508E-3</v>
      </c>
      <c r="P20" s="38">
        <f t="shared" si="5"/>
        <v>1.0138343249383239E-4</v>
      </c>
      <c r="Q20" s="38">
        <f t="shared" si="5"/>
        <v>6.6954529585211821E-5</v>
      </c>
      <c r="R20" s="38">
        <f t="shared" si="5"/>
        <v>4.0955344287585857E-5</v>
      </c>
      <c r="S20" s="43">
        <f t="shared" si="2"/>
        <v>3.3509427315773571E-29</v>
      </c>
      <c r="T20" s="44">
        <f t="shared" si="3"/>
        <v>1.340377092630943E-30</v>
      </c>
      <c r="U20" s="49">
        <f t="shared" si="4"/>
        <v>4.6253157923727722E-2</v>
      </c>
      <c r="W20" s="54" t="str">
        <f>'grid-approx'!C20&amp;"-"&amp;'grid-approx'!D20</f>
        <v>2.5-12</v>
      </c>
    </row>
    <row r="21" spans="1:23" x14ac:dyDescent="0.3">
      <c r="C21" s="26" cm="1">
        <f t="array" ref="C21">IF(D20=MAX(sigma_h),INDEX(mu_h,MATCH(C20,mu_h,0)+1), C20)</f>
        <v>2.5</v>
      </c>
      <c r="D21" s="27" cm="1">
        <f t="array" ref="D21">IF( D20 &lt; MAX(sigma_h), INDEX(sigma_h, MATCH(D20, sigma_h, 0)+1), MIN( sigma_h))</f>
        <v>12.75</v>
      </c>
      <c r="E21" s="35">
        <f t="shared" si="0"/>
        <v>0.2</v>
      </c>
      <c r="F21" s="36">
        <f t="shared" si="0"/>
        <v>0.2</v>
      </c>
      <c r="G21" s="38">
        <f t="shared" si="5"/>
        <v>6.1041653985011476E-2</v>
      </c>
      <c r="H21" s="38">
        <f t="shared" si="5"/>
        <v>4.1040159062640774E-2</v>
      </c>
      <c r="I21" s="38">
        <f t="shared" si="5"/>
        <v>2.6401943143246558E-2</v>
      </c>
      <c r="J21" s="38">
        <f t="shared" si="5"/>
        <v>2.3398528349907091E-2</v>
      </c>
      <c r="K21" s="38">
        <f t="shared" si="5"/>
        <v>2.0936700854428114E-2</v>
      </c>
      <c r="L21" s="38">
        <f t="shared" si="5"/>
        <v>1.7160120593886118E-2</v>
      </c>
      <c r="M21" s="38">
        <f t="shared" si="5"/>
        <v>9.4630533803198962E-3</v>
      </c>
      <c r="N21" s="38">
        <f t="shared" si="5"/>
        <v>6.2405593397267317E-3</v>
      </c>
      <c r="O21" s="38">
        <f t="shared" si="5"/>
        <v>3.3891044587870665E-3</v>
      </c>
      <c r="P21" s="38">
        <f t="shared" si="5"/>
        <v>1.037968204252612E-4</v>
      </c>
      <c r="Q21" s="38">
        <f t="shared" si="5"/>
        <v>6.8561083562390375E-5</v>
      </c>
      <c r="R21" s="38">
        <f t="shared" si="5"/>
        <v>4.1944741760730723E-5</v>
      </c>
      <c r="S21" s="45">
        <f t="shared" si="2"/>
        <v>3.3217531531984196E-29</v>
      </c>
      <c r="T21" s="46">
        <f t="shared" si="3"/>
        <v>1.3287012612793678E-30</v>
      </c>
      <c r="U21" s="50">
        <f t="shared" si="4"/>
        <v>4.5850253342349656E-2</v>
      </c>
      <c r="W21" s="54" t="str">
        <f>'grid-approx'!C21&amp;"-"&amp;'grid-approx'!D21</f>
        <v>2.5-12.75</v>
      </c>
    </row>
    <row r="22" spans="1:23" x14ac:dyDescent="0.3">
      <c r="C22" s="26" cm="1">
        <f t="array" ref="C22">IF(D21=MAX(sigma_h),INDEX(mu_h,MATCH(C21,mu_h,0)+1), C21)</f>
        <v>2.5</v>
      </c>
      <c r="D22" s="27" cm="1">
        <f t="array" ref="D22">IF( D21 &lt; MAX(sigma_h), INDEX(sigma_h, MATCH(D21, sigma_h, 0)+1), MIN( sigma_h))</f>
        <v>13.5</v>
      </c>
      <c r="E22" s="35">
        <f t="shared" si="0"/>
        <v>0.2</v>
      </c>
      <c r="F22" s="36">
        <f t="shared" si="0"/>
        <v>0.2</v>
      </c>
      <c r="G22" s="38">
        <f t="shared" si="5"/>
        <v>5.8393637794477378E-2</v>
      </c>
      <c r="H22" s="38">
        <f t="shared" si="5"/>
        <v>3.9904924620289425E-2</v>
      </c>
      <c r="I22" s="38">
        <f t="shared" si="5"/>
        <v>2.6022601034320803E-2</v>
      </c>
      <c r="J22" s="38">
        <f t="shared" si="5"/>
        <v>2.3132743164095207E-2</v>
      </c>
      <c r="K22" s="38">
        <f t="shared" si="5"/>
        <v>2.0752516964125771E-2</v>
      </c>
      <c r="L22" s="38">
        <f t="shared" si="5"/>
        <v>1.7080024372976406E-2</v>
      </c>
      <c r="M22" s="38">
        <f t="shared" si="5"/>
        <v>9.5085719018065291E-3</v>
      </c>
      <c r="N22" s="38">
        <f t="shared" si="5"/>
        <v>6.2996437139447485E-3</v>
      </c>
      <c r="O22" s="38">
        <f t="shared" si="5"/>
        <v>3.4374309974580064E-3</v>
      </c>
      <c r="P22" s="38">
        <f t="shared" si="5"/>
        <v>1.0612046149933399E-4</v>
      </c>
      <c r="Q22" s="38">
        <f t="shared" si="5"/>
        <v>7.0108928590727979E-5</v>
      </c>
      <c r="R22" s="38">
        <f t="shared" si="5"/>
        <v>4.2898526127173913E-5</v>
      </c>
      <c r="S22" s="45">
        <f t="shared" si="2"/>
        <v>3.2674521238522118E-29</v>
      </c>
      <c r="T22" s="46">
        <f t="shared" si="3"/>
        <v>1.3069808495408849E-30</v>
      </c>
      <c r="U22" s="50">
        <f t="shared" si="4"/>
        <v>4.5100734688359158E-2</v>
      </c>
      <c r="W22" s="54" t="str">
        <f>'grid-approx'!C22&amp;"-"&amp;'grid-approx'!D22</f>
        <v>2.5-13.5</v>
      </c>
    </row>
    <row r="23" spans="1:23" x14ac:dyDescent="0.3">
      <c r="C23" s="26" cm="1">
        <f t="array" ref="C23">IF(D22=MAX(sigma_h),INDEX(mu_h,MATCH(C22,mu_h,0)+1), C22)</f>
        <v>2.5</v>
      </c>
      <c r="D23" s="27" cm="1">
        <f t="array" ref="D23">IF( D22 &lt; MAX(sigma_h), INDEX(sigma_h, MATCH(D22, sigma_h, 0)+1), MIN( sigma_h))</f>
        <v>14.25</v>
      </c>
      <c r="E23" s="35">
        <f t="shared" si="0"/>
        <v>0.2</v>
      </c>
      <c r="F23" s="36">
        <f t="shared" si="0"/>
        <v>0.2</v>
      </c>
      <c r="G23" s="38">
        <f t="shared" si="5"/>
        <v>5.5963544075318852E-2</v>
      </c>
      <c r="H23" s="38">
        <f t="shared" si="5"/>
        <v>3.8822453632694064E-2</v>
      </c>
      <c r="I23" s="38">
        <f t="shared" si="5"/>
        <v>2.5641871954133123E-2</v>
      </c>
      <c r="J23" s="38">
        <f t="shared" si="5"/>
        <v>2.2860447324905345E-2</v>
      </c>
      <c r="K23" s="38">
        <f t="shared" si="5"/>
        <v>2.055895990597344E-2</v>
      </c>
      <c r="L23" s="38">
        <f t="shared" si="5"/>
        <v>1.6988319501369163E-2</v>
      </c>
      <c r="M23" s="38">
        <f t="shared" si="5"/>
        <v>9.5446992653538867E-3</v>
      </c>
      <c r="N23" s="38">
        <f t="shared" si="5"/>
        <v>6.3522409985803333E-3</v>
      </c>
      <c r="O23" s="38">
        <f t="shared" si="5"/>
        <v>3.4823256991371146E-3</v>
      </c>
      <c r="P23" s="38">
        <f t="shared" si="5"/>
        <v>1.0836209109513305E-4</v>
      </c>
      <c r="Q23" s="38">
        <f t="shared" si="5"/>
        <v>7.1603142427057573E-5</v>
      </c>
      <c r="R23" s="38">
        <f t="shared" si="5"/>
        <v>4.3819787489701183E-5</v>
      </c>
      <c r="S23" s="45">
        <f t="shared" si="2"/>
        <v>3.1931000841290829E-29</v>
      </c>
      <c r="T23" s="46">
        <f t="shared" si="3"/>
        <v>1.2772400336516332E-30</v>
      </c>
      <c r="U23" s="50">
        <f t="shared" si="4"/>
        <v>4.4074451367293162E-2</v>
      </c>
      <c r="W23" s="54" t="str">
        <f>'grid-approx'!C23&amp;"-"&amp;'grid-approx'!D23</f>
        <v>2.5-14.25</v>
      </c>
    </row>
    <row r="24" spans="1:23" x14ac:dyDescent="0.3">
      <c r="C24" s="28" cm="1">
        <f t="array" ref="C24">IF(D23=MAX(sigma_h),INDEX(mu_h,MATCH(C23,mu_h,0)+1), C23)</f>
        <v>2.5</v>
      </c>
      <c r="D24" s="29" cm="1">
        <f t="array" ref="D24">IF( D23 &lt; MAX(sigma_h), INDEX(sigma_h, MATCH(D23, sigma_h, 0)+1), MIN( sigma_h))</f>
        <v>15</v>
      </c>
      <c r="E24" s="37">
        <f t="shared" si="0"/>
        <v>0.2</v>
      </c>
      <c r="F24" s="16">
        <f t="shared" si="0"/>
        <v>0.2</v>
      </c>
      <c r="G24" s="38">
        <f t="shared" si="5"/>
        <v>5.372584260765173E-2</v>
      </c>
      <c r="H24" s="38">
        <f t="shared" si="5"/>
        <v>3.779035557409751E-2</v>
      </c>
      <c r="I24" s="38">
        <f t="shared" si="5"/>
        <v>2.5261942775173303E-2</v>
      </c>
      <c r="J24" s="38">
        <f t="shared" si="5"/>
        <v>2.2583944520255847E-2</v>
      </c>
      <c r="K24" s="38">
        <f t="shared" si="5"/>
        <v>2.0358287422536991E-2</v>
      </c>
      <c r="L24" s="38">
        <f t="shared" si="5"/>
        <v>1.6887000481507666E-2</v>
      </c>
      <c r="M24" s="38">
        <f t="shared" si="5"/>
        <v>9.5724862916419587E-3</v>
      </c>
      <c r="N24" s="38">
        <f t="shared" si="5"/>
        <v>6.3989765971225613E-3</v>
      </c>
      <c r="O24" s="38">
        <f t="shared" si="5"/>
        <v>3.5240817907704184E-3</v>
      </c>
      <c r="P24" s="38">
        <f t="shared" si="5"/>
        <v>1.105284058224736E-4</v>
      </c>
      <c r="Q24" s="38">
        <f t="shared" si="5"/>
        <v>7.3048120141541229E-5</v>
      </c>
      <c r="R24" s="38">
        <f t="shared" si="5"/>
        <v>4.4711200088167063E-5</v>
      </c>
      <c r="S24" s="47">
        <f t="shared" si="2"/>
        <v>3.1031662819713025E-29</v>
      </c>
      <c r="T24" s="48">
        <f t="shared" si="3"/>
        <v>1.2412665127885212E-30</v>
      </c>
      <c r="U24" s="51">
        <f t="shared" si="4"/>
        <v>4.2833092535736222E-2</v>
      </c>
      <c r="W24" s="54" t="str">
        <f>'grid-approx'!C24&amp;"-"&amp;'grid-approx'!D24</f>
        <v>2.5-15</v>
      </c>
    </row>
    <row r="25" spans="1:23" x14ac:dyDescent="0.3">
      <c r="C25" s="26" cm="1">
        <f t="array" ref="C25">IF(D24=MAX(sigma_h),INDEX(mu_h,MATCH(C24,mu_h,0)+1), C24)</f>
        <v>3</v>
      </c>
      <c r="D25" s="27" cm="1">
        <f t="array" ref="D25">IF( D24 &lt; MAX(sigma_h), INDEX(sigma_h, MATCH(D24, sigma_h, 0)+1), MIN( sigma_h))</f>
        <v>12</v>
      </c>
      <c r="E25" s="35">
        <f t="shared" si="0"/>
        <v>0.2</v>
      </c>
      <c r="F25" s="36">
        <f t="shared" si="0"/>
        <v>0.2</v>
      </c>
      <c r="G25" s="38">
        <f t="shared" si="5"/>
        <v>6.1887851114837057E-2</v>
      </c>
      <c r="H25" s="38">
        <f t="shared" si="5"/>
        <v>3.9515549207916355E-2</v>
      </c>
      <c r="I25" s="38">
        <f t="shared" si="5"/>
        <v>2.4560209990935909E-2</v>
      </c>
      <c r="J25" s="38">
        <f t="shared" si="5"/>
        <v>2.1629268348594188E-2</v>
      </c>
      <c r="K25" s="38">
        <f t="shared" si="5"/>
        <v>1.9260035398628739E-2</v>
      </c>
      <c r="L25" s="38">
        <f t="shared" si="5"/>
        <v>1.5681756095436893E-2</v>
      </c>
      <c r="M25" s="38">
        <f t="shared" si="5"/>
        <v>8.5835808324652256E-3</v>
      </c>
      <c r="N25" s="38">
        <f t="shared" si="5"/>
        <v>5.6763661658781718E-3</v>
      </c>
      <c r="O25" s="38">
        <f t="shared" si="5"/>
        <v>3.1196192997761454E-3</v>
      </c>
      <c r="P25" s="38">
        <f t="shared" si="5"/>
        <v>1.0964630244960285E-4</v>
      </c>
      <c r="Q25" s="38">
        <f t="shared" si="5"/>
        <v>7.3821375346338005E-5</v>
      </c>
      <c r="R25" s="38">
        <f t="shared" si="5"/>
        <v>4.6206376716255654E-5</v>
      </c>
      <c r="S25" s="45">
        <f t="shared" si="2"/>
        <v>2.2305791892398734E-29</v>
      </c>
      <c r="T25" s="46">
        <f t="shared" si="3"/>
        <v>8.9223167569594937E-31</v>
      </c>
      <c r="U25" s="50">
        <f t="shared" si="4"/>
        <v>3.078874805261967E-2</v>
      </c>
      <c r="W25" s="54" t="str">
        <f>'grid-approx'!C25&amp;"-"&amp;'grid-approx'!D25</f>
        <v>3-12</v>
      </c>
    </row>
    <row r="26" spans="1:23" x14ac:dyDescent="0.3">
      <c r="C26" s="26" cm="1">
        <f t="array" ref="C26">IF(D25=MAX(sigma_h),INDEX(mu_h,MATCH(C25,mu_h,0)+1), C25)</f>
        <v>3</v>
      </c>
      <c r="D26" s="27" cm="1">
        <f t="array" ref="D26">IF( D25 &lt; MAX(sigma_h), INDEX(sigma_h, MATCH(D25, sigma_h, 0)+1), MIN( sigma_h))</f>
        <v>12.75</v>
      </c>
      <c r="E26" s="35">
        <f t="shared" si="0"/>
        <v>0.2</v>
      </c>
      <c r="F26" s="36">
        <f t="shared" si="0"/>
        <v>0.2</v>
      </c>
      <c r="G26" s="38">
        <f t="shared" si="5"/>
        <v>5.9173780637998344E-2</v>
      </c>
      <c r="H26" s="38">
        <f t="shared" si="5"/>
        <v>3.8479053416720366E-2</v>
      </c>
      <c r="I26" s="38">
        <f t="shared" si="5"/>
        <v>2.4249897175289279E-2</v>
      </c>
      <c r="J26" s="38">
        <f t="shared" si="5"/>
        <v>2.1419287755557497E-2</v>
      </c>
      <c r="K26" s="38">
        <f t="shared" si="5"/>
        <v>1.9120251640267167E-2</v>
      </c>
      <c r="L26" s="38">
        <f t="shared" si="5"/>
        <v>1.5628665743231924E-2</v>
      </c>
      <c r="M26" s="38">
        <f t="shared" si="5"/>
        <v>8.6278324281761094E-3</v>
      </c>
      <c r="N26" s="38">
        <f t="shared" si="5"/>
        <v>5.7285039467781804E-3</v>
      </c>
      <c r="O26" s="38">
        <f t="shared" si="5"/>
        <v>3.1608651740228874E-3</v>
      </c>
      <c r="P26" s="38">
        <f t="shared" si="5"/>
        <v>1.1182021733279465E-4</v>
      </c>
      <c r="Q26" s="38">
        <f t="shared" si="5"/>
        <v>7.5296127466200849E-5</v>
      </c>
      <c r="R26" s="38">
        <f t="shared" si="5"/>
        <v>4.7135429638539679E-5</v>
      </c>
      <c r="S26" s="45">
        <f t="shared" si="2"/>
        <v>2.1911568308314706E-29</v>
      </c>
      <c r="T26" s="46">
        <f t="shared" si="3"/>
        <v>8.7646273233258833E-31</v>
      </c>
      <c r="U26" s="50">
        <f t="shared" si="4"/>
        <v>3.0244600117172466E-2</v>
      </c>
      <c r="W26" s="54" t="str">
        <f>'grid-approx'!C26&amp;"-"&amp;'grid-approx'!D26</f>
        <v>3-12.75</v>
      </c>
    </row>
    <row r="27" spans="1:23" x14ac:dyDescent="0.3">
      <c r="C27" s="26" cm="1">
        <f t="array" ref="C27">IF(D26=MAX(sigma_h),INDEX(mu_h,MATCH(C26,mu_h,0)+1), C26)</f>
        <v>3</v>
      </c>
      <c r="D27" s="27" cm="1">
        <f t="array" ref="D27">IF( D26 &lt; MAX(sigma_h), INDEX(sigma_h, MATCH(D26, sigma_h, 0)+1), MIN( sigma_h))</f>
        <v>13.5</v>
      </c>
      <c r="E27" s="35">
        <f t="shared" si="0"/>
        <v>0.2</v>
      </c>
      <c r="F27" s="36">
        <f t="shared" si="0"/>
        <v>0.2</v>
      </c>
      <c r="G27" s="38">
        <f t="shared" si="5"/>
        <v>5.6684718887613082E-2</v>
      </c>
      <c r="H27" s="38">
        <f t="shared" si="5"/>
        <v>3.7485896235633302E-2</v>
      </c>
      <c r="I27" s="38">
        <f t="shared" si="5"/>
        <v>2.3934839400925525E-2</v>
      </c>
      <c r="J27" s="38">
        <f t="shared" si="5"/>
        <v>2.1200810429357387E-2</v>
      </c>
      <c r="K27" s="38">
        <f t="shared" si="5"/>
        <v>1.8970097623947003E-2</v>
      </c>
      <c r="L27" s="38">
        <f t="shared" si="5"/>
        <v>1.5564156183683561E-2</v>
      </c>
      <c r="M27" s="38">
        <f t="shared" si="5"/>
        <v>8.6637562613714591E-3</v>
      </c>
      <c r="N27" s="38">
        <f t="shared" si="5"/>
        <v>5.7749708633530461E-3</v>
      </c>
      <c r="O27" s="38">
        <f t="shared" si="5"/>
        <v>3.1990775667242403E-3</v>
      </c>
      <c r="P27" s="38">
        <f t="shared" si="5"/>
        <v>1.1390557904163185E-4</v>
      </c>
      <c r="Q27" s="38">
        <f t="shared" si="5"/>
        <v>7.6711667610674728E-5</v>
      </c>
      <c r="R27" s="38">
        <f t="shared" si="5"/>
        <v>4.8027642584673425E-5</v>
      </c>
      <c r="S27" s="45">
        <f t="shared" si="2"/>
        <v>2.1384076824153261E-29</v>
      </c>
      <c r="T27" s="46">
        <f t="shared" si="3"/>
        <v>8.553630729661306E-31</v>
      </c>
      <c r="U27" s="50">
        <f t="shared" si="4"/>
        <v>2.951650211984095E-2</v>
      </c>
      <c r="W27" s="54" t="str">
        <f>'grid-approx'!C27&amp;"-"&amp;'grid-approx'!D27</f>
        <v>3-13.5</v>
      </c>
    </row>
    <row r="28" spans="1:23" x14ac:dyDescent="0.3">
      <c r="C28" s="26" cm="1">
        <f t="array" ref="C28">IF(D27=MAX(sigma_h),INDEX(mu_h,MATCH(C27,mu_h,0)+1), C27)</f>
        <v>3</v>
      </c>
      <c r="D28" s="27" cm="1">
        <f t="array" ref="D28">IF( D27 &lt; MAX(sigma_h), INDEX(sigma_h, MATCH(D27, sigma_h, 0)+1), MIN( sigma_h))</f>
        <v>14.25</v>
      </c>
      <c r="E28" s="35">
        <f t="shared" si="0"/>
        <v>0.2</v>
      </c>
      <c r="F28" s="36">
        <f t="shared" si="0"/>
        <v>0.2</v>
      </c>
      <c r="G28" s="38">
        <f t="shared" si="5"/>
        <v>5.4394228614244644E-2</v>
      </c>
      <c r="H28" s="38">
        <f t="shared" si="5"/>
        <v>3.6534879432239722E-2</v>
      </c>
      <c r="I28" s="38">
        <f t="shared" si="5"/>
        <v>2.3617395159871019E-2</v>
      </c>
      <c r="J28" s="38">
        <f t="shared" si="5"/>
        <v>2.0976166728845606E-2</v>
      </c>
      <c r="K28" s="38">
        <f t="shared" si="5"/>
        <v>1.8811771813846148E-2</v>
      </c>
      <c r="L28" s="38">
        <f t="shared" si="5"/>
        <v>1.5490089297830285E-2</v>
      </c>
      <c r="M28" s="38">
        <f t="shared" si="5"/>
        <v>8.6923008069839398E-3</v>
      </c>
      <c r="N28" s="38">
        <f t="shared" si="5"/>
        <v>5.8163400351773729E-3</v>
      </c>
      <c r="O28" s="38">
        <f t="shared" si="5"/>
        <v>3.2345369293339372E-3</v>
      </c>
      <c r="P28" s="38">
        <f t="shared" si="5"/>
        <v>1.1591036464147627E-4</v>
      </c>
      <c r="Q28" s="38">
        <f t="shared" si="5"/>
        <v>7.8073342081340139E-5</v>
      </c>
      <c r="R28" s="38">
        <f t="shared" si="5"/>
        <v>4.8886348963421059E-5</v>
      </c>
      <c r="S28" s="45">
        <f t="shared" si="2"/>
        <v>2.0754464980519418E-29</v>
      </c>
      <c r="T28" s="46">
        <f t="shared" si="3"/>
        <v>8.3017859922077682E-31</v>
      </c>
      <c r="U28" s="50">
        <f t="shared" si="4"/>
        <v>2.8647447099597809E-2</v>
      </c>
      <c r="W28" s="54" t="str">
        <f>'grid-approx'!C28&amp;"-"&amp;'grid-approx'!D28</f>
        <v>3-14.25</v>
      </c>
    </row>
    <row r="29" spans="1:23" x14ac:dyDescent="0.3">
      <c r="C29" s="28" cm="1">
        <f t="array" ref="C29">IF(D28=MAX(sigma_h),INDEX(mu_h,MATCH(C28,mu_h,0)+1), C28)</f>
        <v>3</v>
      </c>
      <c r="D29" s="29" cm="1">
        <f t="array" ref="D29">IF( D28 &lt; MAX(sigma_h), INDEX(sigma_h, MATCH(D28, sigma_h, 0)+1), MIN( sigma_h))</f>
        <v>15</v>
      </c>
      <c r="E29" s="37">
        <f t="shared" si="0"/>
        <v>0.2</v>
      </c>
      <c r="F29" s="16">
        <f t="shared" si="0"/>
        <v>0.2</v>
      </c>
      <c r="G29" s="38">
        <f t="shared" si="5"/>
        <v>5.2279779382279359E-2</v>
      </c>
      <c r="H29" s="38">
        <f t="shared" si="5"/>
        <v>3.5624498889097848E-2</v>
      </c>
      <c r="I29" s="38">
        <f t="shared" si="5"/>
        <v>2.3299423025109973E-2</v>
      </c>
      <c r="J29" s="38">
        <f t="shared" si="5"/>
        <v>2.0747244197023913E-2</v>
      </c>
      <c r="K29" s="38">
        <f t="shared" si="5"/>
        <v>1.8647084706080494E-2</v>
      </c>
      <c r="L29" s="38">
        <f t="shared" si="5"/>
        <v>1.5408028318902992E-2</v>
      </c>
      <c r="M29" s="38">
        <f t="shared" si="5"/>
        <v>8.7142824444120907E-3</v>
      </c>
      <c r="N29" s="38">
        <f t="shared" si="5"/>
        <v>5.8531073342899384E-3</v>
      </c>
      <c r="O29" s="38">
        <f t="shared" si="5"/>
        <v>3.2674862113924595E-3</v>
      </c>
      <c r="P29" s="38">
        <f t="shared" si="5"/>
        <v>1.1784145296427961E-4</v>
      </c>
      <c r="Q29" s="38">
        <f t="shared" si="5"/>
        <v>7.9385760538394699E-5</v>
      </c>
      <c r="R29" s="38">
        <f t="shared" si="5"/>
        <v>4.9714422576845314E-5</v>
      </c>
      <c r="S29" s="47">
        <f t="shared" si="2"/>
        <v>2.0049386544330399E-29</v>
      </c>
      <c r="T29" s="48">
        <f t="shared" si="3"/>
        <v>8.0197546177321599E-31</v>
      </c>
      <c r="U29" s="51">
        <f t="shared" si="4"/>
        <v>2.767422532680092E-2</v>
      </c>
      <c r="W29" s="55" t="str">
        <f>'grid-approx'!C29&amp;"-"&amp;'grid-approx'!D29</f>
        <v>3-15</v>
      </c>
    </row>
    <row r="30" spans="1:23" x14ac:dyDescent="0.3">
      <c r="C30" s="5" t="s">
        <v>24</v>
      </c>
      <c r="D30" s="5" t="s">
        <v>18</v>
      </c>
      <c r="E30" s="5" t="s">
        <v>25</v>
      </c>
      <c r="F30" s="5" t="s">
        <v>26</v>
      </c>
      <c r="G30" s="2" t="s">
        <v>27</v>
      </c>
      <c r="M30" s="5" t="s">
        <v>11</v>
      </c>
      <c r="S30" s="5" t="s">
        <v>28</v>
      </c>
      <c r="T30" s="5" t="s">
        <v>29</v>
      </c>
      <c r="U30" s="5" t="s">
        <v>30</v>
      </c>
    </row>
    <row r="31" spans="1:23" x14ac:dyDescent="0.3">
      <c r="A31" s="57"/>
      <c r="B31" s="57"/>
      <c r="C31" s="58" t="str">
        <f t="shared" ref="C31:F31" ca="1" si="6">_xlfn.FORMULATEXT(C5)</f>
        <v>='grid-setup'!E3</v>
      </c>
      <c r="D31" s="58" t="str">
        <f t="shared" ca="1" si="6"/>
        <v>='grid-setup'!E10</v>
      </c>
      <c r="E31" s="58" t="str">
        <f t="shared" ca="1" si="6"/>
        <v>=1/5</v>
      </c>
      <c r="F31" s="58" t="str">
        <f t="shared" ca="1" si="6"/>
        <v>=1/5</v>
      </c>
      <c r="G31" s="179" t="str">
        <f ca="1">_xlfn.FORMULATEXT(G4)</f>
        <v>{=TRANSPOSE( wages )}</v>
      </c>
      <c r="H31" s="179"/>
      <c r="I31" s="179"/>
      <c r="J31" s="57"/>
      <c r="K31" s="57"/>
      <c r="L31" s="57"/>
      <c r="M31" s="178" t="str">
        <f ca="1">_xlfn.FORMULATEXT(M5)</f>
        <v>=(1/$D5)*(1+$C5*(M$4 - mu_thres)/$D5)^(-($C5+1)/$C5)</v>
      </c>
      <c r="N31" s="178"/>
      <c r="O31" s="178"/>
      <c r="P31" s="178"/>
      <c r="Q31" s="178"/>
      <c r="R31" s="57"/>
      <c r="S31" s="58" t="str">
        <f ca="1">_xlfn.FORMULATEXT(S5)</f>
        <v>=PRODUCT(G5:R5)</v>
      </c>
      <c r="T31" s="58" t="str">
        <f t="shared" ref="T31:U31" ca="1" si="7">_xlfn.FORMULATEXT(T5)</f>
        <v>=S5*E5*F5</v>
      </c>
      <c r="U31" s="58" t="str">
        <f t="shared" ca="1" si="7"/>
        <v>=T5 / sum</v>
      </c>
    </row>
    <row r="32" spans="1:23" x14ac:dyDescent="0.3">
      <c r="T32" s="5" t="s">
        <v>31</v>
      </c>
    </row>
    <row r="33" spans="3:26" x14ac:dyDescent="0.3">
      <c r="C33" s="96" t="s">
        <v>61</v>
      </c>
      <c r="D33" s="96" t="s">
        <v>60</v>
      </c>
      <c r="T33" s="5" t="str">
        <f ca="1">_xlfn.FORMULATEXT(sum)</f>
        <v>=SUM(T5:T29)</v>
      </c>
      <c r="W33" s="2" t="s">
        <v>17</v>
      </c>
    </row>
    <row r="34" spans="3:26" ht="86.4" x14ac:dyDescent="0.3">
      <c r="C34" s="96" t="str">
        <f ca="1">_xlfn.FORMULATEXT(C6)</f>
        <v>=IF(D5=MAX(sigma_h),INDEX(mu_h,MATCH(C5,mu_h,0)+1), C5)</v>
      </c>
      <c r="D34" s="96" t="str">
        <f ca="1">_xlfn.FORMULATEXT(D6)</f>
        <v>=IF( D5 &lt; MAX(sigma_h), INDEX(sigma_h, MATCH(D5, sigma_h, 0)+1), MIN( sigma_h))</v>
      </c>
      <c r="W34" s="98" t="str">
        <f ca="1">_xlfn.FORMULATEXT(W5)</f>
        <v>='grid-approx'!C5&amp;"-"&amp;'grid-approx'!D5</v>
      </c>
      <c r="X34" s="99"/>
      <c r="Y34" s="99"/>
      <c r="Z34" s="99"/>
    </row>
  </sheetData>
  <mergeCells count="4">
    <mergeCell ref="C3:D3"/>
    <mergeCell ref="G3:R3"/>
    <mergeCell ref="M31:Q31"/>
    <mergeCell ref="G31:I3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68222-2C65-43E0-876C-F150FBD402FB}">
  <sheetPr codeName="Sheet6"/>
  <dimension ref="B2:O16"/>
  <sheetViews>
    <sheetView workbookViewId="0">
      <selection activeCell="O8" sqref="O8"/>
    </sheetView>
  </sheetViews>
  <sheetFormatPr defaultRowHeight="14.4" x14ac:dyDescent="0.3"/>
  <cols>
    <col min="2" max="2" width="3.33203125" customWidth="1"/>
    <col min="3" max="3" width="12.5546875" customWidth="1"/>
    <col min="4" max="4" width="10.6640625" customWidth="1"/>
    <col min="5" max="5" width="10.5546875" customWidth="1"/>
    <col min="6" max="6" width="11.44140625" customWidth="1"/>
    <col min="7" max="7" width="11.109375" customWidth="1"/>
    <col min="9" max="9" width="11.77734375" customWidth="1"/>
    <col min="13" max="13" width="12.21875" customWidth="1"/>
    <col min="14" max="15" width="10.88671875" customWidth="1"/>
    <col min="26" max="26" width="12.6640625" customWidth="1"/>
    <col min="27" max="27" width="12.21875" customWidth="1"/>
    <col min="28" max="28" width="15.77734375" customWidth="1"/>
    <col min="30" max="30" width="12.44140625" customWidth="1"/>
    <col min="33" max="33" width="4.88671875" customWidth="1"/>
  </cols>
  <sheetData>
    <row r="2" spans="2:15" x14ac:dyDescent="0.3">
      <c r="D2" s="174" t="s">
        <v>5</v>
      </c>
      <c r="E2" s="175"/>
      <c r="F2" s="175"/>
      <c r="G2" s="175"/>
      <c r="H2" s="176"/>
    </row>
    <row r="3" spans="2:15" x14ac:dyDescent="0.3">
      <c r="D3" s="2">
        <f t="array" ref="D3:H3">TRANSPOSE( 'grid-setup'!E10:E14 )</f>
        <v>12</v>
      </c>
      <c r="E3" s="2">
        <v>12.75</v>
      </c>
      <c r="F3" s="91">
        <v>13.5</v>
      </c>
      <c r="G3" s="2">
        <v>14.25</v>
      </c>
      <c r="H3" s="2">
        <v>15</v>
      </c>
      <c r="I3" s="17" t="str">
        <f>"Pr( "&amp;'grid-approx'!C4&amp;" )"</f>
        <v>Pr( xi )</v>
      </c>
    </row>
    <row r="4" spans="2:15" x14ac:dyDescent="0.3">
      <c r="B4" s="180" t="str">
        <f>'grid-approx'!C4</f>
        <v>xi</v>
      </c>
      <c r="C4" s="56">
        <f>'grid-setup'!E3</f>
        <v>1</v>
      </c>
      <c r="D4" s="64">
        <f t="shared" ref="D4:H8" si="0">INDEX( Pr_h___d, MATCH( $C4&amp;"-"&amp;D$3, key, 0) )</f>
        <v>1.370288663720599E-2</v>
      </c>
      <c r="E4" s="65">
        <f t="shared" si="0"/>
        <v>1.5092981947917035E-2</v>
      </c>
      <c r="F4" s="92">
        <f t="shared" si="0"/>
        <v>1.6329020888544026E-2</v>
      </c>
      <c r="G4" s="65">
        <f t="shared" si="0"/>
        <v>1.739851371140631E-2</v>
      </c>
      <c r="H4" s="66">
        <f t="shared" si="0"/>
        <v>1.8296645898942445E-2</v>
      </c>
      <c r="I4" s="73">
        <f>SUM(D4:H4)</f>
        <v>8.0820049084015813E-2</v>
      </c>
      <c r="O4" s="102"/>
    </row>
    <row r="5" spans="2:15" x14ac:dyDescent="0.3">
      <c r="B5" s="181"/>
      <c r="C5" s="56">
        <f>'grid-setup'!E4</f>
        <v>1.5</v>
      </c>
      <c r="D5" s="67">
        <f t="shared" si="0"/>
        <v>4.9080560577334932E-2</v>
      </c>
      <c r="E5" s="68">
        <f t="shared" si="0"/>
        <v>5.0835461732953245E-2</v>
      </c>
      <c r="F5" s="88">
        <f t="shared" si="0"/>
        <v>5.2005137837493602E-2</v>
      </c>
      <c r="G5" s="68">
        <f t="shared" si="0"/>
        <v>5.2645231235252186E-2</v>
      </c>
      <c r="H5" s="69">
        <f t="shared" si="0"/>
        <v>5.2816755976966168E-2</v>
      </c>
      <c r="I5" s="73">
        <f t="shared" ref="I5:I8" si="1">SUM(D5:H5)</f>
        <v>0.25738314736000012</v>
      </c>
      <c r="O5" s="102"/>
    </row>
    <row r="6" spans="2:15" x14ac:dyDescent="0.3">
      <c r="B6" s="181"/>
      <c r="C6" s="86">
        <f>'grid-setup'!E5</f>
        <v>2</v>
      </c>
      <c r="D6" s="87">
        <f t="shared" si="0"/>
        <v>5.8408784712565588E-2</v>
      </c>
      <c r="E6" s="88">
        <f t="shared" si="0"/>
        <v>5.8798974872535145E-2</v>
      </c>
      <c r="F6" s="88">
        <f t="shared" si="0"/>
        <v>5.8631969280677348E-2</v>
      </c>
      <c r="G6" s="88">
        <f t="shared" si="0"/>
        <v>5.7996859845898377E-2</v>
      </c>
      <c r="H6" s="89">
        <f t="shared" si="0"/>
        <v>5.6977002270809936E-2</v>
      </c>
      <c r="I6" s="90">
        <f t="shared" si="1"/>
        <v>0.29081359098248638</v>
      </c>
      <c r="O6" s="102"/>
    </row>
    <row r="7" spans="2:15" x14ac:dyDescent="0.3">
      <c r="B7" s="181"/>
      <c r="C7" s="56">
        <f>'grid-setup'!E6</f>
        <v>2.5</v>
      </c>
      <c r="D7" s="67">
        <f t="shared" si="0"/>
        <v>4.6253157923727722E-2</v>
      </c>
      <c r="E7" s="68">
        <f t="shared" si="0"/>
        <v>4.5850253342349656E-2</v>
      </c>
      <c r="F7" s="88">
        <f t="shared" si="0"/>
        <v>4.5100734688359158E-2</v>
      </c>
      <c r="G7" s="68">
        <f t="shared" si="0"/>
        <v>4.4074451367293162E-2</v>
      </c>
      <c r="H7" s="69">
        <f t="shared" si="0"/>
        <v>4.2833092535736222E-2</v>
      </c>
      <c r="I7" s="73">
        <f t="shared" si="1"/>
        <v>0.22411168985746591</v>
      </c>
      <c r="O7" s="102"/>
    </row>
    <row r="8" spans="2:15" x14ac:dyDescent="0.3">
      <c r="B8" s="182"/>
      <c r="C8" s="56">
        <f>'grid-setup'!E7</f>
        <v>3</v>
      </c>
      <c r="D8" s="70">
        <f t="shared" si="0"/>
        <v>3.078874805261967E-2</v>
      </c>
      <c r="E8" s="71">
        <f t="shared" si="0"/>
        <v>3.0244600117172466E-2</v>
      </c>
      <c r="F8" s="93">
        <f t="shared" si="0"/>
        <v>2.951650211984095E-2</v>
      </c>
      <c r="G8" s="71">
        <f t="shared" si="0"/>
        <v>2.8647447099597809E-2</v>
      </c>
      <c r="H8" s="72">
        <f t="shared" si="0"/>
        <v>2.767422532680092E-2</v>
      </c>
      <c r="I8" s="73">
        <f t="shared" si="1"/>
        <v>0.14687152271603182</v>
      </c>
      <c r="O8" s="102"/>
    </row>
    <row r="9" spans="2:15" x14ac:dyDescent="0.3">
      <c r="C9" t="s">
        <v>12</v>
      </c>
      <c r="D9" s="51">
        <f>SUM(D4:D8)</f>
        <v>0.1982341379034539</v>
      </c>
      <c r="E9" s="51">
        <f t="shared" ref="E9:H9" si="2">SUM(E4:E8)</f>
        <v>0.20082227201292754</v>
      </c>
      <c r="F9" s="94">
        <f t="shared" si="2"/>
        <v>0.20158336481491507</v>
      </c>
      <c r="G9" s="51">
        <f t="shared" si="2"/>
        <v>0.20076250325944783</v>
      </c>
      <c r="H9" s="51">
        <f t="shared" si="2"/>
        <v>0.19859772200925568</v>
      </c>
      <c r="O9" s="102"/>
    </row>
    <row r="11" spans="2:15" x14ac:dyDescent="0.3">
      <c r="C11" s="5" t="s">
        <v>22</v>
      </c>
      <c r="D11" s="2" t="s">
        <v>21</v>
      </c>
    </row>
    <row r="12" spans="2:15" x14ac:dyDescent="0.3">
      <c r="C12" s="60" t="str">
        <f ca="1">_xlfn.FORMULATEXT(C4)</f>
        <v>='grid-setup'!E3</v>
      </c>
      <c r="D12" s="183" t="str">
        <f ca="1">_xlfn.FORMULATEXT(D3)</f>
        <v>{=TRANSPOSE( 'grid-setup'!E10:E14 )}</v>
      </c>
      <c r="E12" s="183"/>
      <c r="F12" s="183"/>
      <c r="G12" s="183"/>
      <c r="H12" s="183"/>
    </row>
    <row r="13" spans="2:15" x14ac:dyDescent="0.3">
      <c r="D13" s="2" t="s">
        <v>18</v>
      </c>
    </row>
    <row r="14" spans="2:15" x14ac:dyDescent="0.3">
      <c r="D14" s="183" t="str">
        <f ca="1">_xlfn.FORMULATEXT(D5)</f>
        <v>=INDEX( Pr_h___d, MATCH( $C5&amp;"-"&amp;D$3, key, 0) )</v>
      </c>
      <c r="E14" s="183"/>
      <c r="F14" s="183"/>
      <c r="G14" s="183"/>
      <c r="H14" s="183"/>
    </row>
    <row r="15" spans="2:15" x14ac:dyDescent="0.3">
      <c r="F15" s="5" t="s">
        <v>19</v>
      </c>
      <c r="I15" s="5" t="s">
        <v>20</v>
      </c>
    </row>
    <row r="16" spans="2:15" x14ac:dyDescent="0.3">
      <c r="F16" s="60" t="str">
        <f ca="1">_xlfn.FORMULATEXT(F9)</f>
        <v>=SUM(F4:F8)</v>
      </c>
      <c r="I16" s="60" t="str">
        <f ca="1">_xlfn.FORMULATEXT(I5)</f>
        <v>=SUM(D5:H5)</v>
      </c>
    </row>
  </sheetData>
  <mergeCells count="4">
    <mergeCell ref="D2:H2"/>
    <mergeCell ref="B4:B8"/>
    <mergeCell ref="D12:H12"/>
    <mergeCell ref="D14:H1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BE51F-5F9C-48BA-A9E5-7A9729DB825A}">
  <sheetPr codeName="Sheet8"/>
  <dimension ref="B3:AE15"/>
  <sheetViews>
    <sheetView topLeftCell="O1" workbookViewId="0">
      <selection activeCell="Z15" sqref="Z15:AE15"/>
    </sheetView>
  </sheetViews>
  <sheetFormatPr defaultRowHeight="14.4" x14ac:dyDescent="0.3"/>
  <cols>
    <col min="1" max="1" width="4" customWidth="1"/>
    <col min="11" max="11" width="14.5546875" customWidth="1"/>
    <col min="12" max="12" width="12.77734375" customWidth="1"/>
    <col min="13" max="13" width="10.77734375" customWidth="1"/>
    <col min="14" max="14" width="16.6640625" customWidth="1"/>
    <col min="16" max="16" width="11.33203125" customWidth="1"/>
    <col min="18" max="18" width="3.6640625" customWidth="1"/>
    <col min="19" max="19" width="21.44140625" customWidth="1"/>
    <col min="20" max="20" width="3.5546875" customWidth="1"/>
    <col min="22" max="22" width="17.6640625" customWidth="1"/>
    <col min="23" max="23" width="18.77734375" customWidth="1"/>
    <col min="25" max="25" width="11.109375" customWidth="1"/>
    <col min="27" max="27" width="10.109375" customWidth="1"/>
  </cols>
  <sheetData>
    <row r="3" spans="2:31" x14ac:dyDescent="0.3">
      <c r="B3" s="33" t="str">
        <f>'xi-sigma-grid'!I3</f>
        <v>Pr( xi )</v>
      </c>
      <c r="C3" s="33" t="s">
        <v>35</v>
      </c>
      <c r="D3" s="33" t="s">
        <v>72</v>
      </c>
      <c r="E3" s="33" t="s">
        <v>73</v>
      </c>
      <c r="G3" s="33" t="s">
        <v>12</v>
      </c>
      <c r="H3" s="33" t="s">
        <v>5</v>
      </c>
      <c r="I3" s="33" t="s">
        <v>72</v>
      </c>
      <c r="J3" s="33" t="s">
        <v>73</v>
      </c>
      <c r="L3" s="33" t="s">
        <v>74</v>
      </c>
      <c r="M3" s="33" t="s">
        <v>75</v>
      </c>
      <c r="N3" s="33" t="s">
        <v>76</v>
      </c>
      <c r="P3" s="85" t="s">
        <v>67</v>
      </c>
      <c r="Q3" s="146">
        <f>SUMPRODUCT(B4:B8, C4:C8)</f>
        <v>2.0494157448807488</v>
      </c>
      <c r="S3" s="60" t="str">
        <f ca="1">_xlfn.FORMULATEXT(Q3)</f>
        <v>=SUMPRODUCT(B4:B8, C4:C8)</v>
      </c>
      <c r="U3" s="104" t="s">
        <v>43</v>
      </c>
      <c r="V3" s="104" t="s">
        <v>35</v>
      </c>
      <c r="W3" s="104" t="s">
        <v>5</v>
      </c>
      <c r="Y3" s="142" t="s">
        <v>107</v>
      </c>
      <c r="AA3" s="142" t="s">
        <v>137</v>
      </c>
    </row>
    <row r="4" spans="2:31" x14ac:dyDescent="0.3">
      <c r="B4" s="101">
        <f>'xi-sigma-grid'!I4</f>
        <v>8.0820049084015813E-2</v>
      </c>
      <c r="C4" s="19">
        <f>'xi-sigma-grid'!C4</f>
        <v>1</v>
      </c>
      <c r="D4" s="19" cm="1">
        <f t="array" ref="D4">C4 - mu_xi</f>
        <v>-1.0494157448807488</v>
      </c>
      <c r="E4" s="19">
        <f>D4^2</f>
        <v>1.1012734056036169</v>
      </c>
      <c r="G4" s="106">
        <f t="array" ref="G4:G8">TRANSPOSE('xi-sigma-grid'!D9:H9)</f>
        <v>0.1982341379034539</v>
      </c>
      <c r="H4" s="106">
        <f t="array" ref="H4:H8">TRANSPOSE('xi-sigma-grid'!D3:H3)</f>
        <v>12</v>
      </c>
      <c r="I4" s="106">
        <f>H4 - mu_sigma</f>
        <v>-1.5005005495935926</v>
      </c>
      <c r="J4" s="106">
        <f>I4^2</f>
        <v>2.2515018993306732</v>
      </c>
      <c r="L4" s="106">
        <f>'xi-sigma-grid'!D4</f>
        <v>1.370288663720599E-2</v>
      </c>
      <c r="M4" s="106">
        <f>L4 / sum_pr_xi_sigma</f>
        <v>7.0300417274661395E-2</v>
      </c>
      <c r="N4" s="106">
        <f>D4 *I4</f>
        <v>1.574648901945733</v>
      </c>
      <c r="P4" s="85" t="s">
        <v>69</v>
      </c>
      <c r="Q4" s="20">
        <f>SUMPRODUCT(G4:G8, H4:H8)</f>
        <v>13.500500549593593</v>
      </c>
      <c r="S4" s="60" t="str">
        <f ca="1">_xlfn.FORMULATEXT(mu_xi)</f>
        <v>=SUMPRODUCT(B4:B8, C4:C8)</v>
      </c>
      <c r="U4">
        <v>2</v>
      </c>
      <c r="V4" s="106">
        <f t="shared" ref="V4:V9" ca="1" si="0">_xlfn.NORM.INV(RAND(), mu_xi, sig_xi)</f>
        <v>3.163875292644009</v>
      </c>
      <c r="W4" s="106">
        <f t="shared" ref="W4:W9" ca="1" si="1">_xlfn.NORM.INV(_xlfn.NORM.DIST( rho*RAND()+(1-rho^2)^0.5*RAND(), 0,1,TRUE), mu_sigma, sig_sigma )</f>
        <v>14.647213697845986</v>
      </c>
      <c r="Y4" s="19">
        <f t="shared" ref="Y4:Y9" ca="1" si="2">MIN( AA$4, mu_thres + W4 * ( RAND()^-V4 - 1 ) / V4 )</f>
        <v>145.44872294049821</v>
      </c>
      <c r="AA4">
        <f>2*MAX( claims )</f>
        <v>2406</v>
      </c>
    </row>
    <row r="5" spans="2:31" x14ac:dyDescent="0.3">
      <c r="B5" s="101">
        <f>'xi-sigma-grid'!I5</f>
        <v>0.25738314736000012</v>
      </c>
      <c r="C5" s="19">
        <f>'xi-sigma-grid'!C5</f>
        <v>1.5</v>
      </c>
      <c r="D5" s="19" cm="1">
        <f t="array" ref="D5">C5 - mu_xi</f>
        <v>-0.54941574488074885</v>
      </c>
      <c r="E5" s="19">
        <f t="shared" ref="E5:E8" si="3">D5^2</f>
        <v>0.30185766072286813</v>
      </c>
      <c r="G5" s="106">
        <v>0.20082227201292754</v>
      </c>
      <c r="H5" s="106">
        <v>12.75</v>
      </c>
      <c r="I5" s="106">
        <f>H5 - mu_sigma</f>
        <v>-0.75050054959359258</v>
      </c>
      <c r="J5" s="106">
        <f>I5^2</f>
        <v>0.56325107494028448</v>
      </c>
      <c r="L5" s="106">
        <f>'xi-sigma-grid'!E5</f>
        <v>5.0835461732953245E-2</v>
      </c>
      <c r="M5" s="106">
        <f>L5 / sum_pr_xi_sigma</f>
        <v>0.26080301667776046</v>
      </c>
      <c r="N5" s="106">
        <f>D5 *I5</f>
        <v>0.41233681848837506</v>
      </c>
      <c r="P5" s="85" t="s">
        <v>70</v>
      </c>
      <c r="Q5" s="20">
        <f>SUMPRODUCT(B4:B8, E4:E8)^0.5</f>
        <v>0.5878974104912309</v>
      </c>
      <c r="S5" s="60" t="str">
        <f ca="1">_xlfn.FORMULATEXT(mu_xi)</f>
        <v>=SUMPRODUCT(B4:B8, C4:C8)</v>
      </c>
      <c r="U5">
        <f>U4+1</f>
        <v>3</v>
      </c>
      <c r="V5" s="106">
        <f t="shared" ca="1" si="0"/>
        <v>1.924089028147284</v>
      </c>
      <c r="W5" s="106">
        <f t="shared" ca="1" si="1"/>
        <v>13.706909608947942</v>
      </c>
      <c r="Y5" s="19">
        <f t="shared" ca="1" si="2"/>
        <v>116.77693033571116</v>
      </c>
    </row>
    <row r="6" spans="2:31" x14ac:dyDescent="0.3">
      <c r="B6" s="101">
        <f>'xi-sigma-grid'!I6</f>
        <v>0.29081359098248638</v>
      </c>
      <c r="C6" s="19">
        <f>'xi-sigma-grid'!C6</f>
        <v>2</v>
      </c>
      <c r="D6" s="19" cm="1">
        <f t="array" ref="D6">C6 - mu_xi</f>
        <v>-4.9415744880748846E-2</v>
      </c>
      <c r="E6" s="19">
        <f t="shared" si="3"/>
        <v>2.4419158421192556E-3</v>
      </c>
      <c r="G6" s="106">
        <v>0.20158336481491507</v>
      </c>
      <c r="H6" s="106">
        <v>13.5</v>
      </c>
      <c r="I6" s="106">
        <f>H6 - mu_sigma</f>
        <v>-5.0054959359258078E-4</v>
      </c>
      <c r="J6" s="106">
        <f>I6^2</f>
        <v>2.5054989564569779E-7</v>
      </c>
      <c r="L6" s="106">
        <f>'xi-sigma-grid'!F6</f>
        <v>5.8631969280677348E-2</v>
      </c>
      <c r="M6" s="106">
        <f>L6 / sum_pr_xi_sigma</f>
        <v>0.30080172267317168</v>
      </c>
      <c r="N6" s="106">
        <f>D6 *I6</f>
        <v>2.4735031017133489E-5</v>
      </c>
      <c r="P6" s="85" t="s">
        <v>68</v>
      </c>
      <c r="Q6" s="20">
        <f>SUMPRODUCT(G4:G8, J4:J8)^0.5</f>
        <v>1.0577158741100616</v>
      </c>
      <c r="S6" s="60" t="str">
        <f ca="1">_xlfn.FORMULATEXT(mu_xi)</f>
        <v>=SUMPRODUCT(B4:B8, C4:C8)</v>
      </c>
      <c r="U6">
        <f>U5+1</f>
        <v>4</v>
      </c>
      <c r="V6" s="106">
        <f t="shared" ca="1" si="0"/>
        <v>1.9265673984909846</v>
      </c>
      <c r="W6" s="106">
        <f t="shared" ca="1" si="1"/>
        <v>14.441230492768232</v>
      </c>
      <c r="Y6" s="19">
        <f t="shared" ca="1" si="2"/>
        <v>101.29465600516531</v>
      </c>
    </row>
    <row r="7" spans="2:31" x14ac:dyDescent="0.3">
      <c r="B7" s="101">
        <f>'xi-sigma-grid'!I7</f>
        <v>0.22411168985746591</v>
      </c>
      <c r="C7" s="19">
        <f>'xi-sigma-grid'!C7</f>
        <v>2.5</v>
      </c>
      <c r="D7" s="19" cm="1">
        <f t="array" ref="D7">C7 - mu_xi</f>
        <v>0.45058425511925115</v>
      </c>
      <c r="E7" s="19">
        <f t="shared" si="3"/>
        <v>0.20302617096137041</v>
      </c>
      <c r="G7" s="106">
        <v>0.20076250325944783</v>
      </c>
      <c r="H7" s="106">
        <v>14.25</v>
      </c>
      <c r="I7" s="106">
        <f>H7 - mu_sigma</f>
        <v>0.74949945040640742</v>
      </c>
      <c r="J7" s="106">
        <f>I7^2</f>
        <v>0.56174942615950674</v>
      </c>
      <c r="L7" s="106">
        <f>'xi-sigma-grid'!G7</f>
        <v>4.4074451367293162E-2</v>
      </c>
      <c r="M7" s="106">
        <f>L7 / sum_pr_xi_sigma</f>
        <v>0.22611675950522586</v>
      </c>
      <c r="N7" s="106">
        <f>D7 *I7</f>
        <v>0.33771265157365921</v>
      </c>
      <c r="P7" s="85" t="s">
        <v>66</v>
      </c>
      <c r="Q7" s="20">
        <f>SUMPRODUCT( M4:M8, N4:N8)</f>
        <v>0.49698273318183839</v>
      </c>
      <c r="S7" s="60" t="str">
        <f ca="1">_xlfn.FORMULATEXT(mu_xi)</f>
        <v>=SUMPRODUCT(B4:B8, C4:C8)</v>
      </c>
      <c r="U7">
        <f>U6+1</f>
        <v>5</v>
      </c>
      <c r="V7" s="106">
        <f t="shared" ca="1" si="0"/>
        <v>1.8363629423440011</v>
      </c>
      <c r="W7" s="106">
        <f t="shared" ca="1" si="1"/>
        <v>14.201281173003306</v>
      </c>
      <c r="Y7" s="19">
        <f t="shared" ca="1" si="2"/>
        <v>117.20279437120701</v>
      </c>
    </row>
    <row r="8" spans="2:31" x14ac:dyDescent="0.3">
      <c r="B8" s="71">
        <f>'xi-sigma-grid'!I8</f>
        <v>0.14687152271603182</v>
      </c>
      <c r="C8" s="105">
        <f>'xi-sigma-grid'!C8</f>
        <v>3</v>
      </c>
      <c r="D8" s="19" cm="1">
        <f t="array" ref="D8">C8 - mu_xi</f>
        <v>0.95058425511925115</v>
      </c>
      <c r="E8" s="19">
        <f t="shared" si="3"/>
        <v>0.90361042608062159</v>
      </c>
      <c r="G8" s="40">
        <v>0.19859772200925568</v>
      </c>
      <c r="H8" s="40">
        <v>15</v>
      </c>
      <c r="I8" s="106">
        <f>H8 - mu_sigma</f>
        <v>1.4994994504064074</v>
      </c>
      <c r="J8" s="40">
        <f>I8^2</f>
        <v>2.2484986017691178</v>
      </c>
      <c r="L8" s="39">
        <f>'xi-sigma-grid'!H8</f>
        <v>2.767422532680092E-2</v>
      </c>
      <c r="M8" s="40">
        <f>L8 / sum_pr_xi_sigma</f>
        <v>0.14197808386918068</v>
      </c>
      <c r="N8" s="40">
        <f>D8 *I8</f>
        <v>1.4254005681163013</v>
      </c>
      <c r="P8" s="85" t="s">
        <v>71</v>
      </c>
      <c r="Q8" s="20">
        <f>Q7 / (Q5*Q6)</f>
        <v>0.79922807395111162</v>
      </c>
      <c r="S8" s="60" t="str">
        <f ca="1">_xlfn.FORMULATEXT(mu_xi)</f>
        <v>=SUMPRODUCT(B4:B8, C4:C8)</v>
      </c>
      <c r="U8">
        <f>U7+1</f>
        <v>6</v>
      </c>
      <c r="V8" s="106">
        <f t="shared" ca="1" si="0"/>
        <v>2.5170540520308728</v>
      </c>
      <c r="W8" s="106">
        <f t="shared" ca="1" si="1"/>
        <v>14.330395166458011</v>
      </c>
      <c r="Y8" s="19">
        <f t="shared" ca="1" si="2"/>
        <v>111.73061343966772</v>
      </c>
    </row>
    <row r="9" spans="2:31" x14ac:dyDescent="0.3">
      <c r="C9" s="19"/>
      <c r="D9" s="19"/>
      <c r="K9" s="123" t="s">
        <v>97</v>
      </c>
      <c r="L9" s="122">
        <f>SUM(L4:L8)</f>
        <v>0.19491899434493065</v>
      </c>
      <c r="U9" s="103">
        <f>U8+1</f>
        <v>7</v>
      </c>
      <c r="V9" s="40">
        <f t="shared" ca="1" si="0"/>
        <v>1.9471076245241585</v>
      </c>
      <c r="W9" s="40">
        <f t="shared" ca="1" si="1"/>
        <v>14.211177547718775</v>
      </c>
      <c r="Y9" s="19">
        <f t="shared" ca="1" si="2"/>
        <v>135.33914329099224</v>
      </c>
    </row>
    <row r="10" spans="2:31" x14ac:dyDescent="0.3">
      <c r="U10" s="124"/>
      <c r="V10" s="39"/>
      <c r="W10" s="39"/>
    </row>
    <row r="11" spans="2:31" x14ac:dyDescent="0.3">
      <c r="B11" s="96" t="s">
        <v>94</v>
      </c>
      <c r="C11" s="96" t="s">
        <v>22</v>
      </c>
      <c r="D11" s="96" t="s">
        <v>95</v>
      </c>
      <c r="E11" s="96" t="s">
        <v>96</v>
      </c>
      <c r="G11" s="96" t="s">
        <v>27</v>
      </c>
      <c r="H11" s="96" t="s">
        <v>88</v>
      </c>
      <c r="I11" s="96" t="s">
        <v>89</v>
      </c>
      <c r="J11" s="96" t="s">
        <v>90</v>
      </c>
      <c r="K11" s="95"/>
      <c r="L11" s="96" t="s">
        <v>91</v>
      </c>
      <c r="M11" s="96" t="s">
        <v>92</v>
      </c>
      <c r="N11" s="96" t="s">
        <v>93</v>
      </c>
      <c r="V11" s="126" t="s">
        <v>98</v>
      </c>
      <c r="W11" s="126" t="s">
        <v>99</v>
      </c>
      <c r="Y11" s="20" t="s">
        <v>87</v>
      </c>
    </row>
    <row r="12" spans="2:31" ht="96" x14ac:dyDescent="0.3">
      <c r="B12" s="96" t="str">
        <f ca="1">_xlfn.FORMULATEXT(B4)</f>
        <v>='xi-sigma-grid'!I4</v>
      </c>
      <c r="C12" s="96" t="str">
        <f ca="1">_xlfn.FORMULATEXT(C4)</f>
        <v>='xi-sigma-grid'!C4</v>
      </c>
      <c r="D12" s="96" t="str">
        <f ca="1">_xlfn.FORMULATEXT(D4)</f>
        <v>=C4 - mu_xi</v>
      </c>
      <c r="E12" s="96" t="str">
        <f ca="1">_xlfn.FORMULATEXT(E4)</f>
        <v>=D4^2</v>
      </c>
      <c r="G12" s="96" t="str">
        <f ca="1">_xlfn.FORMULATEXT(G4)</f>
        <v>{=TRANSPOSE('xi-sigma-grid'!D9:H9)}</v>
      </c>
      <c r="H12" s="96" t="str">
        <f ca="1">_xlfn.FORMULATEXT(H4)</f>
        <v>{=TRANSPOSE('xi-sigma-grid'!D3:H3)}</v>
      </c>
      <c r="I12" s="96" t="str">
        <f ca="1">_xlfn.FORMULATEXT(I4)</f>
        <v>=H4 - mu_sigma</v>
      </c>
      <c r="J12" s="96" t="str">
        <f ca="1">_xlfn.FORMULATEXT(J4)</f>
        <v>=I4^2</v>
      </c>
      <c r="K12" s="95"/>
      <c r="L12" s="96" t="str">
        <f ca="1">_xlfn.FORMULATEXT(L4)</f>
        <v>='xi-sigma-grid'!D4</v>
      </c>
      <c r="M12" s="96" t="str">
        <f ca="1">_xlfn.FORMULATEXT(M4)</f>
        <v>=L4 / sum_pr_xi_sigma</v>
      </c>
      <c r="N12" s="96" t="str">
        <f ca="1">_xlfn.FORMULATEXT(N4)</f>
        <v>=D4 *I4</v>
      </c>
      <c r="V12" s="126" t="str">
        <f ca="1">_xlfn.FORMULATEXT(V4)</f>
        <v>=NORM.INV(RAND(), mu_xi, sig_xi)</v>
      </c>
      <c r="W12" s="126" t="str">
        <f ca="1">_xlfn.FORMULATEXT(W4)</f>
        <v>=NORM.INV(NORM.DIST( rho*RAND()+(1-rho^2)^0.5*RAND(), 0,1,TRUE), mu_sigma, sig_sigma )</v>
      </c>
      <c r="Y12" s="126" t="str">
        <f ca="1">_xlfn.FORMULATEXT(Y4)</f>
        <v>=MIN( AA$4, mu_thres + W4 * ( RAND()^-V4 - 1 ) / V4 )</v>
      </c>
    </row>
    <row r="14" spans="2:31" x14ac:dyDescent="0.3">
      <c r="Z14" t="s">
        <v>109</v>
      </c>
    </row>
    <row r="15" spans="2:31" x14ac:dyDescent="0.3">
      <c r="Z15" s="148">
        <f t="array" aca="1" ref="Z15:AE15" ca="1">TRANSPOSE(Y4:Y9)</f>
        <v>145.44872294049821</v>
      </c>
      <c r="AA15" s="149">
        <f ca="1"/>
        <v>116.77693033571116</v>
      </c>
      <c r="AB15" s="149">
        <f ca="1"/>
        <v>101.29465600516531</v>
      </c>
      <c r="AC15" s="149">
        <f ca="1"/>
        <v>117.20279437120701</v>
      </c>
      <c r="AD15" s="149">
        <f ca="1"/>
        <v>111.73061343966772</v>
      </c>
      <c r="AE15" s="150">
        <f ca="1"/>
        <v>135.33914329099224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C00A5-D384-45DE-A1C8-00BA9BDFCA32}">
  <sheetPr codeName="Sheet9"/>
  <dimension ref="B2:I18"/>
  <sheetViews>
    <sheetView workbookViewId="0">
      <selection activeCell="C22" sqref="C22"/>
    </sheetView>
  </sheetViews>
  <sheetFormatPr defaultRowHeight="14.4" x14ac:dyDescent="0.3"/>
  <sheetData>
    <row r="2" spans="2:9" x14ac:dyDescent="0.3">
      <c r="B2" s="184" t="s">
        <v>43</v>
      </c>
      <c r="C2" s="185"/>
      <c r="D2" s="107">
        <v>1</v>
      </c>
      <c r="E2" s="107">
        <v>2</v>
      </c>
      <c r="F2" s="107">
        <v>3</v>
      </c>
      <c r="G2" s="107">
        <v>4</v>
      </c>
      <c r="H2" s="107">
        <v>5</v>
      </c>
      <c r="I2" s="107">
        <v>6</v>
      </c>
    </row>
    <row r="3" spans="2:9" x14ac:dyDescent="0.3">
      <c r="B3" s="184" t="s">
        <v>77</v>
      </c>
      <c r="C3" s="185"/>
      <c r="D3" s="108">
        <v>110</v>
      </c>
      <c r="E3" s="108">
        <v>143</v>
      </c>
      <c r="F3" s="108">
        <v>101</v>
      </c>
      <c r="G3" s="108">
        <v>1203</v>
      </c>
      <c r="H3" s="108">
        <v>875</v>
      </c>
      <c r="I3" s="108">
        <v>103</v>
      </c>
    </row>
    <row r="5" spans="2:9" x14ac:dyDescent="0.3">
      <c r="C5" s="109"/>
      <c r="D5" s="186" t="s">
        <v>86</v>
      </c>
      <c r="E5" s="187"/>
      <c r="F5" s="109"/>
    </row>
    <row r="6" spans="2:9" x14ac:dyDescent="0.3">
      <c r="C6" s="107" t="s">
        <v>78</v>
      </c>
      <c r="D6" s="107" t="s">
        <v>79</v>
      </c>
      <c r="E6" s="107" t="s">
        <v>80</v>
      </c>
      <c r="F6" s="107" t="s">
        <v>81</v>
      </c>
    </row>
    <row r="7" spans="2:9" x14ac:dyDescent="0.3">
      <c r="C7" s="110" t="s">
        <v>82</v>
      </c>
      <c r="D7" s="111">
        <v>1</v>
      </c>
      <c r="E7" s="112">
        <v>2</v>
      </c>
      <c r="F7" s="113">
        <v>1.7999999999999999E-2</v>
      </c>
    </row>
    <row r="8" spans="2:9" x14ac:dyDescent="0.3">
      <c r="C8" s="114" t="s">
        <v>83</v>
      </c>
      <c r="D8" s="115">
        <v>1</v>
      </c>
      <c r="E8" s="116">
        <v>3</v>
      </c>
      <c r="F8" s="117">
        <v>3.5000000000000003E-2</v>
      </c>
    </row>
    <row r="9" spans="2:9" x14ac:dyDescent="0.3">
      <c r="C9" s="114" t="s">
        <v>84</v>
      </c>
      <c r="D9" s="115">
        <v>1</v>
      </c>
      <c r="E9" s="116">
        <v>4</v>
      </c>
      <c r="F9" s="117">
        <v>5.8000000000000003E-2</v>
      </c>
    </row>
    <row r="10" spans="2:9" x14ac:dyDescent="0.3">
      <c r="C10" s="114" t="s">
        <v>85</v>
      </c>
      <c r="D10" s="115">
        <v>1</v>
      </c>
      <c r="E10" s="116">
        <v>7</v>
      </c>
      <c r="F10" s="117">
        <v>0.11</v>
      </c>
    </row>
    <row r="11" spans="2:9" x14ac:dyDescent="0.3">
      <c r="C11" s="114" t="s">
        <v>82</v>
      </c>
      <c r="D11" s="115">
        <v>2</v>
      </c>
      <c r="E11" s="116">
        <v>3</v>
      </c>
      <c r="F11" s="117">
        <v>2.1999999999999999E-2</v>
      </c>
    </row>
    <row r="12" spans="2:9" x14ac:dyDescent="0.3">
      <c r="C12" s="114" t="s">
        <v>82</v>
      </c>
      <c r="D12" s="115">
        <v>3</v>
      </c>
      <c r="E12" s="116">
        <v>4</v>
      </c>
      <c r="F12" s="117">
        <v>2.1000000000000001E-2</v>
      </c>
    </row>
    <row r="13" spans="2:9" x14ac:dyDescent="0.3">
      <c r="C13" s="114" t="s">
        <v>83</v>
      </c>
      <c r="D13" s="115">
        <v>3</v>
      </c>
      <c r="E13" s="116">
        <v>5</v>
      </c>
      <c r="F13" s="117">
        <v>3.6999999999999998E-2</v>
      </c>
    </row>
    <row r="14" spans="2:9" x14ac:dyDescent="0.3">
      <c r="C14" s="114" t="s">
        <v>82</v>
      </c>
      <c r="D14" s="115">
        <v>4</v>
      </c>
      <c r="E14" s="116">
        <v>5</v>
      </c>
      <c r="F14" s="117">
        <v>2.4E-2</v>
      </c>
    </row>
    <row r="15" spans="2:9" x14ac:dyDescent="0.3">
      <c r="C15" s="114" t="s">
        <v>84</v>
      </c>
      <c r="D15" s="115">
        <v>4</v>
      </c>
      <c r="E15" s="116">
        <v>7</v>
      </c>
      <c r="F15" s="117">
        <v>5.8000000000000003E-2</v>
      </c>
    </row>
    <row r="16" spans="2:9" x14ac:dyDescent="0.3">
      <c r="C16" s="114" t="s">
        <v>82</v>
      </c>
      <c r="D16" s="115">
        <v>5</v>
      </c>
      <c r="E16" s="116">
        <v>6</v>
      </c>
      <c r="F16" s="117">
        <v>2.5000000000000001E-2</v>
      </c>
    </row>
    <row r="17" spans="3:6" x14ac:dyDescent="0.3">
      <c r="C17" s="114" t="s">
        <v>83</v>
      </c>
      <c r="D17" s="115">
        <v>5</v>
      </c>
      <c r="E17" s="116">
        <v>7</v>
      </c>
      <c r="F17" s="117">
        <v>4.1000000000000002E-2</v>
      </c>
    </row>
    <row r="18" spans="3:6" x14ac:dyDescent="0.3">
      <c r="C18" s="118" t="s">
        <v>82</v>
      </c>
      <c r="D18" s="119">
        <v>6</v>
      </c>
      <c r="E18" s="120">
        <v>7</v>
      </c>
      <c r="F18" s="121">
        <v>1.7999999999999999E-2</v>
      </c>
    </row>
  </sheetData>
  <mergeCells count="3">
    <mergeCell ref="B2:C2"/>
    <mergeCell ref="B3:C3"/>
    <mergeCell ref="D5:E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AF94-C891-4B18-9753-CFC8E265BCE9}">
  <sheetPr codeName="Sheet11"/>
  <dimension ref="B3:W40"/>
  <sheetViews>
    <sheetView topLeftCell="A3" zoomScale="80" zoomScaleNormal="80" workbookViewId="0">
      <selection activeCell="H20" sqref="H20:M20"/>
    </sheetView>
  </sheetViews>
  <sheetFormatPr defaultColWidth="9.109375" defaultRowHeight="13.2" x14ac:dyDescent="0.25"/>
  <cols>
    <col min="1" max="1" width="3" style="128" customWidth="1"/>
    <col min="2" max="2" width="16.44140625" style="128" customWidth="1"/>
    <col min="3" max="3" width="10.77734375" style="128" customWidth="1"/>
    <col min="4" max="4" width="12" style="128" customWidth="1"/>
    <col min="5" max="5" width="10.88671875" style="128" customWidth="1"/>
    <col min="6" max="6" width="8.109375" style="128" customWidth="1"/>
    <col min="7" max="7" width="6.33203125" style="128" customWidth="1"/>
    <col min="8" max="8" width="10.33203125" style="128" customWidth="1"/>
    <col min="9" max="14" width="6.33203125" style="128" customWidth="1"/>
    <col min="15" max="15" width="8.44140625" style="128" customWidth="1"/>
    <col min="16" max="17" width="9.109375" style="128"/>
    <col min="18" max="18" width="12.109375" style="128" customWidth="1"/>
    <col min="19" max="19" width="8.33203125" style="128" customWidth="1"/>
    <col min="20" max="20" width="7.88671875" style="128" customWidth="1"/>
    <col min="21" max="21" width="10.21875" style="128" customWidth="1"/>
    <col min="22" max="16384" width="9.109375" style="128"/>
  </cols>
  <sheetData>
    <row r="3" spans="2:21" ht="13.8" x14ac:dyDescent="0.25">
      <c r="B3" s="127" t="s">
        <v>100</v>
      </c>
    </row>
    <row r="4" spans="2:21" x14ac:dyDescent="0.25">
      <c r="F4" s="129"/>
    </row>
    <row r="5" spans="2:21" x14ac:dyDescent="0.25">
      <c r="C5" s="188" t="s">
        <v>101</v>
      </c>
      <c r="D5" s="189"/>
      <c r="G5" s="188" t="s">
        <v>102</v>
      </c>
      <c r="H5" s="190"/>
      <c r="I5" s="190"/>
      <c r="J5" s="190"/>
      <c r="K5" s="190"/>
      <c r="L5" s="190"/>
      <c r="M5" s="189"/>
      <c r="N5" s="130"/>
      <c r="O5" s="144" t="s">
        <v>106</v>
      </c>
    </row>
    <row r="6" spans="2:21" x14ac:dyDescent="0.25">
      <c r="B6" s="131" t="s">
        <v>78</v>
      </c>
      <c r="C6" s="131" t="s">
        <v>79</v>
      </c>
      <c r="D6" s="131" t="s">
        <v>80</v>
      </c>
      <c r="E6" s="131" t="s">
        <v>103</v>
      </c>
      <c r="F6" s="131" t="s">
        <v>81</v>
      </c>
      <c r="G6" s="131">
        <v>1</v>
      </c>
      <c r="H6" s="131">
        <f>G6 + 1</f>
        <v>2</v>
      </c>
      <c r="I6" s="131">
        <f t="shared" ref="I6:M6" si="0">H6 + 1</f>
        <v>3</v>
      </c>
      <c r="J6" s="131">
        <f t="shared" si="0"/>
        <v>4</v>
      </c>
      <c r="K6" s="131">
        <f t="shared" si="0"/>
        <v>5</v>
      </c>
      <c r="L6" s="131">
        <f t="shared" si="0"/>
        <v>6</v>
      </c>
      <c r="M6" s="131">
        <f t="shared" si="0"/>
        <v>7</v>
      </c>
      <c r="N6" s="130"/>
      <c r="O6" s="151" t="str">
        <f ca="1">_xlfn.FORMULATEXT(M6)</f>
        <v>=L6 + 1</v>
      </c>
    </row>
    <row r="7" spans="2:21" x14ac:dyDescent="0.25">
      <c r="B7" s="110" t="s">
        <v>82</v>
      </c>
      <c r="C7" s="111">
        <v>1</v>
      </c>
      <c r="D7" s="112">
        <v>2</v>
      </c>
      <c r="E7" s="132">
        <v>1953.1054596280744</v>
      </c>
      <c r="F7" s="113">
        <v>1.7999999999999999E-2</v>
      </c>
      <c r="G7" s="133">
        <f t="shared" ref="G7:M18" si="1">IF($C7=G$6,-1,IF($D7=G$6,1+$F7,IF(AND($C7&lt;G$6,$D7&gt;G$6),"&lt;----&gt;","")))</f>
        <v>-1</v>
      </c>
      <c r="H7" s="133">
        <f t="shared" si="1"/>
        <v>1.018</v>
      </c>
      <c r="I7" s="133" t="str">
        <f t="shared" si="1"/>
        <v/>
      </c>
      <c r="J7" s="133" t="str">
        <f t="shared" si="1"/>
        <v/>
      </c>
      <c r="K7" s="133" t="str">
        <f t="shared" si="1"/>
        <v/>
      </c>
      <c r="L7" s="133" t="str">
        <f t="shared" si="1"/>
        <v/>
      </c>
      <c r="M7" s="112" t="str">
        <f t="shared" si="1"/>
        <v/>
      </c>
      <c r="N7" s="130"/>
      <c r="O7" s="197" t="str">
        <f ca="1">_xlfn.FORMULATEXT(M7)</f>
        <v>=IF($C7=M$6,-1,IF($D7=M$6,1+$F7,IF(AND($C7&lt;M$6,$D7&gt;M$6),"&lt;----&gt;","")))</v>
      </c>
      <c r="P7" s="197"/>
      <c r="Q7" s="197"/>
      <c r="R7" s="197"/>
      <c r="S7" s="197"/>
      <c r="T7" s="197"/>
      <c r="U7" s="197"/>
    </row>
    <row r="8" spans="2:21" x14ac:dyDescent="0.25">
      <c r="B8" s="114" t="s">
        <v>83</v>
      </c>
      <c r="C8" s="115">
        <v>8</v>
      </c>
      <c r="D8" s="116">
        <v>8</v>
      </c>
      <c r="E8" s="134">
        <v>0</v>
      </c>
      <c r="F8" s="117">
        <v>3.5000000000000003E-2</v>
      </c>
      <c r="G8" s="130" t="str">
        <f t="shared" si="1"/>
        <v/>
      </c>
      <c r="H8" s="130" t="str">
        <f t="shared" si="1"/>
        <v/>
      </c>
      <c r="I8" s="130" t="str">
        <f t="shared" si="1"/>
        <v/>
      </c>
      <c r="J8" s="130" t="str">
        <f t="shared" si="1"/>
        <v/>
      </c>
      <c r="K8" s="130" t="str">
        <f t="shared" si="1"/>
        <v/>
      </c>
      <c r="L8" s="130" t="str">
        <f t="shared" si="1"/>
        <v/>
      </c>
      <c r="M8" s="116" t="str">
        <f t="shared" si="1"/>
        <v/>
      </c>
      <c r="N8" s="130"/>
      <c r="O8" s="145"/>
    </row>
    <row r="9" spans="2:21" x14ac:dyDescent="0.25">
      <c r="B9" s="114" t="s">
        <v>84</v>
      </c>
      <c r="C9" s="115">
        <v>8</v>
      </c>
      <c r="D9" s="116">
        <v>8</v>
      </c>
      <c r="E9" s="134">
        <v>0</v>
      </c>
      <c r="F9" s="117">
        <v>5.8000000000000003E-2</v>
      </c>
      <c r="G9" s="130" t="str">
        <f t="shared" si="1"/>
        <v/>
      </c>
      <c r="H9" s="130" t="str">
        <f t="shared" si="1"/>
        <v/>
      </c>
      <c r="I9" s="130" t="str">
        <f t="shared" si="1"/>
        <v/>
      </c>
      <c r="J9" s="130" t="str">
        <f t="shared" si="1"/>
        <v/>
      </c>
      <c r="K9" s="130" t="str">
        <f t="shared" si="1"/>
        <v/>
      </c>
      <c r="L9" s="130" t="str">
        <f t="shared" si="1"/>
        <v/>
      </c>
      <c r="M9" s="116" t="str">
        <f t="shared" si="1"/>
        <v/>
      </c>
      <c r="N9" s="130"/>
      <c r="O9" s="145"/>
    </row>
    <row r="10" spans="2:21" x14ac:dyDescent="0.25">
      <c r="B10" s="114" t="s">
        <v>85</v>
      </c>
      <c r="C10" s="115">
        <v>8</v>
      </c>
      <c r="D10" s="116">
        <v>8</v>
      </c>
      <c r="E10" s="134">
        <v>0</v>
      </c>
      <c r="F10" s="117">
        <v>0.11</v>
      </c>
      <c r="G10" s="130" t="str">
        <f t="shared" si="1"/>
        <v/>
      </c>
      <c r="H10" s="130" t="str">
        <f t="shared" si="1"/>
        <v/>
      </c>
      <c r="I10" s="130" t="str">
        <f t="shared" si="1"/>
        <v/>
      </c>
      <c r="J10" s="130" t="str">
        <f t="shared" si="1"/>
        <v/>
      </c>
      <c r="K10" s="130" t="str">
        <f t="shared" si="1"/>
        <v/>
      </c>
      <c r="L10" s="130" t="str">
        <f t="shared" si="1"/>
        <v/>
      </c>
      <c r="M10" s="116" t="str">
        <f t="shared" si="1"/>
        <v/>
      </c>
      <c r="N10" s="130"/>
      <c r="O10" s="197" t="str">
        <f ca="1">_xlfn.FORMULATEXT(M10)</f>
        <v>=IF($C10=M$6,-1,IF($D10=M$6,1+$F10,IF(AND($C10&lt;M$6,$D10&gt;M$6),"&lt;----&gt;","")))</v>
      </c>
      <c r="P10" s="197"/>
      <c r="Q10" s="197"/>
      <c r="R10" s="197"/>
      <c r="S10" s="197"/>
      <c r="T10" s="197"/>
      <c r="U10" s="197"/>
    </row>
    <row r="11" spans="2:21" x14ac:dyDescent="0.25">
      <c r="B11" s="114" t="s">
        <v>82</v>
      </c>
      <c r="C11" s="115">
        <v>2</v>
      </c>
      <c r="D11" s="116">
        <v>3</v>
      </c>
      <c r="E11" s="134">
        <v>1579.1726855248621</v>
      </c>
      <c r="F11" s="117">
        <v>1.7999999999999999E-2</v>
      </c>
      <c r="G11" s="130" t="str">
        <f t="shared" si="1"/>
        <v/>
      </c>
      <c r="H11" s="130">
        <f t="shared" si="1"/>
        <v>-1</v>
      </c>
      <c r="I11" s="130">
        <f t="shared" si="1"/>
        <v>1.018</v>
      </c>
      <c r="J11" s="130" t="str">
        <f t="shared" si="1"/>
        <v/>
      </c>
      <c r="K11" s="130" t="str">
        <f t="shared" si="1"/>
        <v/>
      </c>
      <c r="L11" s="130" t="str">
        <f t="shared" si="1"/>
        <v/>
      </c>
      <c r="M11" s="116" t="str">
        <f t="shared" si="1"/>
        <v/>
      </c>
      <c r="N11" s="130"/>
      <c r="O11" s="145"/>
    </row>
    <row r="12" spans="2:21" x14ac:dyDescent="0.25">
      <c r="B12" s="114" t="s">
        <v>82</v>
      </c>
      <c r="C12" s="115">
        <v>3</v>
      </c>
      <c r="D12" s="116">
        <v>4</v>
      </c>
      <c r="E12" s="134">
        <v>631.61278892949849</v>
      </c>
      <c r="F12" s="117">
        <v>1.7999999999999999E-2</v>
      </c>
      <c r="G12" s="130" t="str">
        <f t="shared" si="1"/>
        <v/>
      </c>
      <c r="H12" s="130" t="str">
        <f t="shared" si="1"/>
        <v/>
      </c>
      <c r="I12" s="130">
        <f t="shared" si="1"/>
        <v>-1</v>
      </c>
      <c r="J12" s="130">
        <f t="shared" si="1"/>
        <v>1.018</v>
      </c>
      <c r="K12" s="130" t="str">
        <f t="shared" si="1"/>
        <v/>
      </c>
      <c r="L12" s="130" t="str">
        <f t="shared" si="1"/>
        <v/>
      </c>
      <c r="M12" s="116" t="str">
        <f t="shared" si="1"/>
        <v/>
      </c>
      <c r="N12" s="130"/>
      <c r="O12" s="145"/>
    </row>
    <row r="13" spans="2:21" x14ac:dyDescent="0.25">
      <c r="B13" s="114" t="s">
        <v>83</v>
      </c>
      <c r="C13" s="115">
        <v>8</v>
      </c>
      <c r="D13" s="116">
        <v>8</v>
      </c>
      <c r="E13" s="134">
        <v>0</v>
      </c>
      <c r="F13" s="117">
        <v>3.5000000000000003E-2</v>
      </c>
      <c r="G13" s="130" t="str">
        <f t="shared" si="1"/>
        <v/>
      </c>
      <c r="H13" s="130" t="str">
        <f t="shared" si="1"/>
        <v/>
      </c>
      <c r="I13" s="130" t="str">
        <f t="shared" si="1"/>
        <v/>
      </c>
      <c r="J13" s="130" t="str">
        <f t="shared" si="1"/>
        <v/>
      </c>
      <c r="K13" s="130" t="str">
        <f t="shared" si="1"/>
        <v/>
      </c>
      <c r="L13" s="130" t="str">
        <f t="shared" si="1"/>
        <v/>
      </c>
      <c r="M13" s="116" t="str">
        <f t="shared" si="1"/>
        <v/>
      </c>
      <c r="N13" s="130"/>
      <c r="O13" s="145"/>
    </row>
    <row r="14" spans="2:21" x14ac:dyDescent="0.25">
      <c r="B14" s="114" t="s">
        <v>82</v>
      </c>
      <c r="C14" s="115">
        <v>4</v>
      </c>
      <c r="D14" s="116">
        <v>5</v>
      </c>
      <c r="E14" s="134">
        <v>492.03934440870489</v>
      </c>
      <c r="F14" s="117">
        <v>1.7999999999999999E-2</v>
      </c>
      <c r="G14" s="130" t="str">
        <f t="shared" si="1"/>
        <v/>
      </c>
      <c r="H14" s="130" t="str">
        <f t="shared" si="1"/>
        <v/>
      </c>
      <c r="I14" s="130" t="str">
        <f t="shared" si="1"/>
        <v/>
      </c>
      <c r="J14" s="130">
        <f t="shared" si="1"/>
        <v>-1</v>
      </c>
      <c r="K14" s="130">
        <f t="shared" si="1"/>
        <v>1.018</v>
      </c>
      <c r="L14" s="130" t="str">
        <f t="shared" si="1"/>
        <v/>
      </c>
      <c r="M14" s="116" t="str">
        <f t="shared" si="1"/>
        <v/>
      </c>
      <c r="N14" s="130"/>
      <c r="O14" s="145"/>
    </row>
    <row r="15" spans="2:21" x14ac:dyDescent="0.25">
      <c r="B15" s="114" t="s">
        <v>84</v>
      </c>
      <c r="C15" s="115">
        <v>8</v>
      </c>
      <c r="D15" s="116">
        <v>8</v>
      </c>
      <c r="E15" s="134">
        <v>0</v>
      </c>
      <c r="F15" s="117">
        <v>5.8000000000000003E-2</v>
      </c>
      <c r="G15" s="130" t="str">
        <f t="shared" si="1"/>
        <v/>
      </c>
      <c r="H15" s="130" t="str">
        <f t="shared" si="1"/>
        <v/>
      </c>
      <c r="I15" s="130" t="str">
        <f t="shared" si="1"/>
        <v/>
      </c>
      <c r="J15" s="130" t="str">
        <f t="shared" si="1"/>
        <v/>
      </c>
      <c r="K15" s="130" t="str">
        <f t="shared" si="1"/>
        <v/>
      </c>
      <c r="L15" s="130" t="str">
        <f t="shared" si="1"/>
        <v/>
      </c>
      <c r="M15" s="116" t="str">
        <f t="shared" si="1"/>
        <v/>
      </c>
      <c r="N15" s="130"/>
      <c r="O15" s="145"/>
    </row>
    <row r="16" spans="2:21" x14ac:dyDescent="0.25">
      <c r="B16" s="114" t="s">
        <v>82</v>
      </c>
      <c r="C16" s="115">
        <v>5</v>
      </c>
      <c r="D16" s="116">
        <v>6</v>
      </c>
      <c r="E16" s="134">
        <v>384.9191539715257</v>
      </c>
      <c r="F16" s="117">
        <v>1.7999999999999999E-2</v>
      </c>
      <c r="G16" s="130" t="str">
        <f t="shared" si="1"/>
        <v/>
      </c>
      <c r="H16" s="130" t="str">
        <f t="shared" si="1"/>
        <v/>
      </c>
      <c r="I16" s="130" t="str">
        <f t="shared" si="1"/>
        <v/>
      </c>
      <c r="J16" s="130" t="str">
        <f t="shared" si="1"/>
        <v/>
      </c>
      <c r="K16" s="130">
        <f t="shared" si="1"/>
        <v>-1</v>
      </c>
      <c r="L16" s="130">
        <f t="shared" si="1"/>
        <v>1.018</v>
      </c>
      <c r="M16" s="116" t="str">
        <f t="shared" si="1"/>
        <v/>
      </c>
      <c r="N16" s="130"/>
      <c r="O16" s="145"/>
    </row>
    <row r="17" spans="2:21" x14ac:dyDescent="0.25">
      <c r="B17" s="114" t="s">
        <v>83</v>
      </c>
      <c r="C17" s="115">
        <v>8</v>
      </c>
      <c r="D17" s="116">
        <v>8</v>
      </c>
      <c r="E17" s="134">
        <v>0</v>
      </c>
      <c r="F17" s="117">
        <v>3.5000000000000003E-2</v>
      </c>
      <c r="G17" s="130" t="str">
        <f t="shared" si="1"/>
        <v/>
      </c>
      <c r="H17" s="130" t="str">
        <f t="shared" si="1"/>
        <v/>
      </c>
      <c r="I17" s="130" t="str">
        <f t="shared" si="1"/>
        <v/>
      </c>
      <c r="J17" s="130" t="str">
        <f t="shared" si="1"/>
        <v/>
      </c>
      <c r="K17" s="130" t="str">
        <f t="shared" si="1"/>
        <v/>
      </c>
      <c r="L17" s="130" t="str">
        <f t="shared" si="1"/>
        <v/>
      </c>
      <c r="M17" s="116" t="str">
        <f t="shared" si="1"/>
        <v/>
      </c>
      <c r="N17" s="130"/>
      <c r="O17" s="145"/>
    </row>
    <row r="18" spans="2:21" x14ac:dyDescent="0.25">
      <c r="B18" s="118" t="s">
        <v>82</v>
      </c>
      <c r="C18" s="119">
        <v>6</v>
      </c>
      <c r="D18" s="120">
        <v>7</v>
      </c>
      <c r="E18" s="135">
        <v>98.267400252748885</v>
      </c>
      <c r="F18" s="121">
        <v>1.7999999999999999E-2</v>
      </c>
      <c r="G18" s="136" t="str">
        <f t="shared" si="1"/>
        <v/>
      </c>
      <c r="H18" s="136" t="str">
        <f t="shared" si="1"/>
        <v/>
      </c>
      <c r="I18" s="136" t="str">
        <f t="shared" si="1"/>
        <v/>
      </c>
      <c r="J18" s="136" t="str">
        <f t="shared" si="1"/>
        <v/>
      </c>
      <c r="K18" s="136" t="str">
        <f t="shared" si="1"/>
        <v/>
      </c>
      <c r="L18" s="136">
        <f t="shared" si="1"/>
        <v>-1</v>
      </c>
      <c r="M18" s="120">
        <f t="shared" si="1"/>
        <v>1.018</v>
      </c>
      <c r="N18" s="130"/>
      <c r="O18" s="145"/>
    </row>
    <row r="19" spans="2:21" ht="13.8" thickBot="1" x14ac:dyDescent="0.3">
      <c r="B19" s="191" t="s">
        <v>104</v>
      </c>
      <c r="C19" s="192"/>
      <c r="D19" s="193"/>
      <c r="E19" s="137">
        <f>SUMIF(C7:C18,1,E7:E18)</f>
        <v>1953.1054596280744</v>
      </c>
      <c r="F19" s="194" t="s">
        <v>105</v>
      </c>
      <c r="G19" s="194"/>
      <c r="H19" s="138">
        <f t="shared" ref="H19:M19" si="2">SUMPRODUCT(H7:H18,$E$7:$E$18)</f>
        <v>409.08867237651771</v>
      </c>
      <c r="I19" s="138">
        <f t="shared" si="2"/>
        <v>975.98500493481106</v>
      </c>
      <c r="J19" s="138">
        <f t="shared" si="2"/>
        <v>150.9424747215246</v>
      </c>
      <c r="K19" s="138">
        <f t="shared" si="2"/>
        <v>115.97689863653591</v>
      </c>
      <c r="L19" s="138">
        <f t="shared" si="2"/>
        <v>293.58029849026428</v>
      </c>
      <c r="M19" s="138">
        <f t="shared" si="2"/>
        <v>100.03621345729837</v>
      </c>
      <c r="N19" s="139"/>
      <c r="O19" s="158" t="s">
        <v>111</v>
      </c>
      <c r="P19" s="157" t="str">
        <f ca="1">_xlfn.FORMULATEXT(E19)</f>
        <v>=SUMIF(C7:C18,1,E7:E18)</v>
      </c>
      <c r="Q19" s="157"/>
      <c r="R19" s="158" t="s">
        <v>112</v>
      </c>
      <c r="S19" s="157" t="str">
        <f ca="1">_xlfn.FORMULATEXT(M19)</f>
        <v>=SUMPRODUCT(M7:M18,$E$7:$E$18)</v>
      </c>
      <c r="T19" s="157"/>
      <c r="U19" s="157"/>
    </row>
    <row r="20" spans="2:21" ht="13.8" thickTop="1" x14ac:dyDescent="0.25">
      <c r="B20" s="130"/>
      <c r="C20" s="130"/>
      <c r="D20" s="130"/>
      <c r="F20" s="195" t="s">
        <v>34</v>
      </c>
      <c r="G20" s="196"/>
      <c r="H20" s="108">
        <v>409.08867237651805</v>
      </c>
      <c r="I20" s="108">
        <v>975.98500493481095</v>
      </c>
      <c r="J20" s="108">
        <v>150.94247472152455</v>
      </c>
      <c r="K20" s="108">
        <v>115.97689863653586</v>
      </c>
      <c r="L20" s="108">
        <v>293.58029849026428</v>
      </c>
      <c r="M20" s="108">
        <v>100.03621345729836</v>
      </c>
      <c r="N20" s="140"/>
      <c r="Q20" s="160"/>
      <c r="R20" s="159" t="s">
        <v>113</v>
      </c>
      <c r="S20" s="157" t="str">
        <f>"'xi-sigma-sim'!Z15:AE15"</f>
        <v>'xi-sigma-sim'!Z15:AE15</v>
      </c>
      <c r="T20" s="157"/>
      <c r="U20" s="157"/>
    </row>
    <row r="25" spans="2:21" x14ac:dyDescent="0.25">
      <c r="F25" s="129"/>
      <c r="P25" s="147"/>
      <c r="Q25" s="147"/>
    </row>
    <row r="28" spans="2:21" x14ac:dyDescent="0.25">
      <c r="B28" s="144" t="str">
        <f ca="1">_xlfn.FORMULATEXT(C28)</f>
        <v>=B7&amp;"_"&amp;C7&amp;"_"&amp;D7&amp;"_"</v>
      </c>
      <c r="C28" s="161" t="str">
        <f>B7&amp;"_"&amp;C7&amp;"_"&amp;D7&amp;"_"</f>
        <v>A_1_2_</v>
      </c>
      <c r="E28" s="128" t="s">
        <v>110</v>
      </c>
    </row>
    <row r="29" spans="2:21" x14ac:dyDescent="0.25">
      <c r="C29" s="161" t="str">
        <f t="shared" ref="C29:C39" si="3">B8&amp;"_"&amp;C8&amp;"_"&amp;D8&amp;"_"</f>
        <v>B_8_8_</v>
      </c>
      <c r="E29" s="143">
        <f t="array" ref="E29:Q29">TRANSPOSE(E7:E19)</f>
        <v>1953.1054596280744</v>
      </c>
      <c r="F29" s="143">
        <v>0</v>
      </c>
      <c r="G29" s="143">
        <v>0</v>
      </c>
      <c r="H29" s="143">
        <v>0</v>
      </c>
      <c r="I29" s="143">
        <v>1579.1726855248621</v>
      </c>
      <c r="J29" s="143">
        <v>631.61278892949849</v>
      </c>
      <c r="K29" s="143">
        <v>0</v>
      </c>
      <c r="L29" s="143">
        <v>492.03934440870489</v>
      </c>
      <c r="M29" s="143">
        <v>0</v>
      </c>
      <c r="N29" s="143">
        <v>384.9191539715257</v>
      </c>
      <c r="O29" s="143">
        <v>0</v>
      </c>
      <c r="P29" s="143">
        <v>98.267400252748885</v>
      </c>
      <c r="Q29" s="143">
        <v>1953.1054596280744</v>
      </c>
    </row>
    <row r="30" spans="2:21" x14ac:dyDescent="0.25">
      <c r="C30" s="161" t="str">
        <f t="shared" si="3"/>
        <v>C_8_8_</v>
      </c>
      <c r="E30" s="153" t="str">
        <f ca="1">_xlfn.FORMULATEXT(E29)</f>
        <v>{=TRANSPOSE(E7:E19)}</v>
      </c>
      <c r="F30" s="152"/>
    </row>
    <row r="31" spans="2:21" x14ac:dyDescent="0.25">
      <c r="C31" s="161" t="str">
        <f t="shared" si="3"/>
        <v>D_8_8_</v>
      </c>
      <c r="E31" s="143">
        <f>H20</f>
        <v>409.08867237651805</v>
      </c>
      <c r="F31" s="143">
        <f t="shared" ref="F31:J31" si="4">I20</f>
        <v>975.98500493481095</v>
      </c>
      <c r="G31" s="143">
        <f t="shared" si="4"/>
        <v>150.94247472152455</v>
      </c>
      <c r="H31" s="143">
        <f t="shared" si="4"/>
        <v>115.97689863653586</v>
      </c>
      <c r="I31" s="143">
        <f t="shared" si="4"/>
        <v>293.58029849026428</v>
      </c>
      <c r="J31" s="143">
        <f t="shared" si="4"/>
        <v>100.03621345729836</v>
      </c>
    </row>
    <row r="32" spans="2:21" x14ac:dyDescent="0.25">
      <c r="C32" s="161" t="str">
        <f t="shared" si="3"/>
        <v>A_2_3_</v>
      </c>
      <c r="E32" s="153" t="str">
        <f ca="1">_xlfn.FORMULATEXT(E31)</f>
        <v>=H20</v>
      </c>
    </row>
    <row r="33" spans="3:23" x14ac:dyDescent="0.25">
      <c r="C33" s="161" t="str">
        <f t="shared" si="3"/>
        <v>A_3_4_</v>
      </c>
      <c r="E33" s="131" t="str">
        <f t="array" ref="E33:Q33">TRANSPOSE(C28:C40)</f>
        <v>A_1_2_</v>
      </c>
      <c r="F33" s="131" t="str">
        <v>B_8_8_</v>
      </c>
      <c r="G33" s="131" t="str">
        <v>C_8_8_</v>
      </c>
      <c r="H33" s="131" t="str">
        <v>D_8_8_</v>
      </c>
      <c r="I33" s="131" t="str">
        <v>A_2_3_</v>
      </c>
      <c r="J33" s="131" t="str">
        <v>A_3_4_</v>
      </c>
      <c r="K33" s="131" t="str">
        <v>B_8_8_</v>
      </c>
      <c r="L33" s="131" t="str">
        <v>A_4_5_</v>
      </c>
      <c r="M33" s="131" t="str">
        <v>C_8_8_</v>
      </c>
      <c r="N33" s="131" t="str">
        <v>A_5_6_</v>
      </c>
      <c r="O33" s="131" t="str">
        <v>B_8_8_</v>
      </c>
      <c r="P33" s="131" t="str">
        <v>A_6_7_</v>
      </c>
      <c r="Q33" s="131" t="str">
        <v>capital_yr1</v>
      </c>
      <c r="R33" s="143" t="str">
        <f>"claims_yr"&amp;H6</f>
        <v>claims_yr2</v>
      </c>
      <c r="S33" s="143" t="str">
        <f t="shared" ref="S33:W33" si="5">"claims_yr"&amp;I6</f>
        <v>claims_yr3</v>
      </c>
      <c r="T33" s="143" t="str">
        <f t="shared" si="5"/>
        <v>claims_yr4</v>
      </c>
      <c r="U33" s="143" t="str">
        <f t="shared" si="5"/>
        <v>claims_yr5</v>
      </c>
      <c r="V33" s="143" t="str">
        <f t="shared" si="5"/>
        <v>claims_yr6</v>
      </c>
      <c r="W33" s="143" t="str">
        <f t="shared" si="5"/>
        <v>claims_yr7</v>
      </c>
    </row>
    <row r="34" spans="3:23" x14ac:dyDescent="0.25">
      <c r="C34" s="161" t="str">
        <f t="shared" si="3"/>
        <v>B_8_8_</v>
      </c>
      <c r="E34" s="153" t="str">
        <f ca="1">_xlfn.FORMULATEXT(E33)</f>
        <v>{=TRANSPOSE(C28:C40)}</v>
      </c>
    </row>
    <row r="35" spans="3:23" x14ac:dyDescent="0.25">
      <c r="C35" s="161" t="str">
        <f t="shared" si="3"/>
        <v>A_4_5_</v>
      </c>
      <c r="E35" s="156" t="str">
        <f ca="1">_xlfn.FORMULATEXT(E33)</f>
        <v>{=TRANSPOSE(C28:C40)}</v>
      </c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55"/>
      <c r="R35" s="156" t="str">
        <f ca="1">_xlfn.FORMULATEXT(R33)</f>
        <v>="claims_yr"&amp;H6</v>
      </c>
    </row>
    <row r="36" spans="3:23" x14ac:dyDescent="0.25">
      <c r="C36" s="161" t="str">
        <f t="shared" si="3"/>
        <v>C_8_8_</v>
      </c>
    </row>
    <row r="37" spans="3:23" x14ac:dyDescent="0.25">
      <c r="C37" s="161" t="str">
        <f t="shared" si="3"/>
        <v>A_5_6_</v>
      </c>
    </row>
    <row r="38" spans="3:23" x14ac:dyDescent="0.25">
      <c r="C38" s="161" t="str">
        <f t="shared" si="3"/>
        <v>B_8_8_</v>
      </c>
    </row>
    <row r="39" spans="3:23" x14ac:dyDescent="0.25">
      <c r="C39" s="161" t="str">
        <f t="shared" si="3"/>
        <v>A_6_7_</v>
      </c>
    </row>
    <row r="40" spans="3:23" x14ac:dyDescent="0.25">
      <c r="C40" s="161" t="s">
        <v>108</v>
      </c>
      <c r="O40" s="141"/>
    </row>
  </sheetData>
  <mergeCells count="7">
    <mergeCell ref="O7:U7"/>
    <mergeCell ref="O10:U10"/>
    <mergeCell ref="C5:D5"/>
    <mergeCell ref="G5:M5"/>
    <mergeCell ref="B19:D19"/>
    <mergeCell ref="F19:G19"/>
    <mergeCell ref="F20:G20"/>
  </mergeCells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olve_capital_paste_special">
                <anchor moveWithCells="1" sizeWithCells="1">
                  <from>
                    <xdr:col>8</xdr:col>
                    <xdr:colOff>15240</xdr:colOff>
                    <xdr:row>21</xdr:row>
                    <xdr:rowOff>129540</xdr:rowOff>
                  </from>
                  <to>
                    <xdr:col>11</xdr:col>
                    <xdr:colOff>91440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5" name="Button 21">
              <controlPr defaultSize="0" print="0" autoFill="0" autoPict="0" macro="[0]!fundMonteCarlo_Click">
                <anchor moveWithCells="1" sizeWithCells="1">
                  <from>
                    <xdr:col>11</xdr:col>
                    <xdr:colOff>335280</xdr:colOff>
                    <xdr:row>21</xdr:row>
                    <xdr:rowOff>152400</xdr:rowOff>
                  </from>
                  <to>
                    <xdr:col>14</xdr:col>
                    <xdr:colOff>213360</xdr:colOff>
                    <xdr:row>24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0AFF-14BB-40BF-B31F-534EC7E48AF7}">
  <sheetPr codeName="Sheet10"/>
  <dimension ref="A3:V106"/>
  <sheetViews>
    <sheetView zoomScale="90" workbookViewId="0">
      <selection activeCell="A24" sqref="A24"/>
    </sheetView>
  </sheetViews>
  <sheetFormatPr defaultRowHeight="14.4" x14ac:dyDescent="0.3"/>
  <cols>
    <col min="1" max="1" width="7.5546875" customWidth="1"/>
    <col min="20" max="20" width="11.44140625" customWidth="1"/>
    <col min="21" max="21" width="3.33203125" customWidth="1"/>
    <col min="22" max="22" width="21.109375" customWidth="1"/>
  </cols>
  <sheetData>
    <row r="3" spans="1:22" x14ac:dyDescent="0.3">
      <c r="B3" s="104" t="str">
        <f>'fund-allocation'!E33</f>
        <v>A_1_2_</v>
      </c>
      <c r="C3" s="104" t="str">
        <f>'fund-allocation'!F33</f>
        <v>B_8_8_</v>
      </c>
      <c r="D3" s="104" t="str">
        <f>'fund-allocation'!G33</f>
        <v>C_8_8_</v>
      </c>
      <c r="E3" s="104" t="str">
        <f>'fund-allocation'!H33</f>
        <v>D_8_8_</v>
      </c>
      <c r="F3" s="104" t="str">
        <f>'fund-allocation'!I33</f>
        <v>A_2_3_</v>
      </c>
      <c r="G3" s="104" t="str">
        <f>'fund-allocation'!J33</f>
        <v>A_3_4_</v>
      </c>
      <c r="H3" s="104" t="str">
        <f>'fund-allocation'!K33</f>
        <v>B_8_8_</v>
      </c>
      <c r="I3" s="104" t="str">
        <f>'fund-allocation'!L33</f>
        <v>A_4_5_</v>
      </c>
      <c r="J3" s="104" t="str">
        <f>'fund-allocation'!M33</f>
        <v>C_8_8_</v>
      </c>
      <c r="K3" s="104" t="str">
        <f>'fund-allocation'!N33</f>
        <v>A_5_6_</v>
      </c>
      <c r="L3" s="104" t="str">
        <f>'fund-allocation'!O33</f>
        <v>B_8_8_</v>
      </c>
      <c r="M3" s="104" t="str">
        <f>'fund-allocation'!P33</f>
        <v>A_6_7_</v>
      </c>
      <c r="N3" s="104" t="str">
        <f>'fund-allocation'!Q33</f>
        <v>capital_yr1</v>
      </c>
      <c r="O3" s="104" t="str">
        <f>'fund-allocation'!R33</f>
        <v>claims_yr2</v>
      </c>
      <c r="P3" s="104" t="str">
        <f>'fund-allocation'!S33</f>
        <v>claims_yr3</v>
      </c>
      <c r="Q3" s="104" t="str">
        <f>'fund-allocation'!T33</f>
        <v>claims_yr4</v>
      </c>
      <c r="R3" s="104" t="str">
        <f>'fund-allocation'!U33</f>
        <v>claims_yr5</v>
      </c>
      <c r="S3" s="104" t="str">
        <f>'fund-allocation'!V33</f>
        <v>claims_yr6</v>
      </c>
      <c r="T3" s="104" t="str">
        <f>'fund-allocation'!W33</f>
        <v>claims_yr7</v>
      </c>
      <c r="V3" s="5" t="str">
        <f ca="1">_xlfn.FORMULATEXT(T3)</f>
        <v>='fund-allocation'!W33</v>
      </c>
    </row>
    <row r="4" spans="1:22" x14ac:dyDescent="0.3">
      <c r="B4">
        <f>'fund-allocation'!E29</f>
        <v>1953.1054596280744</v>
      </c>
      <c r="C4">
        <f>'fund-allocation'!F29</f>
        <v>0</v>
      </c>
      <c r="D4">
        <f>'fund-allocation'!G29</f>
        <v>0</v>
      </c>
      <c r="E4">
        <f>'fund-allocation'!H29</f>
        <v>0</v>
      </c>
      <c r="F4">
        <f>'fund-allocation'!I29</f>
        <v>1579.1726855248621</v>
      </c>
      <c r="G4">
        <f>'fund-allocation'!J29</f>
        <v>631.61278892949849</v>
      </c>
      <c r="H4">
        <f>'fund-allocation'!K29</f>
        <v>0</v>
      </c>
      <c r="I4">
        <f>'fund-allocation'!L29</f>
        <v>492.03934440870489</v>
      </c>
      <c r="J4">
        <f>'fund-allocation'!M29</f>
        <v>0</v>
      </c>
      <c r="K4">
        <f>'fund-allocation'!N29</f>
        <v>384.9191539715257</v>
      </c>
      <c r="L4">
        <f>'fund-allocation'!O29</f>
        <v>0</v>
      </c>
      <c r="M4">
        <f>'fund-allocation'!P29</f>
        <v>98.267400252748885</v>
      </c>
      <c r="N4">
        <f>'fund-allocation'!Q29</f>
        <v>1953.1054596280744</v>
      </c>
      <c r="O4">
        <f>'fund-allocation'!E31</f>
        <v>409.08867237651805</v>
      </c>
      <c r="P4">
        <f>'fund-allocation'!F31</f>
        <v>975.98500493481095</v>
      </c>
      <c r="Q4">
        <f>'fund-allocation'!G31</f>
        <v>150.94247472152455</v>
      </c>
      <c r="R4">
        <f>'fund-allocation'!H31</f>
        <v>115.97689863653586</v>
      </c>
      <c r="S4">
        <f>'fund-allocation'!I31</f>
        <v>293.58029849026428</v>
      </c>
      <c r="T4">
        <f>'fund-allocation'!J31</f>
        <v>100.03621345729836</v>
      </c>
      <c r="V4" s="5" t="str">
        <f ca="1">_xlfn.FORMULATEXT(T4)</f>
        <v>='fund-allocation'!J31</v>
      </c>
    </row>
    <row r="6" spans="1:22" x14ac:dyDescent="0.3">
      <c r="A6" s="76" t="s">
        <v>114</v>
      </c>
      <c r="B6" s="33" t="str">
        <f>B3</f>
        <v>A_1_2_</v>
      </c>
      <c r="C6" s="33" t="str">
        <f t="shared" ref="C6:T6" si="0">C3</f>
        <v>B_8_8_</v>
      </c>
      <c r="D6" s="33" t="str">
        <f t="shared" si="0"/>
        <v>C_8_8_</v>
      </c>
      <c r="E6" s="33" t="str">
        <f t="shared" si="0"/>
        <v>D_8_8_</v>
      </c>
      <c r="F6" s="33" t="str">
        <f t="shared" si="0"/>
        <v>A_2_3_</v>
      </c>
      <c r="G6" s="33" t="str">
        <f t="shared" si="0"/>
        <v>A_3_4_</v>
      </c>
      <c r="H6" s="33" t="str">
        <f t="shared" si="0"/>
        <v>B_8_8_</v>
      </c>
      <c r="I6" s="33" t="str">
        <f t="shared" si="0"/>
        <v>A_4_5_</v>
      </c>
      <c r="J6" s="33" t="str">
        <f t="shared" si="0"/>
        <v>C_8_8_</v>
      </c>
      <c r="K6" s="33" t="str">
        <f t="shared" si="0"/>
        <v>A_5_6_</v>
      </c>
      <c r="L6" s="33" t="str">
        <f t="shared" si="0"/>
        <v>B_8_8_</v>
      </c>
      <c r="M6" s="33" t="str">
        <f t="shared" si="0"/>
        <v>A_6_7_</v>
      </c>
      <c r="N6" s="33" t="str">
        <f t="shared" si="0"/>
        <v>capital_yr1</v>
      </c>
      <c r="O6" s="33" t="str">
        <f t="shared" si="0"/>
        <v>claims_yr2</v>
      </c>
      <c r="P6" s="33" t="str">
        <f t="shared" si="0"/>
        <v>claims_yr3</v>
      </c>
      <c r="Q6" s="33" t="str">
        <f t="shared" si="0"/>
        <v>claims_yr4</v>
      </c>
      <c r="R6" s="33" t="str">
        <f t="shared" si="0"/>
        <v>claims_yr5</v>
      </c>
      <c r="S6" s="33" t="str">
        <f t="shared" si="0"/>
        <v>claims_yr6</v>
      </c>
      <c r="T6" s="33" t="str">
        <f t="shared" si="0"/>
        <v>claims_yr7</v>
      </c>
      <c r="V6" s="5" t="str">
        <f ca="1">_xlfn.FORMULATEXT(T6)</f>
        <v>=T3</v>
      </c>
    </row>
    <row r="7" spans="1:22" x14ac:dyDescent="0.3">
      <c r="A7">
        <v>1</v>
      </c>
      <c r="B7">
        <v>1344.7037130808312</v>
      </c>
      <c r="C7">
        <v>0</v>
      </c>
      <c r="D7">
        <v>0</v>
      </c>
      <c r="E7">
        <v>0</v>
      </c>
      <c r="F7">
        <v>555.43521929610051</v>
      </c>
      <c r="G7">
        <v>433.54293696804535</v>
      </c>
      <c r="H7">
        <v>0</v>
      </c>
      <c r="I7">
        <v>340.81993885621085</v>
      </c>
      <c r="J7">
        <v>0</v>
      </c>
      <c r="K7">
        <v>238.50064593458285</v>
      </c>
      <c r="L7">
        <v>0</v>
      </c>
      <c r="M7">
        <v>104.93654684987118</v>
      </c>
      <c r="N7">
        <v>1344.7037130808312</v>
      </c>
      <c r="O7">
        <v>813.47316062018558</v>
      </c>
      <c r="P7">
        <v>131.89011627538491</v>
      </c>
      <c r="Q7">
        <v>100.52677097725933</v>
      </c>
      <c r="R7">
        <v>108.4540518210398</v>
      </c>
      <c r="S7">
        <v>137.85711071153418</v>
      </c>
      <c r="T7">
        <v>106.82540469316886</v>
      </c>
    </row>
    <row r="8" spans="1:22" x14ac:dyDescent="0.3">
      <c r="A8">
        <f>A7 + 1</f>
        <v>2</v>
      </c>
      <c r="B8">
        <v>728.36299399187237</v>
      </c>
      <c r="C8">
        <v>0</v>
      </c>
      <c r="D8">
        <v>0</v>
      </c>
      <c r="E8">
        <v>0</v>
      </c>
      <c r="F8">
        <v>622.86732153289245</v>
      </c>
      <c r="G8">
        <v>471.33396829355661</v>
      </c>
      <c r="H8">
        <v>0</v>
      </c>
      <c r="I8">
        <v>379.43909516964425</v>
      </c>
      <c r="J8">
        <v>0</v>
      </c>
      <c r="K8">
        <v>268.20061996536077</v>
      </c>
      <c r="L8">
        <v>0</v>
      </c>
      <c r="M8">
        <v>158.20247424352735</v>
      </c>
      <c r="N8">
        <v>728.36299399187237</v>
      </c>
      <c r="O8">
        <v>118.60620635083356</v>
      </c>
      <c r="P8">
        <v>162.74496502692784</v>
      </c>
      <c r="Q8">
        <v>100.37888455319646</v>
      </c>
      <c r="R8">
        <v>118.06837891733704</v>
      </c>
      <c r="S8">
        <v>114.82575688120991</v>
      </c>
      <c r="T8">
        <v>161.05011877991083</v>
      </c>
    </row>
    <row r="9" spans="1:22" x14ac:dyDescent="0.3">
      <c r="A9">
        <f t="shared" ref="A9:A72" si="1">A8 + 1</f>
        <v>3</v>
      </c>
      <c r="B9">
        <v>2864.8967987752058</v>
      </c>
      <c r="C9">
        <v>0</v>
      </c>
      <c r="D9">
        <v>0</v>
      </c>
      <c r="E9">
        <v>0</v>
      </c>
      <c r="F9">
        <v>2813.4570166579829</v>
      </c>
      <c r="G9">
        <v>458.09924295782724</v>
      </c>
      <c r="H9">
        <v>0</v>
      </c>
      <c r="I9">
        <v>365.75531703315158</v>
      </c>
      <c r="J9">
        <v>0</v>
      </c>
      <c r="K9">
        <v>271.25723777628696</v>
      </c>
      <c r="L9">
        <v>0</v>
      </c>
      <c r="M9">
        <v>167.48399602052092</v>
      </c>
      <c r="N9">
        <v>2864.8967987752058</v>
      </c>
      <c r="O9">
        <v>103.00792449517566</v>
      </c>
      <c r="P9">
        <v>2406</v>
      </c>
      <c r="Q9">
        <v>100.58971229791655</v>
      </c>
      <c r="R9">
        <v>101.08167496346137</v>
      </c>
      <c r="S9">
        <v>108.65587203573918</v>
      </c>
      <c r="T9">
        <v>170.49870794889029</v>
      </c>
    </row>
    <row r="10" spans="1:22" x14ac:dyDescent="0.3">
      <c r="A10">
        <f t="shared" si="1"/>
        <v>4</v>
      </c>
      <c r="B10">
        <v>733.30124639128348</v>
      </c>
      <c r="C10">
        <v>0</v>
      </c>
      <c r="D10">
        <v>0</v>
      </c>
      <c r="E10">
        <v>0</v>
      </c>
      <c r="F10">
        <v>642.07293134320912</v>
      </c>
      <c r="G10">
        <v>534.35327171840777</v>
      </c>
      <c r="H10">
        <v>0</v>
      </c>
      <c r="I10">
        <v>322.90410349489895</v>
      </c>
      <c r="J10">
        <v>0</v>
      </c>
      <c r="K10">
        <v>196.61035658242326</v>
      </c>
      <c r="L10">
        <v>0</v>
      </c>
      <c r="M10">
        <v>98.959920039995993</v>
      </c>
      <c r="N10">
        <v>733.30124639128348</v>
      </c>
      <c r="O10">
        <v>104.4277374831175</v>
      </c>
      <c r="P10">
        <v>119.27697238897917</v>
      </c>
      <c r="Q10">
        <v>221.06752711444008</v>
      </c>
      <c r="R10">
        <v>132.10602077538388</v>
      </c>
      <c r="S10">
        <v>101.1894229609109</v>
      </c>
      <c r="T10">
        <v>100.74119860071592</v>
      </c>
    </row>
    <row r="11" spans="1:22" x14ac:dyDescent="0.3">
      <c r="A11">
        <f t="shared" si="1"/>
        <v>5</v>
      </c>
      <c r="B11">
        <v>4503.9867815671678</v>
      </c>
      <c r="C11">
        <v>0</v>
      </c>
      <c r="D11">
        <v>0</v>
      </c>
      <c r="E11">
        <v>0</v>
      </c>
      <c r="F11">
        <v>4483.0503573370825</v>
      </c>
      <c r="G11">
        <v>2651.4897376787526</v>
      </c>
      <c r="H11">
        <v>0</v>
      </c>
      <c r="I11">
        <v>2567.2144460907771</v>
      </c>
      <c r="J11">
        <v>0</v>
      </c>
      <c r="K11">
        <v>207.4243061204113</v>
      </c>
      <c r="L11">
        <v>0</v>
      </c>
      <c r="M11">
        <v>110.83971274496385</v>
      </c>
      <c r="N11">
        <v>4503.9867815671678</v>
      </c>
      <c r="O11">
        <v>102.00818629829399</v>
      </c>
      <c r="P11">
        <v>1912.2555260903976</v>
      </c>
      <c r="Q11">
        <v>132.00210686619309</v>
      </c>
      <c r="R11">
        <v>2406</v>
      </c>
      <c r="S11">
        <v>100.31823088561485</v>
      </c>
      <c r="T11">
        <v>112.83482757437319</v>
      </c>
    </row>
    <row r="12" spans="1:22" x14ac:dyDescent="0.3">
      <c r="A12">
        <f t="shared" si="1"/>
        <v>6</v>
      </c>
      <c r="B12">
        <v>2859.7160390253384</v>
      </c>
      <c r="C12">
        <v>0</v>
      </c>
      <c r="D12">
        <v>0</v>
      </c>
      <c r="E12">
        <v>0</v>
      </c>
      <c r="F12">
        <v>2753.3847475677958</v>
      </c>
      <c r="G12">
        <v>2677.8982433836873</v>
      </c>
      <c r="H12">
        <v>0</v>
      </c>
      <c r="I12">
        <v>2570.2635568425726</v>
      </c>
      <c r="J12">
        <v>0</v>
      </c>
      <c r="K12">
        <v>210.5283008657392</v>
      </c>
      <c r="L12">
        <v>0</v>
      </c>
      <c r="M12">
        <v>109.82915522392231</v>
      </c>
      <c r="N12">
        <v>2859.7160390253384</v>
      </c>
      <c r="O12">
        <v>157.80618015999858</v>
      </c>
      <c r="P12">
        <v>125.04742964032872</v>
      </c>
      <c r="Q12">
        <v>155.83685492202105</v>
      </c>
      <c r="R12">
        <v>2406</v>
      </c>
      <c r="S12">
        <v>104.48865505740019</v>
      </c>
      <c r="T12">
        <v>111.80608001795292</v>
      </c>
    </row>
    <row r="13" spans="1:22" x14ac:dyDescent="0.3">
      <c r="A13">
        <f t="shared" si="1"/>
        <v>7</v>
      </c>
      <c r="B13">
        <v>5485.5190906546486</v>
      </c>
      <c r="C13">
        <v>0</v>
      </c>
      <c r="D13">
        <v>0</v>
      </c>
      <c r="E13">
        <v>0</v>
      </c>
      <c r="F13">
        <v>5482.6098852660152</v>
      </c>
      <c r="G13">
        <v>5478.1421215580867</v>
      </c>
      <c r="H13">
        <v>0</v>
      </c>
      <c r="I13">
        <v>3170.7486797461329</v>
      </c>
      <c r="J13">
        <v>0</v>
      </c>
      <c r="K13">
        <v>821.82215598156324</v>
      </c>
      <c r="L13">
        <v>0</v>
      </c>
      <c r="M13">
        <v>407.65013012047473</v>
      </c>
      <c r="N13">
        <v>5485.5190906546486</v>
      </c>
      <c r="O13">
        <v>101.64854902041617</v>
      </c>
      <c r="P13">
        <v>103.15474164271716</v>
      </c>
      <c r="Q13">
        <v>2406</v>
      </c>
      <c r="R13">
        <v>2406</v>
      </c>
      <c r="S13">
        <v>428.96482466875665</v>
      </c>
      <c r="T13">
        <v>414.98783246264327</v>
      </c>
    </row>
    <row r="14" spans="1:22" x14ac:dyDescent="0.3">
      <c r="A14">
        <f t="shared" si="1"/>
        <v>8</v>
      </c>
      <c r="B14">
        <v>1474.7564602947621</v>
      </c>
      <c r="C14">
        <v>0</v>
      </c>
      <c r="D14">
        <v>0</v>
      </c>
      <c r="E14">
        <v>0</v>
      </c>
      <c r="F14">
        <v>1372.1179869206089</v>
      </c>
      <c r="G14">
        <v>1139.9847285567446</v>
      </c>
      <c r="H14">
        <v>0</v>
      </c>
      <c r="I14">
        <v>1057.3976825917036</v>
      </c>
      <c r="J14">
        <v>0</v>
      </c>
      <c r="K14">
        <v>973.63640908647562</v>
      </c>
      <c r="L14">
        <v>0</v>
      </c>
      <c r="M14">
        <v>152.29876472049799</v>
      </c>
      <c r="N14">
        <v>1474.7564602947621</v>
      </c>
      <c r="O14">
        <v>129.18408965945883</v>
      </c>
      <c r="P14">
        <v>256.83138212843517</v>
      </c>
      <c r="Q14">
        <v>103.10677107906245</v>
      </c>
      <c r="R14">
        <v>102.79443179187874</v>
      </c>
      <c r="S14">
        <v>838.86309972953416</v>
      </c>
      <c r="T14">
        <v>155.04014248546696</v>
      </c>
    </row>
    <row r="15" spans="1:22" x14ac:dyDescent="0.3">
      <c r="A15">
        <f t="shared" si="1"/>
        <v>9</v>
      </c>
      <c r="B15">
        <v>3220.1697978622133</v>
      </c>
      <c r="C15">
        <v>0</v>
      </c>
      <c r="D15">
        <v>0</v>
      </c>
      <c r="E15">
        <v>0</v>
      </c>
      <c r="F15">
        <v>3171.0727930336384</v>
      </c>
      <c r="G15">
        <v>2949.3348733481198</v>
      </c>
      <c r="H15">
        <v>0</v>
      </c>
      <c r="I15">
        <v>2779.8660340492702</v>
      </c>
      <c r="J15">
        <v>0</v>
      </c>
      <c r="K15">
        <v>2443.1565995901897</v>
      </c>
      <c r="L15">
        <v>0</v>
      </c>
      <c r="M15">
        <v>2363.4577603143416</v>
      </c>
      <c r="N15">
        <v>3220.1697978622133</v>
      </c>
      <c r="O15">
        <v>107.06006119009464</v>
      </c>
      <c r="P15">
        <v>278.81722996012462</v>
      </c>
      <c r="Q15">
        <v>222.55686701911529</v>
      </c>
      <c r="R15">
        <v>386.74702307196748</v>
      </c>
      <c r="S15">
        <v>123.67565806847139</v>
      </c>
      <c r="T15">
        <v>2406</v>
      </c>
    </row>
    <row r="16" spans="1:22" x14ac:dyDescent="0.3">
      <c r="A16">
        <f t="shared" si="1"/>
        <v>10</v>
      </c>
      <c r="B16">
        <v>1364.5664658613844</v>
      </c>
      <c r="C16">
        <v>0</v>
      </c>
      <c r="D16">
        <v>0</v>
      </c>
      <c r="E16">
        <v>0</v>
      </c>
      <c r="F16">
        <v>1248.2939519681343</v>
      </c>
      <c r="G16">
        <v>1071.7964756659869</v>
      </c>
      <c r="H16">
        <v>0</v>
      </c>
      <c r="I16">
        <v>954.57648816667142</v>
      </c>
      <c r="J16">
        <v>0</v>
      </c>
      <c r="K16">
        <v>246.27607544201703</v>
      </c>
      <c r="L16">
        <v>0</v>
      </c>
      <c r="M16">
        <v>149.67105049948842</v>
      </c>
      <c r="N16">
        <v>1364.5664658613844</v>
      </c>
      <c r="O16">
        <v>140.8347102787549</v>
      </c>
      <c r="P16">
        <v>198.96676743757399</v>
      </c>
      <c r="Q16">
        <v>136.51232406130319</v>
      </c>
      <c r="R16">
        <v>725.48278951165446</v>
      </c>
      <c r="S16">
        <v>101.03799430048491</v>
      </c>
      <c r="T16">
        <v>152.36512940847922</v>
      </c>
    </row>
    <row r="17" spans="1:20" x14ac:dyDescent="0.3">
      <c r="A17">
        <f t="shared" si="1"/>
        <v>11</v>
      </c>
      <c r="B17">
        <v>1924.8111887706882</v>
      </c>
      <c r="C17">
        <v>0</v>
      </c>
      <c r="D17">
        <v>0</v>
      </c>
      <c r="E17">
        <v>0</v>
      </c>
      <c r="F17">
        <v>1407.268545514082</v>
      </c>
      <c r="G17">
        <v>1325.9399003370524</v>
      </c>
      <c r="H17">
        <v>0</v>
      </c>
      <c r="I17">
        <v>1217.2794864847422</v>
      </c>
      <c r="J17">
        <v>0</v>
      </c>
      <c r="K17">
        <v>1008.7205869475698</v>
      </c>
      <c r="L17">
        <v>0</v>
      </c>
      <c r="M17">
        <v>900.45327454572805</v>
      </c>
      <c r="N17">
        <v>1924.8111887706882</v>
      </c>
      <c r="O17">
        <v>552.18924465447844</v>
      </c>
      <c r="P17">
        <v>106.65947899628313</v>
      </c>
      <c r="Q17">
        <v>132.52733205837717</v>
      </c>
      <c r="R17">
        <v>230.46993029389765</v>
      </c>
      <c r="S17">
        <v>126.42428296689806</v>
      </c>
      <c r="T17">
        <v>916.66143348755111</v>
      </c>
    </row>
    <row r="18" spans="1:20" x14ac:dyDescent="0.3">
      <c r="A18">
        <f t="shared" si="1"/>
        <v>12</v>
      </c>
      <c r="B18">
        <v>1138.7273296304363</v>
      </c>
      <c r="C18">
        <v>0</v>
      </c>
      <c r="D18">
        <v>0</v>
      </c>
      <c r="E18">
        <v>0</v>
      </c>
      <c r="F18">
        <v>1052.3917381254289</v>
      </c>
      <c r="G18">
        <v>883.50686549271586</v>
      </c>
      <c r="H18">
        <v>0</v>
      </c>
      <c r="I18">
        <v>798.36175350229291</v>
      </c>
      <c r="J18">
        <v>0</v>
      </c>
      <c r="K18">
        <v>700.40686047051304</v>
      </c>
      <c r="L18">
        <v>0</v>
      </c>
      <c r="M18">
        <v>103.83499662239205</v>
      </c>
      <c r="N18">
        <v>1138.7273296304363</v>
      </c>
      <c r="O18">
        <v>106.83268343835549</v>
      </c>
      <c r="P18">
        <v>187.82792391897073</v>
      </c>
      <c r="Q18">
        <v>101.04823556929179</v>
      </c>
      <c r="R18">
        <v>112.32540459482115</v>
      </c>
      <c r="S18">
        <v>609.17918733659019</v>
      </c>
      <c r="T18">
        <v>105.70402656159511</v>
      </c>
    </row>
    <row r="19" spans="1:20" x14ac:dyDescent="0.3">
      <c r="A19">
        <f t="shared" si="1"/>
        <v>13</v>
      </c>
      <c r="B19">
        <v>2974.5287786724211</v>
      </c>
      <c r="C19">
        <v>0</v>
      </c>
      <c r="D19">
        <v>0</v>
      </c>
      <c r="E19">
        <v>0</v>
      </c>
      <c r="F19">
        <v>2919.2639716637163</v>
      </c>
      <c r="G19">
        <v>2856.4462272741503</v>
      </c>
      <c r="H19">
        <v>0</v>
      </c>
      <c r="I19">
        <v>501.86225936508498</v>
      </c>
      <c r="J19">
        <v>0</v>
      </c>
      <c r="K19">
        <v>272.09749388823536</v>
      </c>
      <c r="L19">
        <v>0</v>
      </c>
      <c r="M19">
        <v>176.10074322715766</v>
      </c>
      <c r="N19">
        <v>2974.5287786724211</v>
      </c>
      <c r="O19">
        <v>108.80632502480823</v>
      </c>
      <c r="P19">
        <v>115.36449587951313</v>
      </c>
      <c r="Q19">
        <v>2406</v>
      </c>
      <c r="R19">
        <v>238.7982861454212</v>
      </c>
      <c r="S19">
        <v>100.89450555106589</v>
      </c>
      <c r="T19">
        <v>179.2705566052465</v>
      </c>
    </row>
    <row r="20" spans="1:20" x14ac:dyDescent="0.3">
      <c r="A20">
        <f t="shared" si="1"/>
        <v>14</v>
      </c>
      <c r="B20">
        <v>2941.3540147878825</v>
      </c>
      <c r="C20">
        <v>0</v>
      </c>
      <c r="D20">
        <v>0</v>
      </c>
      <c r="E20">
        <v>0</v>
      </c>
      <c r="F20">
        <v>2826.5544340638412</v>
      </c>
      <c r="G20">
        <v>2770.7006315663043</v>
      </c>
      <c r="H20">
        <v>0</v>
      </c>
      <c r="I20">
        <v>414.57324293449801</v>
      </c>
      <c r="J20">
        <v>0</v>
      </c>
      <c r="K20">
        <v>321.39984946429968</v>
      </c>
      <c r="L20">
        <v>0</v>
      </c>
      <c r="M20">
        <v>214.38622064914077</v>
      </c>
      <c r="N20">
        <v>2941.3540147878825</v>
      </c>
      <c r="O20">
        <v>167.74395299022308</v>
      </c>
      <c r="P20">
        <v>106.73178231068623</v>
      </c>
      <c r="Q20">
        <v>2406</v>
      </c>
      <c r="R20">
        <v>100.63571184301935</v>
      </c>
      <c r="S20">
        <v>112.7988261055163</v>
      </c>
      <c r="T20">
        <v>218.24517262082531</v>
      </c>
    </row>
    <row r="21" spans="1:20" x14ac:dyDescent="0.3">
      <c r="A21">
        <f t="shared" si="1"/>
        <v>15</v>
      </c>
      <c r="B21">
        <v>744.24713253814241</v>
      </c>
      <c r="C21">
        <v>0</v>
      </c>
      <c r="D21">
        <v>0</v>
      </c>
      <c r="E21">
        <v>0</v>
      </c>
      <c r="F21">
        <v>657.43531586457993</v>
      </c>
      <c r="G21">
        <v>486.23683826337708</v>
      </c>
      <c r="H21">
        <v>0</v>
      </c>
      <c r="I21">
        <v>382.35717486927967</v>
      </c>
      <c r="J21">
        <v>0</v>
      </c>
      <c r="K21">
        <v>255.16356993793957</v>
      </c>
      <c r="L21">
        <v>0</v>
      </c>
      <c r="M21">
        <v>136.44437533729229</v>
      </c>
      <c r="N21">
        <v>744.24713253814241</v>
      </c>
      <c r="O21">
        <v>100.20826505924903</v>
      </c>
      <c r="P21">
        <v>183.03231328676532</v>
      </c>
      <c r="Q21">
        <v>112.63192648283825</v>
      </c>
      <c r="R21">
        <v>134.07603407898711</v>
      </c>
      <c r="S21">
        <v>123.31213885953019</v>
      </c>
      <c r="T21">
        <v>138.90037409336355</v>
      </c>
    </row>
    <row r="22" spans="1:20" x14ac:dyDescent="0.3">
      <c r="A22">
        <f t="shared" si="1"/>
        <v>16</v>
      </c>
      <c r="B22">
        <v>1096.8490435410777</v>
      </c>
      <c r="C22">
        <v>0</v>
      </c>
      <c r="D22">
        <v>0</v>
      </c>
      <c r="E22">
        <v>0</v>
      </c>
      <c r="F22">
        <v>1007.8665397528628</v>
      </c>
      <c r="G22">
        <v>888.2510465062112</v>
      </c>
      <c r="H22">
        <v>0</v>
      </c>
      <c r="I22">
        <v>326.96559350580583</v>
      </c>
      <c r="J22">
        <v>0</v>
      </c>
      <c r="K22">
        <v>227.81001364036581</v>
      </c>
      <c r="L22">
        <v>0</v>
      </c>
      <c r="M22">
        <v>130.17464810904318</v>
      </c>
      <c r="N22">
        <v>1096.8490435410777</v>
      </c>
      <c r="O22">
        <v>108.72578657195412</v>
      </c>
      <c r="P22">
        <v>137.75709096220316</v>
      </c>
      <c r="Q22">
        <v>577.27397183751714</v>
      </c>
      <c r="R22">
        <v>105.04096054854453</v>
      </c>
      <c r="S22">
        <v>101.73594577684923</v>
      </c>
      <c r="T22">
        <v>132.51779177500595</v>
      </c>
    </row>
    <row r="23" spans="1:20" x14ac:dyDescent="0.3">
      <c r="A23">
        <f t="shared" si="1"/>
        <v>17</v>
      </c>
      <c r="B23">
        <v>5982.5417882598103</v>
      </c>
      <c r="C23">
        <v>0</v>
      </c>
      <c r="D23">
        <v>0</v>
      </c>
      <c r="E23">
        <v>0</v>
      </c>
      <c r="F23">
        <v>3684.2275404484858</v>
      </c>
      <c r="G23">
        <v>3453.7047238534074</v>
      </c>
      <c r="H23">
        <v>0</v>
      </c>
      <c r="I23">
        <v>3302.0403908727458</v>
      </c>
      <c r="J23">
        <v>0</v>
      </c>
      <c r="K23">
        <v>955.47711790845551</v>
      </c>
      <c r="L23">
        <v>0</v>
      </c>
      <c r="M23">
        <v>103.62627656535473</v>
      </c>
      <c r="N23">
        <v>5982.5417882598103</v>
      </c>
      <c r="O23">
        <v>2406</v>
      </c>
      <c r="P23">
        <v>296.83891232315113</v>
      </c>
      <c r="Q23">
        <v>213.83101801002289</v>
      </c>
      <c r="R23">
        <v>2406</v>
      </c>
      <c r="S23">
        <v>869.04942946545304</v>
      </c>
      <c r="T23">
        <v>105.49154954353112</v>
      </c>
    </row>
    <row r="24" spans="1:20" x14ac:dyDescent="0.3">
      <c r="A24">
        <f t="shared" si="1"/>
        <v>18</v>
      </c>
      <c r="B24">
        <v>707.47733232494829</v>
      </c>
      <c r="C24">
        <v>0</v>
      </c>
      <c r="D24">
        <v>0</v>
      </c>
      <c r="E24">
        <v>0</v>
      </c>
      <c r="F24">
        <v>618.65103511224197</v>
      </c>
      <c r="G24">
        <v>527.89635721980665</v>
      </c>
      <c r="H24">
        <v>0</v>
      </c>
      <c r="I24">
        <v>329.37509585374875</v>
      </c>
      <c r="J24">
        <v>0</v>
      </c>
      <c r="K24">
        <v>228.27814362635633</v>
      </c>
      <c r="L24">
        <v>0</v>
      </c>
      <c r="M24">
        <v>125.84306436215351</v>
      </c>
      <c r="N24">
        <v>707.47733232494829</v>
      </c>
      <c r="O24">
        <v>101.56088919455541</v>
      </c>
      <c r="P24">
        <v>101.89039652445564</v>
      </c>
      <c r="Q24">
        <v>208.02339579601443</v>
      </c>
      <c r="R24">
        <v>107.02570395275993</v>
      </c>
      <c r="S24">
        <v>106.54408584947723</v>
      </c>
      <c r="T24">
        <v>128.10823952067227</v>
      </c>
    </row>
    <row r="25" spans="1:20" x14ac:dyDescent="0.3">
      <c r="A25">
        <f t="shared" si="1"/>
        <v>19</v>
      </c>
      <c r="B25">
        <v>3494.304819728779</v>
      </c>
      <c r="C25">
        <v>0</v>
      </c>
      <c r="D25">
        <v>0</v>
      </c>
      <c r="E25">
        <v>0</v>
      </c>
      <c r="F25">
        <v>3456.9400861204108</v>
      </c>
      <c r="G25">
        <v>3418.5084494289335</v>
      </c>
      <c r="H25">
        <v>0</v>
      </c>
      <c r="I25">
        <v>1074.0416015186547</v>
      </c>
      <c r="J25">
        <v>0</v>
      </c>
      <c r="K25">
        <v>991.11205294496381</v>
      </c>
      <c r="L25">
        <v>0</v>
      </c>
      <c r="M25">
        <v>99.685630079733414</v>
      </c>
      <c r="N25">
        <v>3494.304819728779</v>
      </c>
      <c r="O25">
        <v>100.26222036348598</v>
      </c>
      <c r="P25">
        <v>100.65655824164487</v>
      </c>
      <c r="Q25">
        <v>2406</v>
      </c>
      <c r="R25">
        <v>102.26229740102676</v>
      </c>
      <c r="S25">
        <v>909.26643981823975</v>
      </c>
      <c r="T25">
        <v>101.47997142116861</v>
      </c>
    </row>
    <row r="26" spans="1:20" x14ac:dyDescent="0.3">
      <c r="A26">
        <f t="shared" si="1"/>
        <v>20</v>
      </c>
      <c r="B26">
        <v>890.54038590887922</v>
      </c>
      <c r="C26">
        <v>0</v>
      </c>
      <c r="D26">
        <v>0</v>
      </c>
      <c r="E26">
        <v>0</v>
      </c>
      <c r="F26">
        <v>800.47118457638703</v>
      </c>
      <c r="G26">
        <v>625.82866886413137</v>
      </c>
      <c r="H26">
        <v>0</v>
      </c>
      <c r="I26">
        <v>527.02877969329802</v>
      </c>
      <c r="J26">
        <v>0</v>
      </c>
      <c r="K26">
        <v>428.78576531118824</v>
      </c>
      <c r="L26">
        <v>0</v>
      </c>
      <c r="M26">
        <v>317.96067944321356</v>
      </c>
      <c r="N26">
        <v>890.54038590887922</v>
      </c>
      <c r="O26">
        <v>106.09892827885187</v>
      </c>
      <c r="P26">
        <v>189.05099703463071</v>
      </c>
      <c r="Q26">
        <v>110.06480521038769</v>
      </c>
      <c r="R26">
        <v>107.72953241658911</v>
      </c>
      <c r="S26">
        <v>118.54322964357611</v>
      </c>
      <c r="T26">
        <v>323.68397167319142</v>
      </c>
    </row>
    <row r="27" spans="1:20" x14ac:dyDescent="0.3">
      <c r="A27">
        <f t="shared" si="1"/>
        <v>21</v>
      </c>
      <c r="B27">
        <v>801.09909936048359</v>
      </c>
      <c r="C27">
        <v>0</v>
      </c>
      <c r="D27">
        <v>0</v>
      </c>
      <c r="E27">
        <v>0</v>
      </c>
      <c r="F27">
        <v>670.61105064473793</v>
      </c>
      <c r="G27">
        <v>549.47218463090041</v>
      </c>
      <c r="H27">
        <v>0</v>
      </c>
      <c r="I27">
        <v>450.30986824482454</v>
      </c>
      <c r="J27">
        <v>0</v>
      </c>
      <c r="K27">
        <v>254.5980748049185</v>
      </c>
      <c r="L27">
        <v>0</v>
      </c>
      <c r="M27">
        <v>145.14292594286155</v>
      </c>
      <c r="N27">
        <v>801.09909936048359</v>
      </c>
      <c r="O27">
        <v>144.90783250423431</v>
      </c>
      <c r="P27">
        <v>133.20986492544279</v>
      </c>
      <c r="Q27">
        <v>109.05281570943214</v>
      </c>
      <c r="R27">
        <v>203.81737106831289</v>
      </c>
      <c r="S27">
        <v>114.03791420854546</v>
      </c>
      <c r="T27">
        <v>147.75549860983307</v>
      </c>
    </row>
    <row r="28" spans="1:20" x14ac:dyDescent="0.3">
      <c r="A28">
        <f t="shared" si="1"/>
        <v>22</v>
      </c>
      <c r="B28">
        <v>682.36782980495946</v>
      </c>
      <c r="C28">
        <v>0</v>
      </c>
      <c r="D28">
        <v>0</v>
      </c>
      <c r="E28">
        <v>0</v>
      </c>
      <c r="F28">
        <v>594.09815078900533</v>
      </c>
      <c r="G28">
        <v>404.99420883808489</v>
      </c>
      <c r="H28">
        <v>0</v>
      </c>
      <c r="I28">
        <v>307.47254392678224</v>
      </c>
      <c r="J28">
        <v>0</v>
      </c>
      <c r="K28">
        <v>212.77249685412096</v>
      </c>
      <c r="L28">
        <v>0</v>
      </c>
      <c r="M28">
        <v>101.07740428310784</v>
      </c>
      <c r="N28">
        <v>682.36782980495946</v>
      </c>
      <c r="O28">
        <v>100.55229995244341</v>
      </c>
      <c r="P28">
        <v>199.79770866512251</v>
      </c>
      <c r="Q28">
        <v>104.81156067038819</v>
      </c>
      <c r="R28">
        <v>100.23455286334334</v>
      </c>
      <c r="S28">
        <v>115.52499751438729</v>
      </c>
      <c r="T28">
        <v>102.89679756020378</v>
      </c>
    </row>
    <row r="29" spans="1:20" x14ac:dyDescent="0.3">
      <c r="A29">
        <f t="shared" si="1"/>
        <v>23</v>
      </c>
      <c r="B29">
        <v>2815.1579747737446</v>
      </c>
      <c r="C29">
        <v>0</v>
      </c>
      <c r="D29">
        <v>0</v>
      </c>
      <c r="E29">
        <v>0</v>
      </c>
      <c r="F29">
        <v>2760.5277728876636</v>
      </c>
      <c r="G29">
        <v>2698.9014503636463</v>
      </c>
      <c r="H29">
        <v>0</v>
      </c>
      <c r="I29">
        <v>2637.3536715640321</v>
      </c>
      <c r="J29">
        <v>0</v>
      </c>
      <c r="K29">
        <v>278.82603765218471</v>
      </c>
      <c r="L29">
        <v>0</v>
      </c>
      <c r="M29">
        <v>112.5405149043681</v>
      </c>
      <c r="N29">
        <v>2815.1579747737446</v>
      </c>
      <c r="O29">
        <v>105.30304543200815</v>
      </c>
      <c r="P29">
        <v>111.31582243599487</v>
      </c>
      <c r="Q29">
        <v>110.12800490616002</v>
      </c>
      <c r="R29">
        <v>2406</v>
      </c>
      <c r="S29">
        <v>171.30439142555593</v>
      </c>
      <c r="T29">
        <v>114.56624417264672</v>
      </c>
    </row>
    <row r="30" spans="1:20" x14ac:dyDescent="0.3">
      <c r="A30">
        <f t="shared" si="1"/>
        <v>24</v>
      </c>
      <c r="B30">
        <v>2951.2275289194281</v>
      </c>
      <c r="C30">
        <v>0</v>
      </c>
      <c r="D30">
        <v>0</v>
      </c>
      <c r="E30">
        <v>0</v>
      </c>
      <c r="F30">
        <v>2855.6869759864708</v>
      </c>
      <c r="G30">
        <v>2800.2600066624291</v>
      </c>
      <c r="H30">
        <v>0</v>
      </c>
      <c r="I30">
        <v>2588.7290061126159</v>
      </c>
      <c r="J30">
        <v>0</v>
      </c>
      <c r="K30">
        <v>229.32612822264321</v>
      </c>
      <c r="L30">
        <v>0</v>
      </c>
      <c r="M30">
        <v>124.19134611011239</v>
      </c>
      <c r="N30">
        <v>2951.2275289194281</v>
      </c>
      <c r="O30">
        <v>148.66264845350719</v>
      </c>
      <c r="P30">
        <v>106.82933489179821</v>
      </c>
      <c r="Q30">
        <v>261.93568066973671</v>
      </c>
      <c r="R30">
        <v>2406</v>
      </c>
      <c r="S30">
        <v>109.26265242053839</v>
      </c>
      <c r="T30">
        <v>126.42679034009441</v>
      </c>
    </row>
    <row r="31" spans="1:20" x14ac:dyDescent="0.3">
      <c r="A31">
        <f t="shared" si="1"/>
        <v>25</v>
      </c>
      <c r="B31">
        <v>2852.8079501796346</v>
      </c>
      <c r="C31">
        <v>0</v>
      </c>
      <c r="D31">
        <v>0</v>
      </c>
      <c r="E31">
        <v>0</v>
      </c>
      <c r="F31">
        <v>2803.37158956237</v>
      </c>
      <c r="G31">
        <v>2750.9317201896483</v>
      </c>
      <c r="H31">
        <v>0</v>
      </c>
      <c r="I31">
        <v>2485.7479185990637</v>
      </c>
      <c r="J31">
        <v>0</v>
      </c>
      <c r="K31">
        <v>2425.1986855717655</v>
      </c>
      <c r="L31">
        <v>0</v>
      </c>
      <c r="M31">
        <v>2363.4577603143416</v>
      </c>
      <c r="N31">
        <v>2852.8079501796346</v>
      </c>
      <c r="O31">
        <v>100.78690372049837</v>
      </c>
      <c r="P31">
        <v>102.90055798484428</v>
      </c>
      <c r="Q31">
        <v>314.7005725539982</v>
      </c>
      <c r="R31">
        <v>105.29269556208116</v>
      </c>
      <c r="S31">
        <v>105.39450159771582</v>
      </c>
      <c r="T31">
        <v>2406</v>
      </c>
    </row>
    <row r="32" spans="1:20" x14ac:dyDescent="0.3">
      <c r="A32">
        <f t="shared" si="1"/>
        <v>26</v>
      </c>
      <c r="B32">
        <v>1237.6452477616131</v>
      </c>
      <c r="C32">
        <v>0</v>
      </c>
      <c r="D32">
        <v>0</v>
      </c>
      <c r="E32">
        <v>0</v>
      </c>
      <c r="F32">
        <v>1144.6893668923185</v>
      </c>
      <c r="G32">
        <v>970.50721257324017</v>
      </c>
      <c r="H32">
        <v>0</v>
      </c>
      <c r="I32">
        <v>886.77786564873998</v>
      </c>
      <c r="J32">
        <v>0</v>
      </c>
      <c r="K32">
        <v>703.65775119633918</v>
      </c>
      <c r="L32">
        <v>0</v>
      </c>
      <c r="M32">
        <v>212.67822909436583</v>
      </c>
      <c r="N32">
        <v>1237.6452477616131</v>
      </c>
      <c r="O32">
        <v>115.23349532900392</v>
      </c>
      <c r="P32">
        <v>194.78656292313997</v>
      </c>
      <c r="Q32">
        <v>101.19847675081843</v>
      </c>
      <c r="R32">
        <v>199.08211603407818</v>
      </c>
      <c r="S32">
        <v>503.64536162350743</v>
      </c>
      <c r="T32">
        <v>216.50643721806441</v>
      </c>
    </row>
    <row r="33" spans="1:20" x14ac:dyDescent="0.3">
      <c r="A33">
        <f t="shared" si="1"/>
        <v>27</v>
      </c>
      <c r="B33">
        <v>800.59484812221649</v>
      </c>
      <c r="C33">
        <v>0</v>
      </c>
      <c r="D33">
        <v>0</v>
      </c>
      <c r="E33">
        <v>0</v>
      </c>
      <c r="F33">
        <v>702.98371491022772</v>
      </c>
      <c r="G33">
        <v>581.71133584911831</v>
      </c>
      <c r="H33">
        <v>0</v>
      </c>
      <c r="I33">
        <v>484.14349509315605</v>
      </c>
      <c r="J33">
        <v>0</v>
      </c>
      <c r="K33">
        <v>390.09661813602338</v>
      </c>
      <c r="L33">
        <v>0</v>
      </c>
      <c r="M33">
        <v>159.156659984133</v>
      </c>
      <c r="N33">
        <v>800.59484812221649</v>
      </c>
      <c r="O33">
        <v>112.02184047818868</v>
      </c>
      <c r="P33">
        <v>133.92608592949358</v>
      </c>
      <c r="Q33">
        <v>108.03864480124635</v>
      </c>
      <c r="R33">
        <v>102.76145986880948</v>
      </c>
      <c r="S33">
        <v>237.96169727833876</v>
      </c>
      <c r="T33">
        <v>162.02147986384739</v>
      </c>
    </row>
    <row r="34" spans="1:20" x14ac:dyDescent="0.3">
      <c r="A34">
        <f t="shared" si="1"/>
        <v>28</v>
      </c>
      <c r="B34">
        <v>962.48939193923241</v>
      </c>
      <c r="C34">
        <v>0</v>
      </c>
      <c r="D34">
        <v>0</v>
      </c>
      <c r="E34">
        <v>0</v>
      </c>
      <c r="F34">
        <v>864.03634415307022</v>
      </c>
      <c r="G34">
        <v>772.33032855658689</v>
      </c>
      <c r="H34">
        <v>0</v>
      </c>
      <c r="I34">
        <v>675.72555583936082</v>
      </c>
      <c r="J34">
        <v>0</v>
      </c>
      <c r="K34">
        <v>462.78655423844475</v>
      </c>
      <c r="L34">
        <v>0</v>
      </c>
      <c r="M34">
        <v>146.60644926169144</v>
      </c>
      <c r="N34">
        <v>962.48939193923241</v>
      </c>
      <c r="O34">
        <v>115.7778568410684</v>
      </c>
      <c r="P34">
        <v>107.25866979123856</v>
      </c>
      <c r="Q34">
        <v>110.50671863124458</v>
      </c>
      <c r="R34">
        <v>225.10206160602459</v>
      </c>
      <c r="S34">
        <v>324.51026295304536</v>
      </c>
      <c r="T34">
        <v>149.24536534840189</v>
      </c>
    </row>
    <row r="35" spans="1:20" x14ac:dyDescent="0.3">
      <c r="A35">
        <f t="shared" si="1"/>
        <v>29</v>
      </c>
      <c r="B35">
        <v>1091.460874202359</v>
      </c>
      <c r="C35">
        <v>0</v>
      </c>
      <c r="D35">
        <v>0</v>
      </c>
      <c r="E35">
        <v>0</v>
      </c>
      <c r="F35">
        <v>1003.0010045931526</v>
      </c>
      <c r="G35">
        <v>899.7981210605501</v>
      </c>
      <c r="H35">
        <v>0</v>
      </c>
      <c r="I35">
        <v>806.18658793296288</v>
      </c>
      <c r="J35">
        <v>0</v>
      </c>
      <c r="K35">
        <v>715.93424996062788</v>
      </c>
      <c r="L35">
        <v>0</v>
      </c>
      <c r="M35">
        <v>115.56711152196573</v>
      </c>
      <c r="N35">
        <v>1091.460874202359</v>
      </c>
      <c r="O35">
        <v>108.10616534484879</v>
      </c>
      <c r="P35">
        <v>121.2569016152793</v>
      </c>
      <c r="Q35">
        <v>109.80789930667709</v>
      </c>
      <c r="R35">
        <v>104.76369655512838</v>
      </c>
      <c r="S35">
        <v>613.25395493795349</v>
      </c>
      <c r="T35">
        <v>117.64731952936111</v>
      </c>
    </row>
    <row r="36" spans="1:20" x14ac:dyDescent="0.3">
      <c r="A36">
        <f t="shared" si="1"/>
        <v>30</v>
      </c>
      <c r="B36">
        <v>672.03877682149584</v>
      </c>
      <c r="C36">
        <v>0</v>
      </c>
      <c r="D36">
        <v>0</v>
      </c>
      <c r="E36">
        <v>0</v>
      </c>
      <c r="F36">
        <v>582.39024690755798</v>
      </c>
      <c r="G36">
        <v>474.50781589467078</v>
      </c>
      <c r="H36">
        <v>0</v>
      </c>
      <c r="I36">
        <v>361.26017212326224</v>
      </c>
      <c r="J36">
        <v>0</v>
      </c>
      <c r="K36">
        <v>258.02234333477685</v>
      </c>
      <c r="L36">
        <v>0</v>
      </c>
      <c r="M36">
        <v>108.70640109316645</v>
      </c>
      <c r="N36">
        <v>672.03877682149584</v>
      </c>
      <c r="O36">
        <v>101.74522789672474</v>
      </c>
      <c r="P36">
        <v>118.36545545722325</v>
      </c>
      <c r="Q36">
        <v>121.78878445751262</v>
      </c>
      <c r="R36">
        <v>109.74051188670414</v>
      </c>
      <c r="S36">
        <v>153.96034442163636</v>
      </c>
      <c r="T36">
        <v>110.66311631284344</v>
      </c>
    </row>
    <row r="37" spans="1:20" x14ac:dyDescent="0.3">
      <c r="A37">
        <f t="shared" si="1"/>
        <v>31</v>
      </c>
      <c r="B37">
        <v>1721.974691295406</v>
      </c>
      <c r="C37">
        <v>0</v>
      </c>
      <c r="D37">
        <v>0</v>
      </c>
      <c r="E37">
        <v>0</v>
      </c>
      <c r="F37">
        <v>1603.6130210696151</v>
      </c>
      <c r="G37">
        <v>1498.7991474635869</v>
      </c>
      <c r="H37">
        <v>0</v>
      </c>
      <c r="I37">
        <v>1319.4035155715101</v>
      </c>
      <c r="J37">
        <v>0</v>
      </c>
      <c r="K37">
        <v>218.75259641878023</v>
      </c>
      <c r="L37">
        <v>0</v>
      </c>
      <c r="M37">
        <v>104.6927355434204</v>
      </c>
      <c r="N37">
        <v>1721.974691295406</v>
      </c>
      <c r="O37">
        <v>149.35721466910832</v>
      </c>
      <c r="P37">
        <v>133.67890798528114</v>
      </c>
      <c r="Q37">
        <v>206.37401654642144</v>
      </c>
      <c r="R37">
        <v>1124.4001824330169</v>
      </c>
      <c r="S37">
        <v>117.99740761089789</v>
      </c>
      <c r="T37">
        <v>106.57720478320196</v>
      </c>
    </row>
    <row r="38" spans="1:20" x14ac:dyDescent="0.3">
      <c r="A38">
        <f t="shared" si="1"/>
        <v>32</v>
      </c>
      <c r="B38">
        <v>674.93436762584622</v>
      </c>
      <c r="C38">
        <v>0</v>
      </c>
      <c r="D38">
        <v>0</v>
      </c>
      <c r="E38">
        <v>0</v>
      </c>
      <c r="F38">
        <v>548.93809368360598</v>
      </c>
      <c r="G38">
        <v>455.39867449487429</v>
      </c>
      <c r="H38">
        <v>0</v>
      </c>
      <c r="I38">
        <v>306.81896074802648</v>
      </c>
      <c r="J38">
        <v>0</v>
      </c>
      <c r="K38">
        <v>202.01190994595197</v>
      </c>
      <c r="L38">
        <v>0</v>
      </c>
      <c r="M38">
        <v>99.483391050271749</v>
      </c>
      <c r="N38">
        <v>674.93436762584622</v>
      </c>
      <c r="O38">
        <v>138.14509255950549</v>
      </c>
      <c r="P38">
        <v>103.42030487503661</v>
      </c>
      <c r="Q38">
        <v>156.77688988775552</v>
      </c>
      <c r="R38">
        <v>110.32979209553903</v>
      </c>
      <c r="S38">
        <v>106.16473327470734</v>
      </c>
      <c r="T38">
        <v>101.27409208917663</v>
      </c>
    </row>
    <row r="39" spans="1:20" x14ac:dyDescent="0.3">
      <c r="A39">
        <f t="shared" si="1"/>
        <v>33</v>
      </c>
      <c r="B39">
        <v>1547.4934994848866</v>
      </c>
      <c r="C39">
        <v>0</v>
      </c>
      <c r="D39">
        <v>0</v>
      </c>
      <c r="E39">
        <v>0</v>
      </c>
      <c r="F39">
        <v>1473.374764169226</v>
      </c>
      <c r="G39">
        <v>400.00328623243558</v>
      </c>
      <c r="H39">
        <v>0</v>
      </c>
      <c r="I39">
        <v>306.50793178844253</v>
      </c>
      <c r="J39">
        <v>0</v>
      </c>
      <c r="K39">
        <v>202.8080123672425</v>
      </c>
      <c r="L39">
        <v>0</v>
      </c>
      <c r="M39">
        <v>105.03152797787637</v>
      </c>
      <c r="N39">
        <v>1547.4934994848866</v>
      </c>
      <c r="O39">
        <v>101.9736183063887</v>
      </c>
      <c r="P39">
        <v>1099.8922236918363</v>
      </c>
      <c r="Q39">
        <v>100.69541359617686</v>
      </c>
      <c r="R39">
        <v>109.21706219339202</v>
      </c>
      <c r="S39">
        <v>101.42702861197648</v>
      </c>
      <c r="T39">
        <v>106.92209548147814</v>
      </c>
    </row>
    <row r="40" spans="1:20" x14ac:dyDescent="0.3">
      <c r="A40">
        <f t="shared" si="1"/>
        <v>34</v>
      </c>
      <c r="B40">
        <v>2834.3947843790475</v>
      </c>
      <c r="C40">
        <v>0</v>
      </c>
      <c r="D40">
        <v>0</v>
      </c>
      <c r="E40">
        <v>0</v>
      </c>
      <c r="F40">
        <v>2767.8883534184415</v>
      </c>
      <c r="G40">
        <v>2715.2423796316152</v>
      </c>
      <c r="H40">
        <v>0</v>
      </c>
      <c r="I40">
        <v>2488.522497687572</v>
      </c>
      <c r="J40">
        <v>0</v>
      </c>
      <c r="K40">
        <v>2430.8376839723705</v>
      </c>
      <c r="L40">
        <v>0</v>
      </c>
      <c r="M40">
        <v>2363.4577603143416</v>
      </c>
      <c r="N40">
        <v>2834.3947843790475</v>
      </c>
      <c r="O40">
        <v>117.5255370794294</v>
      </c>
      <c r="P40">
        <v>102.46796414835825</v>
      </c>
      <c r="Q40">
        <v>275.59424477741186</v>
      </c>
      <c r="R40">
        <v>102.47821867357816</v>
      </c>
      <c r="S40">
        <v>111.13500196953143</v>
      </c>
      <c r="T40">
        <v>2406</v>
      </c>
    </row>
    <row r="41" spans="1:20" x14ac:dyDescent="0.3">
      <c r="A41">
        <f t="shared" si="1"/>
        <v>35</v>
      </c>
      <c r="B41">
        <v>2834.1026529831693</v>
      </c>
      <c r="C41">
        <v>0</v>
      </c>
      <c r="D41">
        <v>0</v>
      </c>
      <c r="E41">
        <v>0</v>
      </c>
      <c r="F41">
        <v>2784.0412470228503</v>
      </c>
      <c r="G41">
        <v>2732.7365242896012</v>
      </c>
      <c r="H41">
        <v>0</v>
      </c>
      <c r="I41">
        <v>2679.4705244542747</v>
      </c>
      <c r="J41">
        <v>0</v>
      </c>
      <c r="K41">
        <v>2619.4278031293625</v>
      </c>
      <c r="L41">
        <v>0</v>
      </c>
      <c r="M41">
        <v>2363.4577603143416</v>
      </c>
      <c r="N41">
        <v>2834.1026529831693</v>
      </c>
      <c r="O41">
        <v>101.07525371401597</v>
      </c>
      <c r="P41">
        <v>101.41746517966101</v>
      </c>
      <c r="Q41">
        <v>102.45525727253914</v>
      </c>
      <c r="R41">
        <v>108.27319076508878</v>
      </c>
      <c r="S41">
        <v>303.11974327134965</v>
      </c>
      <c r="T41">
        <v>2406</v>
      </c>
    </row>
    <row r="42" spans="1:20" x14ac:dyDescent="0.3">
      <c r="A42">
        <f t="shared" si="1"/>
        <v>36</v>
      </c>
      <c r="B42">
        <v>1011.6676703809582</v>
      </c>
      <c r="C42">
        <v>0</v>
      </c>
      <c r="D42">
        <v>0</v>
      </c>
      <c r="E42">
        <v>0</v>
      </c>
      <c r="F42">
        <v>919.37781450014495</v>
      </c>
      <c r="G42">
        <v>485.81173984378279</v>
      </c>
      <c r="H42">
        <v>0</v>
      </c>
      <c r="I42">
        <v>393.88045771955115</v>
      </c>
      <c r="J42">
        <v>0</v>
      </c>
      <c r="K42">
        <v>298.08717936648111</v>
      </c>
      <c r="L42">
        <v>0</v>
      </c>
      <c r="M42">
        <v>119.26095670899331</v>
      </c>
      <c r="N42">
        <v>1011.6676703809582</v>
      </c>
      <c r="O42">
        <v>110.49987394767037</v>
      </c>
      <c r="P42">
        <v>450.11487531736492</v>
      </c>
      <c r="Q42">
        <v>100.67589344141966</v>
      </c>
      <c r="R42">
        <v>102.88312659202202</v>
      </c>
      <c r="S42">
        <v>184.19179188608445</v>
      </c>
      <c r="T42">
        <v>121.40765392975518</v>
      </c>
    </row>
    <row r="43" spans="1:20" x14ac:dyDescent="0.3">
      <c r="A43">
        <f t="shared" si="1"/>
        <v>37</v>
      </c>
      <c r="B43">
        <v>826.46550451405778</v>
      </c>
      <c r="C43">
        <v>0</v>
      </c>
      <c r="D43">
        <v>0</v>
      </c>
      <c r="E43">
        <v>0</v>
      </c>
      <c r="F43">
        <v>731.20942500082697</v>
      </c>
      <c r="G43">
        <v>639.15223061873849</v>
      </c>
      <c r="H43">
        <v>0</v>
      </c>
      <c r="I43">
        <v>498.507318855037</v>
      </c>
      <c r="J43">
        <v>0</v>
      </c>
      <c r="K43">
        <v>224.96495806022784</v>
      </c>
      <c r="L43">
        <v>0</v>
      </c>
      <c r="M43">
        <v>106.32921126278583</v>
      </c>
      <c r="N43">
        <v>826.46550451405778</v>
      </c>
      <c r="O43">
        <v>110.13245859448391</v>
      </c>
      <c r="P43">
        <v>105.21896403210327</v>
      </c>
      <c r="Q43">
        <v>152.14965191483881</v>
      </c>
      <c r="R43">
        <v>282.51549253419978</v>
      </c>
      <c r="S43">
        <v>122.68511604252612</v>
      </c>
      <c r="T43">
        <v>108.24313706551598</v>
      </c>
    </row>
    <row r="44" spans="1:20" x14ac:dyDescent="0.3">
      <c r="A44">
        <f t="shared" si="1"/>
        <v>38</v>
      </c>
      <c r="B44">
        <v>1705.3275449973701</v>
      </c>
      <c r="C44">
        <v>0</v>
      </c>
      <c r="D44">
        <v>0</v>
      </c>
      <c r="E44">
        <v>0</v>
      </c>
      <c r="F44">
        <v>1633.1743814623608</v>
      </c>
      <c r="G44">
        <v>1562.2908087493038</v>
      </c>
      <c r="H44">
        <v>0</v>
      </c>
      <c r="I44">
        <v>308.58357985488021</v>
      </c>
      <c r="J44">
        <v>0</v>
      </c>
      <c r="K44">
        <v>211.27265402850722</v>
      </c>
      <c r="L44">
        <v>0</v>
      </c>
      <c r="M44">
        <v>111.69899502891609</v>
      </c>
      <c r="N44">
        <v>1705.3275449973701</v>
      </c>
      <c r="O44">
        <v>102.84905934496172</v>
      </c>
      <c r="P44">
        <v>100.28071157937956</v>
      </c>
      <c r="Q44">
        <v>1281.8284634519109</v>
      </c>
      <c r="R44">
        <v>102.86543026376086</v>
      </c>
      <c r="S44">
        <v>103.37656677210427</v>
      </c>
      <c r="T44">
        <v>113.70957693943657</v>
      </c>
    </row>
    <row r="45" spans="1:20" x14ac:dyDescent="0.3">
      <c r="A45">
        <f t="shared" si="1"/>
        <v>39</v>
      </c>
      <c r="B45">
        <v>777.44426381878247</v>
      </c>
      <c r="C45">
        <v>0</v>
      </c>
      <c r="D45">
        <v>0</v>
      </c>
      <c r="E45">
        <v>0</v>
      </c>
      <c r="F45">
        <v>655.80603279686648</v>
      </c>
      <c r="G45">
        <v>476.70225634966863</v>
      </c>
      <c r="H45">
        <v>0</v>
      </c>
      <c r="I45">
        <v>360.23218522397212</v>
      </c>
      <c r="J45">
        <v>0</v>
      </c>
      <c r="K45">
        <v>266.7002990293912</v>
      </c>
      <c r="L45">
        <v>0</v>
      </c>
      <c r="M45">
        <v>159.20481792466811</v>
      </c>
      <c r="N45">
        <v>777.44426381878247</v>
      </c>
      <c r="O45">
        <v>135.63222777065411</v>
      </c>
      <c r="P45">
        <v>190.90828503754145</v>
      </c>
      <c r="Q45">
        <v>125.05071173999052</v>
      </c>
      <c r="R45">
        <v>100.01606552861242</v>
      </c>
      <c r="S45">
        <v>112.29608648725215</v>
      </c>
      <c r="T45">
        <v>162.07050464731213</v>
      </c>
    </row>
    <row r="46" spans="1:20" x14ac:dyDescent="0.3">
      <c r="A46">
        <f t="shared" si="1"/>
        <v>40</v>
      </c>
      <c r="B46">
        <v>4063.7099152397277</v>
      </c>
      <c r="C46">
        <v>0</v>
      </c>
      <c r="D46">
        <v>0</v>
      </c>
      <c r="E46">
        <v>0</v>
      </c>
      <c r="F46">
        <v>2669.4348083837804</v>
      </c>
      <c r="G46">
        <v>2609.2275445664345</v>
      </c>
      <c r="H46">
        <v>0</v>
      </c>
      <c r="I46">
        <v>2553.4810871572099</v>
      </c>
      <c r="J46">
        <v>0</v>
      </c>
      <c r="K46">
        <v>2432.6126112310603</v>
      </c>
      <c r="L46">
        <v>0</v>
      </c>
      <c r="M46">
        <v>2363.4577603143416</v>
      </c>
      <c r="N46">
        <v>4063.7099152397277</v>
      </c>
      <c r="O46">
        <v>1467.4218853302627</v>
      </c>
      <c r="P46">
        <v>108.25709036825423</v>
      </c>
      <c r="Q46">
        <v>102.71255321142006</v>
      </c>
      <c r="R46">
        <v>166.83113549497961</v>
      </c>
      <c r="S46">
        <v>112.94187791887768</v>
      </c>
      <c r="T46">
        <v>2406</v>
      </c>
    </row>
    <row r="47" spans="1:20" x14ac:dyDescent="0.3">
      <c r="A47">
        <f t="shared" si="1"/>
        <v>41</v>
      </c>
      <c r="B47">
        <v>5022.4223717689092</v>
      </c>
      <c r="C47">
        <v>0</v>
      </c>
      <c r="D47">
        <v>0</v>
      </c>
      <c r="E47">
        <v>0</v>
      </c>
      <c r="F47">
        <v>3038.1000210181437</v>
      </c>
      <c r="G47">
        <v>2961.1323972878045</v>
      </c>
      <c r="H47">
        <v>0</v>
      </c>
      <c r="I47">
        <v>608.43278043898522</v>
      </c>
      <c r="J47">
        <v>0</v>
      </c>
      <c r="K47">
        <v>489.64041704253736</v>
      </c>
      <c r="L47">
        <v>0</v>
      </c>
      <c r="M47">
        <v>352.82159212322409</v>
      </c>
      <c r="N47">
        <v>5022.4223717689092</v>
      </c>
      <c r="O47">
        <v>2074.7259534426057</v>
      </c>
      <c r="P47">
        <v>131.65342410866609</v>
      </c>
      <c r="Q47">
        <v>2406</v>
      </c>
      <c r="R47">
        <v>129.74415344434948</v>
      </c>
      <c r="S47">
        <v>145.63235242607897</v>
      </c>
      <c r="T47">
        <v>359.17238078144214</v>
      </c>
    </row>
    <row r="48" spans="1:20" x14ac:dyDescent="0.3">
      <c r="A48">
        <f t="shared" si="1"/>
        <v>42</v>
      </c>
      <c r="B48">
        <v>769.54340636561381</v>
      </c>
      <c r="C48">
        <v>0</v>
      </c>
      <c r="D48">
        <v>0</v>
      </c>
      <c r="E48">
        <v>0</v>
      </c>
      <c r="F48">
        <v>497.03378135431285</v>
      </c>
      <c r="G48">
        <v>395.19444915585257</v>
      </c>
      <c r="H48">
        <v>0</v>
      </c>
      <c r="I48">
        <v>301.623018918284</v>
      </c>
      <c r="J48">
        <v>0</v>
      </c>
      <c r="K48">
        <v>204.40746544836244</v>
      </c>
      <c r="L48">
        <v>0</v>
      </c>
      <c r="M48">
        <v>99.352825393049429</v>
      </c>
      <c r="N48">
        <v>769.54340636561381</v>
      </c>
      <c r="O48">
        <v>286.36140632588194</v>
      </c>
      <c r="P48">
        <v>110.7859402628379</v>
      </c>
      <c r="Q48">
        <v>100.68493032237392</v>
      </c>
      <c r="R48">
        <v>102.64476781045065</v>
      </c>
      <c r="S48">
        <v>108.73397443338354</v>
      </c>
      <c r="T48">
        <v>101.14117625012432</v>
      </c>
    </row>
    <row r="49" spans="1:20" x14ac:dyDescent="0.3">
      <c r="A49">
        <f t="shared" si="1"/>
        <v>43</v>
      </c>
      <c r="B49">
        <v>2002.5882829000718</v>
      </c>
      <c r="C49">
        <v>0</v>
      </c>
      <c r="D49">
        <v>0</v>
      </c>
      <c r="E49">
        <v>0</v>
      </c>
      <c r="F49">
        <v>677.78135339548794</v>
      </c>
      <c r="G49">
        <v>486.84515322520406</v>
      </c>
      <c r="H49">
        <v>0</v>
      </c>
      <c r="I49">
        <v>372.66396195140879</v>
      </c>
      <c r="J49">
        <v>0</v>
      </c>
      <c r="K49">
        <v>209.91251990036034</v>
      </c>
      <c r="L49">
        <v>0</v>
      </c>
      <c r="M49">
        <v>99.186468083140483</v>
      </c>
      <c r="N49">
        <v>2002.5882829000718</v>
      </c>
      <c r="O49">
        <v>1360.8535185967851</v>
      </c>
      <c r="P49">
        <v>203.13626453140273</v>
      </c>
      <c r="Q49">
        <v>122.9444040318489</v>
      </c>
      <c r="R49">
        <v>169.4593933661738</v>
      </c>
      <c r="S49">
        <v>114.50447717542636</v>
      </c>
      <c r="T49">
        <v>100.97182450863701</v>
      </c>
    </row>
    <row r="50" spans="1:20" x14ac:dyDescent="0.3">
      <c r="A50">
        <f t="shared" si="1"/>
        <v>44</v>
      </c>
      <c r="B50">
        <v>2771.919535700295</v>
      </c>
      <c r="C50">
        <v>0</v>
      </c>
      <c r="D50">
        <v>0</v>
      </c>
      <c r="E50">
        <v>0</v>
      </c>
      <c r="F50">
        <v>2715.375658320545</v>
      </c>
      <c r="G50">
        <v>2659.5883548837801</v>
      </c>
      <c r="H50">
        <v>0</v>
      </c>
      <c r="I50">
        <v>301.46094527168862</v>
      </c>
      <c r="J50">
        <v>0</v>
      </c>
      <c r="K50">
        <v>201.79898257567584</v>
      </c>
      <c r="L50">
        <v>0</v>
      </c>
      <c r="M50">
        <v>105.36662050781787</v>
      </c>
      <c r="N50">
        <v>2771.919535700295</v>
      </c>
      <c r="O50">
        <v>106.43842902235468</v>
      </c>
      <c r="P50">
        <v>104.66406528653475</v>
      </c>
      <c r="Q50">
        <v>2406</v>
      </c>
      <c r="R50">
        <v>105.08825971090317</v>
      </c>
      <c r="S50">
        <v>100.06474375422013</v>
      </c>
      <c r="T50">
        <v>107.2632196769586</v>
      </c>
    </row>
    <row r="51" spans="1:20" x14ac:dyDescent="0.3">
      <c r="A51">
        <f t="shared" si="1"/>
        <v>45</v>
      </c>
      <c r="B51">
        <v>4024.8826445043151</v>
      </c>
      <c r="C51">
        <v>0</v>
      </c>
      <c r="D51">
        <v>0</v>
      </c>
      <c r="E51">
        <v>0</v>
      </c>
      <c r="F51">
        <v>1691.3305321053926</v>
      </c>
      <c r="G51">
        <v>1613.8852910326855</v>
      </c>
      <c r="H51">
        <v>0</v>
      </c>
      <c r="I51">
        <v>1534.8806375769198</v>
      </c>
      <c r="J51">
        <v>0</v>
      </c>
      <c r="K51">
        <v>393.92184480511924</v>
      </c>
      <c r="L51">
        <v>0</v>
      </c>
      <c r="M51">
        <v>195.92713476438112</v>
      </c>
      <c r="N51">
        <v>4024.8826445043151</v>
      </c>
      <c r="O51">
        <v>2406</v>
      </c>
      <c r="P51">
        <v>107.88919065060433</v>
      </c>
      <c r="Q51">
        <v>108.05458869435391</v>
      </c>
      <c r="R51">
        <v>1168.5866442481852</v>
      </c>
      <c r="S51">
        <v>205.08530324723023</v>
      </c>
      <c r="T51">
        <v>199.45382319013999</v>
      </c>
    </row>
    <row r="52" spans="1:20" x14ac:dyDescent="0.3">
      <c r="A52">
        <f t="shared" si="1"/>
        <v>46</v>
      </c>
      <c r="B52">
        <v>1103.4962734507058</v>
      </c>
      <c r="C52">
        <v>0</v>
      </c>
      <c r="D52">
        <v>0</v>
      </c>
      <c r="E52">
        <v>0</v>
      </c>
      <c r="F52">
        <v>970.12249215791803</v>
      </c>
      <c r="G52">
        <v>818.37260114017408</v>
      </c>
      <c r="H52">
        <v>0</v>
      </c>
      <c r="I52">
        <v>731.37593535896133</v>
      </c>
      <c r="J52">
        <v>0</v>
      </c>
      <c r="K52">
        <v>627.22668058949307</v>
      </c>
      <c r="L52">
        <v>0</v>
      </c>
      <c r="M52">
        <v>537.89697251530959</v>
      </c>
      <c r="N52">
        <v>1103.4962734507058</v>
      </c>
      <c r="O52">
        <v>153.2367142149005</v>
      </c>
      <c r="P52">
        <v>169.2120958765864</v>
      </c>
      <c r="Q52">
        <v>101.72737260173591</v>
      </c>
      <c r="R52">
        <v>117.31402160592958</v>
      </c>
      <c r="S52">
        <v>100.61978832479434</v>
      </c>
      <c r="T52">
        <v>547.57911802058516</v>
      </c>
    </row>
    <row r="53" spans="1:20" x14ac:dyDescent="0.3">
      <c r="A53">
        <f t="shared" si="1"/>
        <v>47</v>
      </c>
      <c r="B53">
        <v>687.64875286310723</v>
      </c>
      <c r="C53">
        <v>0</v>
      </c>
      <c r="D53">
        <v>0</v>
      </c>
      <c r="E53">
        <v>0</v>
      </c>
      <c r="F53">
        <v>571.39498474760489</v>
      </c>
      <c r="G53">
        <v>473.58389498367637</v>
      </c>
      <c r="H53">
        <v>0</v>
      </c>
      <c r="I53">
        <v>367.81172020332286</v>
      </c>
      <c r="J53">
        <v>0</v>
      </c>
      <c r="K53">
        <v>227.25125066742896</v>
      </c>
      <c r="L53">
        <v>0</v>
      </c>
      <c r="M53">
        <v>118.4090308639192</v>
      </c>
      <c r="N53">
        <v>687.64875286310723</v>
      </c>
      <c r="O53">
        <v>128.63144566703832</v>
      </c>
      <c r="P53">
        <v>108.09619948938537</v>
      </c>
      <c r="Q53">
        <v>114.29668489005965</v>
      </c>
      <c r="R53">
        <v>147.18108049955373</v>
      </c>
      <c r="S53">
        <v>112.93274231552347</v>
      </c>
      <c r="T53">
        <v>120.54039341946975</v>
      </c>
    </row>
    <row r="54" spans="1:20" x14ac:dyDescent="0.3">
      <c r="A54">
        <f t="shared" si="1"/>
        <v>48</v>
      </c>
      <c r="B54">
        <v>2969.7027413988362</v>
      </c>
      <c r="C54">
        <v>0</v>
      </c>
      <c r="D54">
        <v>0</v>
      </c>
      <c r="E54">
        <v>0</v>
      </c>
      <c r="F54">
        <v>617.15739074401517</v>
      </c>
      <c r="G54">
        <v>525.02218858354388</v>
      </c>
      <c r="H54">
        <v>0</v>
      </c>
      <c r="I54">
        <v>339.9136777388286</v>
      </c>
      <c r="J54">
        <v>0</v>
      </c>
      <c r="K54">
        <v>218.10260994878644</v>
      </c>
      <c r="L54">
        <v>0</v>
      </c>
      <c r="M54">
        <v>120.79637041724689</v>
      </c>
      <c r="N54">
        <v>2969.7027413988362</v>
      </c>
      <c r="O54">
        <v>2406</v>
      </c>
      <c r="P54">
        <v>103.24403519386351</v>
      </c>
      <c r="Q54">
        <v>194.55891023921905</v>
      </c>
      <c r="R54">
        <v>127.9295139893411</v>
      </c>
      <c r="S54">
        <v>101.23208651061771</v>
      </c>
      <c r="T54">
        <v>122.97070508475734</v>
      </c>
    </row>
    <row r="55" spans="1:20" x14ac:dyDescent="0.3">
      <c r="A55">
        <f t="shared" si="1"/>
        <v>49</v>
      </c>
      <c r="B55">
        <v>661.20418500809978</v>
      </c>
      <c r="C55">
        <v>0</v>
      </c>
      <c r="D55">
        <v>0</v>
      </c>
      <c r="E55">
        <v>0</v>
      </c>
      <c r="F55">
        <v>565.2045754583429</v>
      </c>
      <c r="G55">
        <v>469.33037426723081</v>
      </c>
      <c r="H55">
        <v>0</v>
      </c>
      <c r="I55">
        <v>361.34475416030227</v>
      </c>
      <c r="J55">
        <v>0</v>
      </c>
      <c r="K55">
        <v>258.82360949456131</v>
      </c>
      <c r="L55">
        <v>0</v>
      </c>
      <c r="M55">
        <v>104.78968498421909</v>
      </c>
      <c r="N55">
        <v>661.20418500809978</v>
      </c>
      <c r="O55">
        <v>107.90128487990276</v>
      </c>
      <c r="P55">
        <v>106.04788354936233</v>
      </c>
      <c r="Q55">
        <v>116.43356684373865</v>
      </c>
      <c r="R55">
        <v>109.02535024062638</v>
      </c>
      <c r="S55">
        <v>158.69274948124433</v>
      </c>
      <c r="T55">
        <v>106.67589931393503</v>
      </c>
    </row>
    <row r="56" spans="1:20" x14ac:dyDescent="0.3">
      <c r="A56">
        <f t="shared" si="1"/>
        <v>50</v>
      </c>
      <c r="B56">
        <v>3147.0769331147576</v>
      </c>
      <c r="C56">
        <v>0</v>
      </c>
      <c r="D56">
        <v>0</v>
      </c>
      <c r="E56">
        <v>0</v>
      </c>
      <c r="F56">
        <v>797.72431791082317</v>
      </c>
      <c r="G56">
        <v>707.66297390624129</v>
      </c>
      <c r="H56">
        <v>0</v>
      </c>
      <c r="I56">
        <v>354.55730181134942</v>
      </c>
      <c r="J56">
        <v>0</v>
      </c>
      <c r="K56">
        <v>255.02070089374629</v>
      </c>
      <c r="L56">
        <v>0</v>
      </c>
      <c r="M56">
        <v>156.74337722945558</v>
      </c>
      <c r="N56">
        <v>3147.0769331147576</v>
      </c>
      <c r="O56">
        <v>2406</v>
      </c>
      <c r="P56">
        <v>104.42038172697661</v>
      </c>
      <c r="Q56">
        <v>365.84360562520425</v>
      </c>
      <c r="R56">
        <v>105.91863235020742</v>
      </c>
      <c r="S56">
        <v>102.86769628037815</v>
      </c>
      <c r="T56">
        <v>159.56475801958578</v>
      </c>
    </row>
    <row r="57" spans="1:20" x14ac:dyDescent="0.3">
      <c r="A57">
        <f t="shared" si="1"/>
        <v>51</v>
      </c>
      <c r="B57">
        <v>5209.5499101426994</v>
      </c>
      <c r="C57">
        <v>0</v>
      </c>
      <c r="D57">
        <v>0</v>
      </c>
      <c r="E57">
        <v>0</v>
      </c>
      <c r="F57">
        <v>5169.3271526585813</v>
      </c>
      <c r="G57">
        <v>2856.3750414064366</v>
      </c>
      <c r="H57">
        <v>0</v>
      </c>
      <c r="I57">
        <v>501.78979215175264</v>
      </c>
      <c r="J57">
        <v>0</v>
      </c>
      <c r="K57">
        <v>407.21024357572435</v>
      </c>
      <c r="L57">
        <v>0</v>
      </c>
      <c r="M57">
        <v>103.51131035895833</v>
      </c>
      <c r="N57">
        <v>5209.5499101426994</v>
      </c>
      <c r="O57">
        <v>133.9946558666856</v>
      </c>
      <c r="P57">
        <v>2406</v>
      </c>
      <c r="Q57">
        <v>2406</v>
      </c>
      <c r="R57">
        <v>103.61176483475988</v>
      </c>
      <c r="S57">
        <v>311.02871760112907</v>
      </c>
      <c r="T57">
        <v>105.37451394541958</v>
      </c>
    </row>
    <row r="58" spans="1:20" x14ac:dyDescent="0.3">
      <c r="A58">
        <f t="shared" si="1"/>
        <v>52</v>
      </c>
      <c r="B58">
        <v>3181.1218282476848</v>
      </c>
      <c r="C58">
        <v>0</v>
      </c>
      <c r="D58">
        <v>0</v>
      </c>
      <c r="E58">
        <v>0</v>
      </c>
      <c r="F58">
        <v>2893.1895617811556</v>
      </c>
      <c r="G58">
        <v>2832.0967767429729</v>
      </c>
      <c r="H58">
        <v>0</v>
      </c>
      <c r="I58">
        <v>2508.3045743612929</v>
      </c>
      <c r="J58">
        <v>0</v>
      </c>
      <c r="K58">
        <v>2452.6235737912125</v>
      </c>
      <c r="L58">
        <v>0</v>
      </c>
      <c r="M58">
        <v>2363.4577603143416</v>
      </c>
      <c r="N58">
        <v>3181.1218282476848</v>
      </c>
      <c r="O58">
        <v>345.19245937498772</v>
      </c>
      <c r="P58">
        <v>113.17019715024364</v>
      </c>
      <c r="Q58">
        <v>374.76994436305364</v>
      </c>
      <c r="R58">
        <v>100.83048290858373</v>
      </c>
      <c r="S58">
        <v>133.3130378051126</v>
      </c>
      <c r="T58">
        <v>2406</v>
      </c>
    </row>
    <row r="59" spans="1:20" x14ac:dyDescent="0.3">
      <c r="A59">
        <f t="shared" si="1"/>
        <v>53</v>
      </c>
      <c r="B59">
        <v>2767.2512594441432</v>
      </c>
      <c r="C59">
        <v>0</v>
      </c>
      <c r="D59">
        <v>0</v>
      </c>
      <c r="E59">
        <v>0</v>
      </c>
      <c r="F59">
        <v>2710.9630151038282</v>
      </c>
      <c r="G59">
        <v>659.52736932566904</v>
      </c>
      <c r="H59">
        <v>0</v>
      </c>
      <c r="I59">
        <v>548.521259102062</v>
      </c>
      <c r="J59">
        <v>0</v>
      </c>
      <c r="K59">
        <v>448.73885711445314</v>
      </c>
      <c r="L59">
        <v>0</v>
      </c>
      <c r="M59">
        <v>133.99479632099127</v>
      </c>
      <c r="N59">
        <v>2767.2512594441432</v>
      </c>
      <c r="O59">
        <v>106.0987670103094</v>
      </c>
      <c r="P59">
        <v>2100.2329800500279</v>
      </c>
      <c r="Q59">
        <v>122.87760287146919</v>
      </c>
      <c r="R59">
        <v>109.65578465144596</v>
      </c>
      <c r="S59">
        <v>322.82136022152201</v>
      </c>
      <c r="T59">
        <v>136.40670265476911</v>
      </c>
    </row>
    <row r="60" spans="1:20" x14ac:dyDescent="0.3">
      <c r="A60">
        <f t="shared" si="1"/>
        <v>54</v>
      </c>
      <c r="B60">
        <v>3387.7331671875118</v>
      </c>
      <c r="C60">
        <v>0</v>
      </c>
      <c r="D60">
        <v>0</v>
      </c>
      <c r="E60">
        <v>0</v>
      </c>
      <c r="F60">
        <v>3224.3341981160702</v>
      </c>
      <c r="G60">
        <v>3154.316579634864</v>
      </c>
      <c r="H60">
        <v>0</v>
      </c>
      <c r="I60">
        <v>1323.52291098111</v>
      </c>
      <c r="J60">
        <v>0</v>
      </c>
      <c r="K60">
        <v>1236.8586610915256</v>
      </c>
      <c r="L60">
        <v>0</v>
      </c>
      <c r="M60">
        <v>1107.4984227481411</v>
      </c>
      <c r="N60">
        <v>3387.7331671875118</v>
      </c>
      <c r="O60">
        <v>224.37816608081687</v>
      </c>
      <c r="P60">
        <v>128.0556340472956</v>
      </c>
      <c r="Q60">
        <v>1887.571367087181</v>
      </c>
      <c r="R60">
        <v>110.4876622872444</v>
      </c>
      <c r="S60">
        <v>151.62369424303205</v>
      </c>
      <c r="T60">
        <v>1127.4333943576078</v>
      </c>
    </row>
    <row r="61" spans="1:20" x14ac:dyDescent="0.3">
      <c r="A61">
        <f t="shared" si="1"/>
        <v>55</v>
      </c>
      <c r="B61">
        <v>2797.8778067716448</v>
      </c>
      <c r="C61">
        <v>0</v>
      </c>
      <c r="D61">
        <v>0</v>
      </c>
      <c r="E61">
        <v>0</v>
      </c>
      <c r="F61">
        <v>2746.9278626885443</v>
      </c>
      <c r="G61">
        <v>2684.737019426907</v>
      </c>
      <c r="H61">
        <v>0</v>
      </c>
      <c r="I61">
        <v>2531.8625940629918</v>
      </c>
      <c r="J61">
        <v>0</v>
      </c>
      <c r="K61">
        <v>2420.3934167199545</v>
      </c>
      <c r="L61">
        <v>0</v>
      </c>
      <c r="M61">
        <v>2363.4577603143416</v>
      </c>
      <c r="N61">
        <v>2797.8778067716448</v>
      </c>
      <c r="O61">
        <v>101.31174460499035</v>
      </c>
      <c r="P61">
        <v>111.6355447900314</v>
      </c>
      <c r="Q61">
        <v>201.1996917135989</v>
      </c>
      <c r="R61">
        <v>157.04270403617141</v>
      </c>
      <c r="S61">
        <v>100.50273790657201</v>
      </c>
      <c r="T61">
        <v>2406</v>
      </c>
    </row>
    <row r="62" spans="1:20" x14ac:dyDescent="0.3">
      <c r="A62">
        <f t="shared" si="1"/>
        <v>56</v>
      </c>
      <c r="B62">
        <v>2784.8694884579095</v>
      </c>
      <c r="C62">
        <v>0</v>
      </c>
      <c r="D62">
        <v>0</v>
      </c>
      <c r="E62">
        <v>0</v>
      </c>
      <c r="F62">
        <v>2695.6752245679113</v>
      </c>
      <c r="G62">
        <v>2631.2107049652641</v>
      </c>
      <c r="H62">
        <v>0</v>
      </c>
      <c r="I62">
        <v>2575.0418961879964</v>
      </c>
      <c r="J62">
        <v>0</v>
      </c>
      <c r="K62">
        <v>2464.5739044801385</v>
      </c>
      <c r="L62">
        <v>0</v>
      </c>
      <c r="M62">
        <v>102.93623476078136</v>
      </c>
      <c r="N62">
        <v>2784.8694884579095</v>
      </c>
      <c r="O62">
        <v>139.32191468224124</v>
      </c>
      <c r="P62">
        <v>112.98667364486899</v>
      </c>
      <c r="Q62">
        <v>103.53060146664258</v>
      </c>
      <c r="R62">
        <v>156.81874583924179</v>
      </c>
      <c r="S62">
        <v>2406</v>
      </c>
      <c r="T62">
        <v>104.78908698647543</v>
      </c>
    </row>
    <row r="63" spans="1:20" x14ac:dyDescent="0.3">
      <c r="A63">
        <f t="shared" si="1"/>
        <v>57</v>
      </c>
      <c r="B63">
        <v>3479.1433496786926</v>
      </c>
      <c r="C63">
        <v>0</v>
      </c>
      <c r="D63">
        <v>0</v>
      </c>
      <c r="E63">
        <v>0</v>
      </c>
      <c r="F63">
        <v>1541.0491541691224</v>
      </c>
      <c r="G63">
        <v>1436.4674274570616</v>
      </c>
      <c r="H63">
        <v>0</v>
      </c>
      <c r="I63">
        <v>1361.6570483753155</v>
      </c>
      <c r="J63">
        <v>0</v>
      </c>
      <c r="K63">
        <v>1246.4606765912176</v>
      </c>
      <c r="L63">
        <v>0</v>
      </c>
      <c r="M63">
        <v>163.10517318861986</v>
      </c>
      <c r="N63">
        <v>3479.1433496786926</v>
      </c>
      <c r="O63">
        <v>2000.7187758037869</v>
      </c>
      <c r="P63">
        <v>132.32061148710497</v>
      </c>
      <c r="Q63">
        <v>100.66679277597322</v>
      </c>
      <c r="R63">
        <v>139.70619865485355</v>
      </c>
      <c r="S63">
        <v>1105.7917955812395</v>
      </c>
      <c r="T63">
        <v>166.04106630601501</v>
      </c>
    </row>
    <row r="64" spans="1:20" x14ac:dyDescent="0.3">
      <c r="A64">
        <f t="shared" si="1"/>
        <v>58</v>
      </c>
      <c r="B64">
        <v>959.270103746725</v>
      </c>
      <c r="C64">
        <v>0</v>
      </c>
      <c r="D64">
        <v>0</v>
      </c>
      <c r="E64">
        <v>0</v>
      </c>
      <c r="F64">
        <v>795.15100613333448</v>
      </c>
      <c r="G64">
        <v>691.79209629093543</v>
      </c>
      <c r="H64">
        <v>0</v>
      </c>
      <c r="I64">
        <v>424.93290547886386</v>
      </c>
      <c r="J64">
        <v>0</v>
      </c>
      <c r="K64">
        <v>311.16309443397222</v>
      </c>
      <c r="L64">
        <v>0</v>
      </c>
      <c r="M64">
        <v>216.39460218475355</v>
      </c>
      <c r="N64">
        <v>959.270103746725</v>
      </c>
      <c r="O64">
        <v>181.38595948083145</v>
      </c>
      <c r="P64">
        <v>117.67162795279911</v>
      </c>
      <c r="Q64">
        <v>279.31144854530839</v>
      </c>
      <c r="R64">
        <v>121.41860334351118</v>
      </c>
      <c r="S64">
        <v>100.36942794903018</v>
      </c>
      <c r="T64">
        <v>220.28970502407913</v>
      </c>
    </row>
    <row r="65" spans="1:20" x14ac:dyDescent="0.3">
      <c r="A65">
        <f t="shared" si="1"/>
        <v>59</v>
      </c>
      <c r="B65">
        <v>1527.4249211819761</v>
      </c>
      <c r="C65">
        <v>0</v>
      </c>
      <c r="D65">
        <v>0</v>
      </c>
      <c r="E65">
        <v>0</v>
      </c>
      <c r="F65">
        <v>1454.9090275298793</v>
      </c>
      <c r="G65">
        <v>1362.6391334849134</v>
      </c>
      <c r="H65">
        <v>0</v>
      </c>
      <c r="I65">
        <v>1267.9011204890105</v>
      </c>
      <c r="J65">
        <v>0</v>
      </c>
      <c r="K65">
        <v>282.19406384091377</v>
      </c>
      <c r="L65">
        <v>0</v>
      </c>
      <c r="M65">
        <v>182.69602309238871</v>
      </c>
      <c r="N65">
        <v>1527.4249211819761</v>
      </c>
      <c r="O65">
        <v>100.00954223337261</v>
      </c>
      <c r="P65">
        <v>118.45825654050373</v>
      </c>
      <c r="Q65">
        <v>119.26551739863115</v>
      </c>
      <c r="R65">
        <v>1008.529276816899</v>
      </c>
      <c r="S65">
        <v>104.5775338976615</v>
      </c>
      <c r="T65">
        <v>185.98455150805171</v>
      </c>
    </row>
    <row r="66" spans="1:20" x14ac:dyDescent="0.3">
      <c r="A66">
        <f t="shared" si="1"/>
        <v>60</v>
      </c>
      <c r="B66">
        <v>618.82380431235606</v>
      </c>
      <c r="C66">
        <v>0</v>
      </c>
      <c r="D66">
        <v>0</v>
      </c>
      <c r="E66">
        <v>0</v>
      </c>
      <c r="F66">
        <v>512.68025874315776</v>
      </c>
      <c r="G66">
        <v>421.39110595714766</v>
      </c>
      <c r="H66">
        <v>0</v>
      </c>
      <c r="I66">
        <v>323.74226364899516</v>
      </c>
      <c r="J66">
        <v>0</v>
      </c>
      <c r="K66">
        <v>197.36604476101132</v>
      </c>
      <c r="L66">
        <v>0</v>
      </c>
      <c r="M66">
        <v>98.779698151722272</v>
      </c>
      <c r="N66">
        <v>618.82380431235606</v>
      </c>
      <c r="O66">
        <v>117.28237404682066</v>
      </c>
      <c r="P66">
        <v>100.51739744338698</v>
      </c>
      <c r="Q66">
        <v>105.23388221538112</v>
      </c>
      <c r="R66">
        <v>132.20357963366573</v>
      </c>
      <c r="S66">
        <v>102.13893541498726</v>
      </c>
      <c r="T66">
        <v>100.55773271845328</v>
      </c>
    </row>
    <row r="67" spans="1:20" x14ac:dyDescent="0.3">
      <c r="A67">
        <f t="shared" si="1"/>
        <v>61</v>
      </c>
      <c r="B67">
        <v>2916.1138591279218</v>
      </c>
      <c r="C67">
        <v>0</v>
      </c>
      <c r="D67">
        <v>0</v>
      </c>
      <c r="E67">
        <v>0</v>
      </c>
      <c r="F67">
        <v>2865.9133128094395</v>
      </c>
      <c r="G67">
        <v>2812.5651329562324</v>
      </c>
      <c r="H67">
        <v>0</v>
      </c>
      <c r="I67">
        <v>2144.4720464900593</v>
      </c>
      <c r="J67">
        <v>0</v>
      </c>
      <c r="K67">
        <v>230.22339350688262</v>
      </c>
      <c r="L67">
        <v>0</v>
      </c>
      <c r="M67">
        <v>119.09356524736654</v>
      </c>
      <c r="N67">
        <v>2916.1138591279218</v>
      </c>
      <c r="O67">
        <v>102.69059578278508</v>
      </c>
      <c r="P67">
        <v>104.93461948377684</v>
      </c>
      <c r="Q67">
        <v>718.71925885938572</v>
      </c>
      <c r="R67">
        <v>1952.8491498199976</v>
      </c>
      <c r="S67">
        <v>115.27384934263996</v>
      </c>
      <c r="T67">
        <v>121.23724942181914</v>
      </c>
    </row>
    <row r="68" spans="1:20" x14ac:dyDescent="0.3">
      <c r="A68">
        <f t="shared" si="1"/>
        <v>62</v>
      </c>
      <c r="B68">
        <v>3863.3073604493325</v>
      </c>
      <c r="C68">
        <v>0</v>
      </c>
      <c r="D68">
        <v>0</v>
      </c>
      <c r="E68">
        <v>0</v>
      </c>
      <c r="F68">
        <v>1526.846892937421</v>
      </c>
      <c r="G68">
        <v>1441.6742822573979</v>
      </c>
      <c r="H68">
        <v>0</v>
      </c>
      <c r="I68">
        <v>407.99148777679193</v>
      </c>
      <c r="J68">
        <v>0</v>
      </c>
      <c r="K68">
        <v>288.77311191418454</v>
      </c>
      <c r="L68">
        <v>0</v>
      </c>
      <c r="M68">
        <v>172.82791893611272</v>
      </c>
      <c r="N68">
        <v>3863.3073604493325</v>
      </c>
      <c r="O68">
        <v>2406</v>
      </c>
      <c r="P68">
        <v>112.65585475289649</v>
      </c>
      <c r="Q68">
        <v>1059.6329315612393</v>
      </c>
      <c r="R68">
        <v>126.56222264258965</v>
      </c>
      <c r="S68">
        <v>121.14310899252715</v>
      </c>
      <c r="T68">
        <v>175.93882147696274</v>
      </c>
    </row>
    <row r="69" spans="1:20" x14ac:dyDescent="0.3">
      <c r="A69">
        <f t="shared" si="1"/>
        <v>63</v>
      </c>
      <c r="B69">
        <v>3556.0549800957037</v>
      </c>
      <c r="C69">
        <v>0</v>
      </c>
      <c r="D69">
        <v>0</v>
      </c>
      <c r="E69">
        <v>0</v>
      </c>
      <c r="F69">
        <v>3514.23420260491</v>
      </c>
      <c r="G69">
        <v>1171.4904182517987</v>
      </c>
      <c r="H69">
        <v>0</v>
      </c>
      <c r="I69">
        <v>1079.7318137995267</v>
      </c>
      <c r="J69">
        <v>0</v>
      </c>
      <c r="K69">
        <v>996.61684911585371</v>
      </c>
      <c r="L69">
        <v>0</v>
      </c>
      <c r="M69">
        <v>865.92452824405723</v>
      </c>
      <c r="N69">
        <v>3556.0549800957037</v>
      </c>
      <c r="O69">
        <v>105.82976713251615</v>
      </c>
      <c r="P69">
        <v>2406</v>
      </c>
      <c r="Q69">
        <v>112.84543198080436</v>
      </c>
      <c r="R69">
        <v>102.55013733206449</v>
      </c>
      <c r="S69">
        <v>148.63142415588186</v>
      </c>
      <c r="T69">
        <v>881.51116975245031</v>
      </c>
    </row>
    <row r="70" spans="1:20" x14ac:dyDescent="0.3">
      <c r="A70">
        <f t="shared" si="1"/>
        <v>64</v>
      </c>
      <c r="B70">
        <v>998.91550190521991</v>
      </c>
      <c r="C70">
        <v>0</v>
      </c>
      <c r="D70">
        <v>0</v>
      </c>
      <c r="E70">
        <v>0</v>
      </c>
      <c r="F70">
        <v>908.47861932769433</v>
      </c>
      <c r="G70">
        <v>824.5480742179202</v>
      </c>
      <c r="H70">
        <v>0</v>
      </c>
      <c r="I70">
        <v>678.07879688836567</v>
      </c>
      <c r="J70">
        <v>0</v>
      </c>
      <c r="K70">
        <v>208.97753510416527</v>
      </c>
      <c r="L70">
        <v>0</v>
      </c>
      <c r="M70">
        <v>108.60812397478612</v>
      </c>
      <c r="N70">
        <v>998.91550190521991</v>
      </c>
      <c r="O70">
        <v>108.41736161181953</v>
      </c>
      <c r="P70">
        <v>100.28316025767263</v>
      </c>
      <c r="Q70">
        <v>161.31114266547709</v>
      </c>
      <c r="R70">
        <v>481.30668012819103</v>
      </c>
      <c r="S70">
        <v>104.13100676125411</v>
      </c>
      <c r="T70">
        <v>110.56307020633227</v>
      </c>
    </row>
    <row r="71" spans="1:20" x14ac:dyDescent="0.3">
      <c r="A71">
        <f t="shared" si="1"/>
        <v>65</v>
      </c>
      <c r="B71">
        <v>588.67300772050908</v>
      </c>
      <c r="C71">
        <v>0</v>
      </c>
      <c r="D71">
        <v>0</v>
      </c>
      <c r="E71">
        <v>0</v>
      </c>
      <c r="F71">
        <v>490.1545269507601</v>
      </c>
      <c r="G71">
        <v>397.51763444056627</v>
      </c>
      <c r="H71">
        <v>0</v>
      </c>
      <c r="I71">
        <v>303.92225681785754</v>
      </c>
      <c r="J71">
        <v>0</v>
      </c>
      <c r="K71">
        <v>206.94315686773018</v>
      </c>
      <c r="L71">
        <v>0</v>
      </c>
      <c r="M71">
        <v>106.4386281277434</v>
      </c>
      <c r="N71">
        <v>588.67300772050908</v>
      </c>
      <c r="O71">
        <v>109.11459490871819</v>
      </c>
      <c r="P71">
        <v>101.45967399530747</v>
      </c>
      <c r="Q71">
        <v>100.75069504263891</v>
      </c>
      <c r="R71">
        <v>102.4497005728488</v>
      </c>
      <c r="S71">
        <v>104.22950556360593</v>
      </c>
      <c r="T71">
        <v>108.35452343404278</v>
      </c>
    </row>
    <row r="72" spans="1:20" x14ac:dyDescent="0.3">
      <c r="A72">
        <f t="shared" si="1"/>
        <v>66</v>
      </c>
      <c r="B72">
        <v>717.97995681438033</v>
      </c>
      <c r="C72">
        <v>0</v>
      </c>
      <c r="D72">
        <v>0</v>
      </c>
      <c r="E72">
        <v>0</v>
      </c>
      <c r="F72">
        <v>628.10849464959279</v>
      </c>
      <c r="G72">
        <v>536.65950010371489</v>
      </c>
      <c r="H72">
        <v>0</v>
      </c>
      <c r="I72">
        <v>433.11399558963473</v>
      </c>
      <c r="J72">
        <v>0</v>
      </c>
      <c r="K72">
        <v>332.66315046963882</v>
      </c>
      <c r="L72">
        <v>0</v>
      </c>
      <c r="M72">
        <v>138.4651005218154</v>
      </c>
      <c r="N72">
        <v>717.97995681438033</v>
      </c>
      <c r="O72">
        <v>102.79510138744629</v>
      </c>
      <c r="P72">
        <v>102.75494744957069</v>
      </c>
      <c r="Q72">
        <v>113.20537551594695</v>
      </c>
      <c r="R72">
        <v>108.24689704060938</v>
      </c>
      <c r="S72">
        <v>200.1859866562769</v>
      </c>
      <c r="T72">
        <v>140.95747233120807</v>
      </c>
    </row>
    <row r="73" spans="1:20" x14ac:dyDescent="0.3">
      <c r="A73">
        <f t="shared" ref="A73:A106" si="2">A72 + 1</f>
        <v>67</v>
      </c>
      <c r="B73">
        <v>728.03562414648877</v>
      </c>
      <c r="C73">
        <v>0</v>
      </c>
      <c r="D73">
        <v>0</v>
      </c>
      <c r="E73">
        <v>0</v>
      </c>
      <c r="F73">
        <v>613.96247716924904</v>
      </c>
      <c r="G73">
        <v>523.7913788287193</v>
      </c>
      <c r="H73">
        <v>0</v>
      </c>
      <c r="I73">
        <v>432.53593656098838</v>
      </c>
      <c r="J73">
        <v>0</v>
      </c>
      <c r="K73">
        <v>339.63969840991251</v>
      </c>
      <c r="L73">
        <v>0</v>
      </c>
      <c r="M73">
        <v>98.444763922236277</v>
      </c>
      <c r="N73">
        <v>728.03562414648877</v>
      </c>
      <c r="O73">
        <v>127.17778821187636</v>
      </c>
      <c r="P73">
        <v>101.22242292957628</v>
      </c>
      <c r="Q73">
        <v>100.68368708664785</v>
      </c>
      <c r="R73">
        <v>100.68188500917368</v>
      </c>
      <c r="S73">
        <v>247.30844905905462</v>
      </c>
      <c r="T73">
        <v>100.21676967283653</v>
      </c>
    </row>
    <row r="74" spans="1:20" x14ac:dyDescent="0.3">
      <c r="A74">
        <f t="shared" si="2"/>
        <v>68</v>
      </c>
      <c r="B74">
        <v>5009.0773238426118</v>
      </c>
      <c r="C74">
        <v>0</v>
      </c>
      <c r="D74">
        <v>0</v>
      </c>
      <c r="E74">
        <v>0</v>
      </c>
      <c r="F74">
        <v>4992.2417518641469</v>
      </c>
      <c r="G74">
        <v>4963.2245837291257</v>
      </c>
      <c r="H74">
        <v>0</v>
      </c>
      <c r="I74">
        <v>4877.5309703636203</v>
      </c>
      <c r="J74">
        <v>0</v>
      </c>
      <c r="K74">
        <v>2559.326527830166</v>
      </c>
      <c r="L74">
        <v>0</v>
      </c>
      <c r="M74">
        <v>199.39440533110931</v>
      </c>
      <c r="N74">
        <v>5009.0773238426118</v>
      </c>
      <c r="O74">
        <v>106.99896380763174</v>
      </c>
      <c r="P74">
        <v>118.87751966857553</v>
      </c>
      <c r="Q74">
        <v>175.03165587262936</v>
      </c>
      <c r="R74">
        <v>2406</v>
      </c>
      <c r="S74">
        <v>2406</v>
      </c>
      <c r="T74">
        <v>202.98350462706929</v>
      </c>
    </row>
    <row r="75" spans="1:20" x14ac:dyDescent="0.3">
      <c r="A75">
        <f t="shared" si="2"/>
        <v>69</v>
      </c>
      <c r="B75">
        <v>1211.1284731604148</v>
      </c>
      <c r="C75">
        <v>0</v>
      </c>
      <c r="D75">
        <v>0</v>
      </c>
      <c r="E75">
        <v>0</v>
      </c>
      <c r="F75">
        <v>1085.9998619966145</v>
      </c>
      <c r="G75">
        <v>983.16353687799392</v>
      </c>
      <c r="H75">
        <v>0</v>
      </c>
      <c r="I75">
        <v>847.77037217155248</v>
      </c>
      <c r="J75">
        <v>0</v>
      </c>
      <c r="K75">
        <v>710.48214893619536</v>
      </c>
      <c r="L75">
        <v>0</v>
      </c>
      <c r="M75">
        <v>589.03793948703515</v>
      </c>
      <c r="N75">
        <v>1211.1284731604148</v>
      </c>
      <c r="O75">
        <v>146.92892368068789</v>
      </c>
      <c r="P75">
        <v>122.38432263455962</v>
      </c>
      <c r="Q75">
        <v>153.09010837024522</v>
      </c>
      <c r="R75">
        <v>152.54808993444519</v>
      </c>
      <c r="S75">
        <v>134.2328881300117</v>
      </c>
      <c r="T75">
        <v>599.64062239780174</v>
      </c>
    </row>
    <row r="76" spans="1:20" x14ac:dyDescent="0.3">
      <c r="A76">
        <f t="shared" si="2"/>
        <v>70</v>
      </c>
      <c r="B76">
        <v>3096.4850333955615</v>
      </c>
      <c r="C76">
        <v>0</v>
      </c>
      <c r="D76">
        <v>0</v>
      </c>
      <c r="E76">
        <v>0</v>
      </c>
      <c r="F76">
        <v>3042.821597362723</v>
      </c>
      <c r="G76">
        <v>691.59238611525222</v>
      </c>
      <c r="H76">
        <v>0</v>
      </c>
      <c r="I76">
        <v>508.5835803699195</v>
      </c>
      <c r="J76">
        <v>0</v>
      </c>
      <c r="K76">
        <v>263.53438865074816</v>
      </c>
      <c r="L76">
        <v>0</v>
      </c>
      <c r="M76">
        <v>153.29790117680426</v>
      </c>
      <c r="N76">
        <v>3096.4850333955615</v>
      </c>
      <c r="O76">
        <v>109.40016663395888</v>
      </c>
      <c r="P76">
        <v>2406</v>
      </c>
      <c r="Q76">
        <v>195.45746869540727</v>
      </c>
      <c r="R76">
        <v>254.20369616582991</v>
      </c>
      <c r="S76">
        <v>114.98010646965734</v>
      </c>
      <c r="T76">
        <v>156.05726339798673</v>
      </c>
    </row>
    <row r="77" spans="1:20" x14ac:dyDescent="0.3">
      <c r="A77">
        <f t="shared" si="2"/>
        <v>71</v>
      </c>
      <c r="B77">
        <v>1229.7203778479497</v>
      </c>
      <c r="C77">
        <v>0</v>
      </c>
      <c r="D77">
        <v>0</v>
      </c>
      <c r="E77">
        <v>0</v>
      </c>
      <c r="F77">
        <v>1151.5592426751778</v>
      </c>
      <c r="G77">
        <v>1070.1319044434581</v>
      </c>
      <c r="H77">
        <v>0</v>
      </c>
      <c r="I77">
        <v>982.58654983560427</v>
      </c>
      <c r="J77">
        <v>0</v>
      </c>
      <c r="K77">
        <v>873.13732305238841</v>
      </c>
      <c r="L77">
        <v>0</v>
      </c>
      <c r="M77">
        <v>98.536872997951306</v>
      </c>
      <c r="N77">
        <v>1229.7203778479497</v>
      </c>
      <c r="O77">
        <v>100.29610197403511</v>
      </c>
      <c r="P77">
        <v>102.15540459987278</v>
      </c>
      <c r="Q77">
        <v>106.80772888783609</v>
      </c>
      <c r="R77">
        <v>127.13578468025689</v>
      </c>
      <c r="S77">
        <v>790.31692186938005</v>
      </c>
      <c r="T77">
        <v>100.31053671191444</v>
      </c>
    </row>
    <row r="78" spans="1:20" x14ac:dyDescent="0.3">
      <c r="A78">
        <f t="shared" si="2"/>
        <v>72</v>
      </c>
      <c r="B78">
        <v>1685.3239552105763</v>
      </c>
      <c r="C78">
        <v>0</v>
      </c>
      <c r="D78">
        <v>0</v>
      </c>
      <c r="E78">
        <v>0</v>
      </c>
      <c r="F78">
        <v>1614.1080701849987</v>
      </c>
      <c r="G78">
        <v>1519.8532962183385</v>
      </c>
      <c r="H78">
        <v>0</v>
      </c>
      <c r="I78">
        <v>549.58061619871319</v>
      </c>
      <c r="J78">
        <v>0</v>
      </c>
      <c r="K78">
        <v>454.10268329994568</v>
      </c>
      <c r="L78">
        <v>0</v>
      </c>
      <c r="M78">
        <v>98.476531195401662</v>
      </c>
      <c r="N78">
        <v>1685.3239552105763</v>
      </c>
      <c r="O78">
        <v>101.55171621936766</v>
      </c>
      <c r="P78">
        <v>123.3087192299901</v>
      </c>
      <c r="Q78">
        <v>997.63003935155541</v>
      </c>
      <c r="R78">
        <v>105.37038399034437</v>
      </c>
      <c r="S78">
        <v>363.80000040394305</v>
      </c>
      <c r="T78">
        <v>100.24910875691889</v>
      </c>
    </row>
    <row r="79" spans="1:20" x14ac:dyDescent="0.3">
      <c r="A79">
        <f t="shared" si="2"/>
        <v>73</v>
      </c>
      <c r="B79">
        <v>1052.9855492056981</v>
      </c>
      <c r="C79">
        <v>0</v>
      </c>
      <c r="D79">
        <v>0</v>
      </c>
      <c r="E79">
        <v>0</v>
      </c>
      <c r="F79">
        <v>948.53012319441495</v>
      </c>
      <c r="G79">
        <v>816.17950178056503</v>
      </c>
      <c r="H79">
        <v>0</v>
      </c>
      <c r="I79">
        <v>709.53913684552754</v>
      </c>
      <c r="J79">
        <v>0</v>
      </c>
      <c r="K79">
        <v>604.26173783215631</v>
      </c>
      <c r="L79">
        <v>0</v>
      </c>
      <c r="M79">
        <v>514.45695588564831</v>
      </c>
      <c r="N79">
        <v>1052.9855492056981</v>
      </c>
      <c r="O79">
        <v>123.40916589698588</v>
      </c>
      <c r="P79">
        <v>149.42416363134936</v>
      </c>
      <c r="Q79">
        <v>121.33159596708765</v>
      </c>
      <c r="R79">
        <v>118.04910347659069</v>
      </c>
      <c r="S79">
        <v>100.68149322748688</v>
      </c>
      <c r="T79">
        <v>523.71718109158996</v>
      </c>
    </row>
    <row r="80" spans="1:20" x14ac:dyDescent="0.3">
      <c r="A80">
        <f t="shared" si="2"/>
        <v>74</v>
      </c>
      <c r="B80">
        <v>1491.1936652284664</v>
      </c>
      <c r="C80">
        <v>0</v>
      </c>
      <c r="D80">
        <v>0</v>
      </c>
      <c r="E80">
        <v>0</v>
      </c>
      <c r="F80">
        <v>1118.3446043235911</v>
      </c>
      <c r="G80">
        <v>1023.7916010793241</v>
      </c>
      <c r="H80">
        <v>0</v>
      </c>
      <c r="I80">
        <v>455.89950736986555</v>
      </c>
      <c r="J80">
        <v>0</v>
      </c>
      <c r="K80">
        <v>347.89192416159023</v>
      </c>
      <c r="L80">
        <v>0</v>
      </c>
      <c r="M80">
        <v>114.96623578936978</v>
      </c>
      <c r="N80">
        <v>1491.1936652284664</v>
      </c>
      <c r="O80">
        <v>399.6905468789875</v>
      </c>
      <c r="P80">
        <v>114.68320612209179</v>
      </c>
      <c r="Q80">
        <v>586.32034252888639</v>
      </c>
      <c r="R80">
        <v>116.21377434093291</v>
      </c>
      <c r="S80">
        <v>239.18774300712906</v>
      </c>
      <c r="T80">
        <v>117.03562803357843</v>
      </c>
    </row>
    <row r="81" spans="1:20" x14ac:dyDescent="0.3">
      <c r="A81">
        <f t="shared" si="2"/>
        <v>75</v>
      </c>
      <c r="B81">
        <v>617.79174653588495</v>
      </c>
      <c r="C81">
        <v>0</v>
      </c>
      <c r="D81">
        <v>0</v>
      </c>
      <c r="E81">
        <v>0</v>
      </c>
      <c r="F81">
        <v>526.88780625709228</v>
      </c>
      <c r="G81">
        <v>432.52761594845396</v>
      </c>
      <c r="H81">
        <v>0</v>
      </c>
      <c r="I81">
        <v>328.52573941492039</v>
      </c>
      <c r="J81">
        <v>0</v>
      </c>
      <c r="K81">
        <v>229.02947201678151</v>
      </c>
      <c r="L81">
        <v>0</v>
      </c>
      <c r="M81">
        <v>115.83746082298032</v>
      </c>
      <c r="N81">
        <v>617.79174653588495</v>
      </c>
      <c r="O81">
        <v>102.02419171643872</v>
      </c>
      <c r="P81">
        <v>103.84417082126592</v>
      </c>
      <c r="Q81">
        <v>111.78737362060576</v>
      </c>
      <c r="R81">
        <v>105.40973070760744</v>
      </c>
      <c r="S81">
        <v>117.31454169010325</v>
      </c>
      <c r="T81">
        <v>117.92253511779397</v>
      </c>
    </row>
    <row r="82" spans="1:20" x14ac:dyDescent="0.3">
      <c r="A82">
        <f t="shared" si="2"/>
        <v>76</v>
      </c>
      <c r="B82">
        <v>1517.3601484153726</v>
      </c>
      <c r="C82">
        <v>0</v>
      </c>
      <c r="D82">
        <v>0</v>
      </c>
      <c r="E82">
        <v>0</v>
      </c>
      <c r="F82">
        <v>1435.0199323373281</v>
      </c>
      <c r="G82">
        <v>1298.9170457497498</v>
      </c>
      <c r="H82">
        <v>0</v>
      </c>
      <c r="I82">
        <v>998.10575496288561</v>
      </c>
      <c r="J82">
        <v>0</v>
      </c>
      <c r="K82">
        <v>450.38148651103319</v>
      </c>
      <c r="L82">
        <v>0</v>
      </c>
      <c r="M82">
        <v>358.47555090252138</v>
      </c>
      <c r="N82">
        <v>1517.3601484153726</v>
      </c>
      <c r="O82">
        <v>109.65269874952149</v>
      </c>
      <c r="P82">
        <v>161.93324536965014</v>
      </c>
      <c r="Q82">
        <v>324.19179761035969</v>
      </c>
      <c r="R82">
        <v>565.69017204118427</v>
      </c>
      <c r="S82">
        <v>100.01280236571043</v>
      </c>
      <c r="T82">
        <v>364.92811081876675</v>
      </c>
    </row>
    <row r="83" spans="1:20" x14ac:dyDescent="0.3">
      <c r="A83">
        <f t="shared" si="2"/>
        <v>77</v>
      </c>
      <c r="B83">
        <v>1832.4452925822618</v>
      </c>
      <c r="C83">
        <v>0</v>
      </c>
      <c r="D83">
        <v>0</v>
      </c>
      <c r="E83">
        <v>0</v>
      </c>
      <c r="F83">
        <v>813.18272884207181</v>
      </c>
      <c r="G83">
        <v>655.31199559651145</v>
      </c>
      <c r="H83">
        <v>0</v>
      </c>
      <c r="I83">
        <v>560.3766056188739</v>
      </c>
      <c r="J83">
        <v>0</v>
      </c>
      <c r="K83">
        <v>451.54761617099246</v>
      </c>
      <c r="L83">
        <v>0</v>
      </c>
      <c r="M83">
        <v>101.70538075305785</v>
      </c>
      <c r="N83">
        <v>1832.4452925822618</v>
      </c>
      <c r="O83">
        <v>1052.2465790066706</v>
      </c>
      <c r="P83">
        <v>172.50802236471753</v>
      </c>
      <c r="Q83">
        <v>106.7310058983748</v>
      </c>
      <c r="R83">
        <v>118.91576834902119</v>
      </c>
      <c r="S83">
        <v>357.97009250901249</v>
      </c>
      <c r="T83">
        <v>103.53607760661289</v>
      </c>
    </row>
    <row r="84" spans="1:20" x14ac:dyDescent="0.3">
      <c r="A84">
        <f t="shared" si="2"/>
        <v>78</v>
      </c>
      <c r="B84">
        <v>3997.2477566656548</v>
      </c>
      <c r="C84">
        <v>0</v>
      </c>
      <c r="D84">
        <v>0</v>
      </c>
      <c r="E84">
        <v>0</v>
      </c>
      <c r="F84">
        <v>3965.5212751279387</v>
      </c>
      <c r="G84">
        <v>2643.6256090723032</v>
      </c>
      <c r="H84">
        <v>0</v>
      </c>
      <c r="I84">
        <v>524.34123643147609</v>
      </c>
      <c r="J84">
        <v>0</v>
      </c>
      <c r="K84">
        <v>285.03493350752274</v>
      </c>
      <c r="L84">
        <v>0</v>
      </c>
      <c r="M84">
        <v>148.10740573935814</v>
      </c>
      <c r="N84">
        <v>3997.2477566656548</v>
      </c>
      <c r="O84">
        <v>103.67694115769793</v>
      </c>
      <c r="P84">
        <v>1393.2750490079388</v>
      </c>
      <c r="Q84">
        <v>2166.8696336041285</v>
      </c>
      <c r="R84">
        <v>248.74444517971989</v>
      </c>
      <c r="S84">
        <v>142.0581565713</v>
      </c>
      <c r="T84">
        <v>150.77333904266658</v>
      </c>
    </row>
    <row r="85" spans="1:20" x14ac:dyDescent="0.3">
      <c r="A85">
        <f t="shared" si="2"/>
        <v>79</v>
      </c>
      <c r="B85">
        <v>4504.4481241310423</v>
      </c>
      <c r="C85">
        <v>0</v>
      </c>
      <c r="D85">
        <v>0</v>
      </c>
      <c r="E85">
        <v>0</v>
      </c>
      <c r="F85">
        <v>2179.5281903654013</v>
      </c>
      <c r="G85">
        <v>2117.985708323693</v>
      </c>
      <c r="H85">
        <v>0</v>
      </c>
      <c r="I85">
        <v>1257.4999925174773</v>
      </c>
      <c r="J85">
        <v>0</v>
      </c>
      <c r="K85">
        <v>375.24772832340852</v>
      </c>
      <c r="L85">
        <v>0</v>
      </c>
      <c r="M85">
        <v>281.86759341170739</v>
      </c>
      <c r="N85">
        <v>4504.4481241310423</v>
      </c>
      <c r="O85">
        <v>2406</v>
      </c>
      <c r="P85">
        <v>100.77398946828568</v>
      </c>
      <c r="Q85">
        <v>898.60945855604234</v>
      </c>
      <c r="R85">
        <v>904.88726405938326</v>
      </c>
      <c r="S85">
        <v>100.13459402152252</v>
      </c>
      <c r="T85">
        <v>286.94121009311812</v>
      </c>
    </row>
    <row r="86" spans="1:20" x14ac:dyDescent="0.3">
      <c r="A86">
        <f t="shared" si="2"/>
        <v>80</v>
      </c>
      <c r="B86">
        <v>1494.6836418266053</v>
      </c>
      <c r="C86">
        <v>0</v>
      </c>
      <c r="D86">
        <v>0</v>
      </c>
      <c r="E86">
        <v>0</v>
      </c>
      <c r="F86">
        <v>808.69878164822148</v>
      </c>
      <c r="G86">
        <v>714.61748715690658</v>
      </c>
      <c r="H86">
        <v>0</v>
      </c>
      <c r="I86">
        <v>362.84269826241962</v>
      </c>
      <c r="J86">
        <v>0</v>
      </c>
      <c r="K86">
        <v>244.44643275688532</v>
      </c>
      <c r="L86">
        <v>0</v>
      </c>
      <c r="M86">
        <v>137.83452939478727</v>
      </c>
      <c r="N86">
        <v>1494.6836418266053</v>
      </c>
      <c r="O86">
        <v>712.88916573126278</v>
      </c>
      <c r="P86">
        <v>108.63787256098283</v>
      </c>
      <c r="Q86">
        <v>364.63790366331131</v>
      </c>
      <c r="R86">
        <v>124.92743407425787</v>
      </c>
      <c r="S86">
        <v>111.01193915172196</v>
      </c>
      <c r="T86">
        <v>140.31555092389343</v>
      </c>
    </row>
    <row r="87" spans="1:20" x14ac:dyDescent="0.3">
      <c r="A87">
        <f t="shared" si="2"/>
        <v>81</v>
      </c>
      <c r="B87">
        <v>3037.3812163862935</v>
      </c>
      <c r="C87">
        <v>0</v>
      </c>
      <c r="D87">
        <v>0</v>
      </c>
      <c r="E87">
        <v>0</v>
      </c>
      <c r="F87">
        <v>2743.6038597154347</v>
      </c>
      <c r="G87">
        <v>2692.6679800376755</v>
      </c>
      <c r="H87">
        <v>0</v>
      </c>
      <c r="I87">
        <v>335.13600367835386</v>
      </c>
      <c r="J87">
        <v>0</v>
      </c>
      <c r="K87">
        <v>214.74903154251621</v>
      </c>
      <c r="L87">
        <v>0</v>
      </c>
      <c r="M87">
        <v>108.98577706903876</v>
      </c>
      <c r="N87">
        <v>3037.3812163862935</v>
      </c>
      <c r="O87">
        <v>348.45021856581229</v>
      </c>
      <c r="P87">
        <v>100.32074915263691</v>
      </c>
      <c r="Q87">
        <v>2406</v>
      </c>
      <c r="R87">
        <v>126.419420202048</v>
      </c>
      <c r="S87">
        <v>109.62873704124273</v>
      </c>
      <c r="T87">
        <v>110.94752105628146</v>
      </c>
    </row>
    <row r="88" spans="1:20" x14ac:dyDescent="0.3">
      <c r="A88">
        <f t="shared" si="2"/>
        <v>82</v>
      </c>
      <c r="B88">
        <v>727.43063181849948</v>
      </c>
      <c r="C88">
        <v>0</v>
      </c>
      <c r="D88">
        <v>0</v>
      </c>
      <c r="E88">
        <v>0</v>
      </c>
      <c r="F88">
        <v>628.39885353921522</v>
      </c>
      <c r="G88">
        <v>535.06673326818452</v>
      </c>
      <c r="H88">
        <v>0</v>
      </c>
      <c r="I88">
        <v>427.65048906429365</v>
      </c>
      <c r="J88">
        <v>0</v>
      </c>
      <c r="K88">
        <v>228.2053075652754</v>
      </c>
      <c r="L88">
        <v>0</v>
      </c>
      <c r="M88">
        <v>123.63276678644094</v>
      </c>
      <c r="N88">
        <v>727.43063181849948</v>
      </c>
      <c r="O88">
        <v>112.12552965201714</v>
      </c>
      <c r="P88">
        <v>104.64329963473674</v>
      </c>
      <c r="Q88">
        <v>117.04744540271815</v>
      </c>
      <c r="R88">
        <v>207.14289030217549</v>
      </c>
      <c r="S88">
        <v>108.68023631500944</v>
      </c>
      <c r="T88">
        <v>125.85815658859687</v>
      </c>
    </row>
    <row r="89" spans="1:20" x14ac:dyDescent="0.3">
      <c r="A89">
        <f t="shared" si="2"/>
        <v>83</v>
      </c>
      <c r="B89">
        <v>5040.8754479922081</v>
      </c>
      <c r="C89">
        <v>0</v>
      </c>
      <c r="D89">
        <v>0</v>
      </c>
      <c r="E89">
        <v>0</v>
      </c>
      <c r="F89">
        <v>5031.3502201735209</v>
      </c>
      <c r="G89">
        <v>2715.9145241366441</v>
      </c>
      <c r="H89">
        <v>0</v>
      </c>
      <c r="I89">
        <v>358.80098557110421</v>
      </c>
      <c r="J89">
        <v>0</v>
      </c>
      <c r="K89">
        <v>261.59826155768417</v>
      </c>
      <c r="L89">
        <v>0</v>
      </c>
      <c r="M89">
        <v>157.81402157735982</v>
      </c>
      <c r="N89">
        <v>5040.8754479922081</v>
      </c>
      <c r="O89">
        <v>100.26098588254825</v>
      </c>
      <c r="P89">
        <v>2406</v>
      </c>
      <c r="Q89">
        <v>2406</v>
      </c>
      <c r="R89">
        <v>103.66114175369988</v>
      </c>
      <c r="S89">
        <v>108.49300868836266</v>
      </c>
      <c r="T89">
        <v>160.65467396575229</v>
      </c>
    </row>
    <row r="90" spans="1:20" x14ac:dyDescent="0.3">
      <c r="A90">
        <f t="shared" si="2"/>
        <v>84</v>
      </c>
      <c r="B90">
        <v>856.00164788693246</v>
      </c>
      <c r="C90">
        <v>0</v>
      </c>
      <c r="D90">
        <v>0</v>
      </c>
      <c r="E90">
        <v>0</v>
      </c>
      <c r="F90">
        <v>747.15946638239689</v>
      </c>
      <c r="G90">
        <v>583.02130898602582</v>
      </c>
      <c r="H90">
        <v>0</v>
      </c>
      <c r="I90">
        <v>407.79314600966302</v>
      </c>
      <c r="J90">
        <v>0</v>
      </c>
      <c r="K90">
        <v>200.2891186165503</v>
      </c>
      <c r="L90">
        <v>0</v>
      </c>
      <c r="M90">
        <v>102.92819592665873</v>
      </c>
      <c r="N90">
        <v>856.00164788693246</v>
      </c>
      <c r="O90">
        <v>124.25021116650032</v>
      </c>
      <c r="P90">
        <v>177.58702779125429</v>
      </c>
      <c r="Q90">
        <v>185.72254653811123</v>
      </c>
      <c r="R90">
        <v>214.84430402128669</v>
      </c>
      <c r="S90">
        <v>100.96612682498946</v>
      </c>
      <c r="T90">
        <v>104.7809034533386</v>
      </c>
    </row>
    <row r="91" spans="1:20" x14ac:dyDescent="0.3">
      <c r="A91">
        <f t="shared" si="2"/>
        <v>85</v>
      </c>
      <c r="B91">
        <v>2460.9389188531186</v>
      </c>
      <c r="C91">
        <v>0</v>
      </c>
      <c r="D91">
        <v>0</v>
      </c>
      <c r="E91">
        <v>0</v>
      </c>
      <c r="F91">
        <v>960.70749552342318</v>
      </c>
      <c r="G91">
        <v>553.15344791978009</v>
      </c>
      <c r="H91">
        <v>0</v>
      </c>
      <c r="I91">
        <v>450.10500903712568</v>
      </c>
      <c r="J91">
        <v>0</v>
      </c>
      <c r="K91">
        <v>204.20861954478141</v>
      </c>
      <c r="L91">
        <v>0</v>
      </c>
      <c r="M91">
        <v>107.42014603928153</v>
      </c>
      <c r="N91">
        <v>2460.9389188531186</v>
      </c>
      <c r="O91">
        <v>1544.5283238690515</v>
      </c>
      <c r="P91">
        <v>424.84678252306469</v>
      </c>
      <c r="Q91">
        <v>113.00520094521048</v>
      </c>
      <c r="R91">
        <v>253.99827965501251</v>
      </c>
      <c r="S91">
        <v>100.46422865730594</v>
      </c>
      <c r="T91">
        <v>109.3537086679886</v>
      </c>
    </row>
    <row r="92" spans="1:20" x14ac:dyDescent="0.3">
      <c r="A92">
        <f t="shared" si="2"/>
        <v>86</v>
      </c>
      <c r="B92">
        <v>1674.5663030123874</v>
      </c>
      <c r="C92">
        <v>0</v>
      </c>
      <c r="D92">
        <v>0</v>
      </c>
      <c r="E92">
        <v>0</v>
      </c>
      <c r="F92">
        <v>1595.3296618261622</v>
      </c>
      <c r="G92">
        <v>1523.7829184365974</v>
      </c>
      <c r="H92">
        <v>0</v>
      </c>
      <c r="I92">
        <v>1325.3487690861657</v>
      </c>
      <c r="J92">
        <v>0</v>
      </c>
      <c r="K92">
        <v>1164.8021087805269</v>
      </c>
      <c r="L92">
        <v>0</v>
      </c>
      <c r="M92">
        <v>993.85165821534963</v>
      </c>
      <c r="N92">
        <v>1674.5663030123874</v>
      </c>
      <c r="O92">
        <v>109.37883464044806</v>
      </c>
      <c r="P92">
        <v>100.26267730243565</v>
      </c>
      <c r="Q92">
        <v>225.86224188229056</v>
      </c>
      <c r="R92">
        <v>184.40293814918988</v>
      </c>
      <c r="S92">
        <v>191.91688852322659</v>
      </c>
      <c r="T92">
        <v>1011.7409880632259</v>
      </c>
    </row>
    <row r="93" spans="1:20" x14ac:dyDescent="0.3">
      <c r="A93">
        <f t="shared" si="2"/>
        <v>87</v>
      </c>
      <c r="B93">
        <v>1219.5400295406787</v>
      </c>
      <c r="C93">
        <v>0</v>
      </c>
      <c r="D93">
        <v>0</v>
      </c>
      <c r="E93">
        <v>0</v>
      </c>
      <c r="F93">
        <v>1117.8349708663591</v>
      </c>
      <c r="G93">
        <v>1031.5094202628363</v>
      </c>
      <c r="H93">
        <v>0</v>
      </c>
      <c r="I93">
        <v>949.47114504800152</v>
      </c>
      <c r="J93">
        <v>0</v>
      </c>
      <c r="K93">
        <v>683.05928389344422</v>
      </c>
      <c r="L93">
        <v>0</v>
      </c>
      <c r="M93">
        <v>99.864618335639236</v>
      </c>
      <c r="N93">
        <v>1219.5400295406787</v>
      </c>
      <c r="O93">
        <v>123.65677920605215</v>
      </c>
      <c r="P93">
        <v>106.4465800791172</v>
      </c>
      <c r="Q93">
        <v>100.60544477956594</v>
      </c>
      <c r="R93">
        <v>283.50234176542131</v>
      </c>
      <c r="S93">
        <v>595.48973266788698</v>
      </c>
      <c r="T93">
        <v>101.66218146568075</v>
      </c>
    </row>
    <row r="94" spans="1:20" x14ac:dyDescent="0.3">
      <c r="A94">
        <f t="shared" si="2"/>
        <v>88</v>
      </c>
      <c r="B94">
        <v>2705.7209054647765</v>
      </c>
      <c r="C94">
        <v>0</v>
      </c>
      <c r="D94">
        <v>0</v>
      </c>
      <c r="E94">
        <v>0</v>
      </c>
      <c r="F94">
        <v>2653.0986616358041</v>
      </c>
      <c r="G94">
        <v>2597.7724453121882</v>
      </c>
      <c r="H94">
        <v>0</v>
      </c>
      <c r="I94">
        <v>2543.0476838601867</v>
      </c>
      <c r="J94">
        <v>0</v>
      </c>
      <c r="K94">
        <v>2481.7227158239334</v>
      </c>
      <c r="L94">
        <v>0</v>
      </c>
      <c r="M94">
        <v>120.39372470876427</v>
      </c>
      <c r="N94">
        <v>2705.7209054647765</v>
      </c>
      <c r="O94">
        <v>101.32522012733821</v>
      </c>
      <c r="P94">
        <v>103.08199223306062</v>
      </c>
      <c r="Q94">
        <v>101.48466546762043</v>
      </c>
      <c r="R94">
        <v>107.09982634573697</v>
      </c>
      <c r="S94">
        <v>2406</v>
      </c>
      <c r="T94">
        <v>122.56081175352203</v>
      </c>
    </row>
    <row r="95" spans="1:20" x14ac:dyDescent="0.3">
      <c r="A95">
        <f t="shared" si="2"/>
        <v>89</v>
      </c>
      <c r="B95">
        <v>811.66133616994773</v>
      </c>
      <c r="C95">
        <v>0</v>
      </c>
      <c r="D95">
        <v>0</v>
      </c>
      <c r="E95">
        <v>0</v>
      </c>
      <c r="F95">
        <v>713.37935938128624</v>
      </c>
      <c r="G95">
        <v>444.7171202284128</v>
      </c>
      <c r="H95">
        <v>0</v>
      </c>
      <c r="I95">
        <v>327.08915978858801</v>
      </c>
      <c r="J95">
        <v>0</v>
      </c>
      <c r="K95">
        <v>226.18320672125606</v>
      </c>
      <c r="L95">
        <v>0</v>
      </c>
      <c r="M95">
        <v>126.71299197013715</v>
      </c>
      <c r="N95">
        <v>811.66133616994773</v>
      </c>
      <c r="O95">
        <v>112.89188083972066</v>
      </c>
      <c r="P95">
        <v>281.50306762173665</v>
      </c>
      <c r="Q95">
        <v>125.63286860393625</v>
      </c>
      <c r="R95">
        <v>106.79355794352651</v>
      </c>
      <c r="S95">
        <v>103.54151247210152</v>
      </c>
      <c r="T95">
        <v>128.99382582559963</v>
      </c>
    </row>
    <row r="96" spans="1:20" x14ac:dyDescent="0.3">
      <c r="A96">
        <f t="shared" si="2"/>
        <v>90</v>
      </c>
      <c r="B96">
        <v>1335.8897136220517</v>
      </c>
      <c r="C96">
        <v>0</v>
      </c>
      <c r="D96">
        <v>0</v>
      </c>
      <c r="E96">
        <v>0</v>
      </c>
      <c r="F96">
        <v>1238.4415293676859</v>
      </c>
      <c r="G96">
        <v>1158.0465370591198</v>
      </c>
      <c r="H96">
        <v>0</v>
      </c>
      <c r="I96">
        <v>1068.4595236085886</v>
      </c>
      <c r="J96">
        <v>0</v>
      </c>
      <c r="K96">
        <v>987.47222034237359</v>
      </c>
      <c r="L96">
        <v>0</v>
      </c>
      <c r="M96">
        <v>181.7635080445321</v>
      </c>
      <c r="N96">
        <v>1335.8897136220517</v>
      </c>
      <c r="O96">
        <v>121.49419909956271</v>
      </c>
      <c r="P96">
        <v>102.68693983718462</v>
      </c>
      <c r="Q96">
        <v>110.43185111759543</v>
      </c>
      <c r="R96">
        <v>100.21957469116953</v>
      </c>
      <c r="S96">
        <v>823.48321226400424</v>
      </c>
      <c r="T96">
        <v>185.03525118933368</v>
      </c>
    </row>
    <row r="97" spans="1:20" x14ac:dyDescent="0.3">
      <c r="A97">
        <f t="shared" si="2"/>
        <v>91</v>
      </c>
      <c r="B97">
        <v>2834.9154003149602</v>
      </c>
      <c r="C97">
        <v>0</v>
      </c>
      <c r="D97">
        <v>0</v>
      </c>
      <c r="E97">
        <v>0</v>
      </c>
      <c r="F97">
        <v>2769.5523841492954</v>
      </c>
      <c r="G97">
        <v>413.40432706398337</v>
      </c>
      <c r="H97">
        <v>0</v>
      </c>
      <c r="I97">
        <v>305.59394337077492</v>
      </c>
      <c r="J97">
        <v>0</v>
      </c>
      <c r="K97">
        <v>210.96862849804566</v>
      </c>
      <c r="L97">
        <v>0</v>
      </c>
      <c r="M97">
        <v>113.59145701964052</v>
      </c>
      <c r="N97">
        <v>2834.9154003149602</v>
      </c>
      <c r="O97">
        <v>116.39149337133372</v>
      </c>
      <c r="P97">
        <v>2406</v>
      </c>
      <c r="Q97">
        <v>115.25166158036014</v>
      </c>
      <c r="R97">
        <v>100.1260058534032</v>
      </c>
      <c r="S97">
        <v>101.17460679136997</v>
      </c>
      <c r="T97">
        <v>115.63610324599405</v>
      </c>
    </row>
    <row r="98" spans="1:20" x14ac:dyDescent="0.3">
      <c r="A98">
        <f t="shared" si="2"/>
        <v>92</v>
      </c>
      <c r="B98">
        <v>7269.7250894680355</v>
      </c>
      <c r="C98">
        <v>0</v>
      </c>
      <c r="D98">
        <v>0</v>
      </c>
      <c r="E98">
        <v>0</v>
      </c>
      <c r="F98">
        <v>4994.5801410784616</v>
      </c>
      <c r="G98">
        <v>2678.4825836178734</v>
      </c>
      <c r="H98">
        <v>0</v>
      </c>
      <c r="I98">
        <v>2591.5497248734605</v>
      </c>
      <c r="J98">
        <v>0</v>
      </c>
      <c r="K98">
        <v>232.19761992118276</v>
      </c>
      <c r="L98">
        <v>0</v>
      </c>
      <c r="M98">
        <v>133.28965271152185</v>
      </c>
      <c r="N98">
        <v>7269.7250894680355</v>
      </c>
      <c r="O98">
        <v>2406</v>
      </c>
      <c r="P98">
        <v>2406</v>
      </c>
      <c r="Q98">
        <v>135.14554524953482</v>
      </c>
      <c r="R98">
        <v>2406</v>
      </c>
      <c r="S98">
        <v>103.08752436824219</v>
      </c>
      <c r="T98">
        <v>135.68886646032925</v>
      </c>
    </row>
    <row r="99" spans="1:20" x14ac:dyDescent="0.3">
      <c r="A99">
        <f t="shared" si="2"/>
        <v>93</v>
      </c>
      <c r="B99">
        <v>3005.6743480856267</v>
      </c>
      <c r="C99">
        <v>0</v>
      </c>
      <c r="D99">
        <v>0</v>
      </c>
      <c r="E99">
        <v>0</v>
      </c>
      <c r="F99">
        <v>653.77648635116816</v>
      </c>
      <c r="G99">
        <v>461.65472163562902</v>
      </c>
      <c r="H99">
        <v>0</v>
      </c>
      <c r="I99">
        <v>362.94765711238097</v>
      </c>
      <c r="J99">
        <v>0</v>
      </c>
      <c r="K99">
        <v>236.06962126820281</v>
      </c>
      <c r="L99">
        <v>0</v>
      </c>
      <c r="M99">
        <v>138.55467914877707</v>
      </c>
      <c r="N99">
        <v>3005.6743480856267</v>
      </c>
      <c r="O99">
        <v>2406</v>
      </c>
      <c r="P99">
        <v>203.8897414698603</v>
      </c>
      <c r="Q99">
        <v>107.0168495126893</v>
      </c>
      <c r="R99">
        <v>133.41109367220105</v>
      </c>
      <c r="S99">
        <v>101.7641953022534</v>
      </c>
      <c r="T99">
        <v>141.04866337345507</v>
      </c>
    </row>
    <row r="100" spans="1:20" x14ac:dyDescent="0.3">
      <c r="A100">
        <f t="shared" si="2"/>
        <v>94</v>
      </c>
      <c r="B100">
        <v>2795.7245774317134</v>
      </c>
      <c r="C100">
        <v>0</v>
      </c>
      <c r="D100">
        <v>0</v>
      </c>
      <c r="E100">
        <v>0</v>
      </c>
      <c r="F100">
        <v>2742.6368275680175</v>
      </c>
      <c r="G100">
        <v>2684.6901829364251</v>
      </c>
      <c r="H100">
        <v>0</v>
      </c>
      <c r="I100">
        <v>2632.5576095480992</v>
      </c>
      <c r="J100">
        <v>0</v>
      </c>
      <c r="K100">
        <v>2579.344879653971</v>
      </c>
      <c r="L100">
        <v>0</v>
      </c>
      <c r="M100">
        <v>2363.4577603143416</v>
      </c>
      <c r="N100">
        <v>2795.7245774317134</v>
      </c>
      <c r="O100">
        <v>103.41079225746719</v>
      </c>
      <c r="P100">
        <v>107.31410752781677</v>
      </c>
      <c r="Q100">
        <v>100.45699668118171</v>
      </c>
      <c r="R100">
        <v>100.59876686599364</v>
      </c>
      <c r="S100">
        <v>262.31532717340099</v>
      </c>
      <c r="T100">
        <v>2406</v>
      </c>
    </row>
    <row r="101" spans="1:20" x14ac:dyDescent="0.3">
      <c r="A101">
        <f t="shared" si="2"/>
        <v>95</v>
      </c>
      <c r="B101">
        <v>2877.2961420356796</v>
      </c>
      <c r="C101">
        <v>0</v>
      </c>
      <c r="D101">
        <v>0</v>
      </c>
      <c r="E101">
        <v>0</v>
      </c>
      <c r="F101">
        <v>2752.4471075834936</v>
      </c>
      <c r="G101">
        <v>2695.5634414460778</v>
      </c>
      <c r="H101">
        <v>0</v>
      </c>
      <c r="I101">
        <v>338.08358339210747</v>
      </c>
      <c r="J101">
        <v>0</v>
      </c>
      <c r="K101">
        <v>243.4773718806926</v>
      </c>
      <c r="L101">
        <v>0</v>
      </c>
      <c r="M101">
        <v>111.3037233449914</v>
      </c>
      <c r="N101">
        <v>2877.2961420356796</v>
      </c>
      <c r="O101">
        <v>176.64036500882793</v>
      </c>
      <c r="P101">
        <v>106.42771407391898</v>
      </c>
      <c r="Q101">
        <v>2406</v>
      </c>
      <c r="R101">
        <v>100.69171601247278</v>
      </c>
      <c r="S101">
        <v>136.55624122955371</v>
      </c>
      <c r="T101">
        <v>113.30719036520124</v>
      </c>
    </row>
    <row r="102" spans="1:20" x14ac:dyDescent="0.3">
      <c r="A102">
        <f t="shared" si="2"/>
        <v>96</v>
      </c>
      <c r="B102">
        <v>914.28114803666881</v>
      </c>
      <c r="C102">
        <v>0</v>
      </c>
      <c r="D102">
        <v>0</v>
      </c>
      <c r="E102">
        <v>0</v>
      </c>
      <c r="F102">
        <v>809.33270518022505</v>
      </c>
      <c r="G102">
        <v>720.38621043637841</v>
      </c>
      <c r="H102">
        <v>0</v>
      </c>
      <c r="I102">
        <v>469.25021945030983</v>
      </c>
      <c r="J102">
        <v>0</v>
      </c>
      <c r="K102">
        <v>322.31193191895471</v>
      </c>
      <c r="L102">
        <v>0</v>
      </c>
      <c r="M102">
        <v>110.28808960740535</v>
      </c>
      <c r="N102">
        <v>914.28114803666881</v>
      </c>
      <c r="O102">
        <v>121.40550352110382</v>
      </c>
      <c r="P102">
        <v>103.51448343709066</v>
      </c>
      <c r="Q102">
        <v>264.10294277392336</v>
      </c>
      <c r="R102">
        <v>155.3847914814607</v>
      </c>
      <c r="S102">
        <v>217.82545708609055</v>
      </c>
      <c r="T102">
        <v>112.27327522033865</v>
      </c>
    </row>
    <row r="103" spans="1:20" x14ac:dyDescent="0.3">
      <c r="A103">
        <f t="shared" si="2"/>
        <v>97</v>
      </c>
      <c r="B103">
        <v>855.52687865241683</v>
      </c>
      <c r="C103">
        <v>0</v>
      </c>
      <c r="D103">
        <v>0</v>
      </c>
      <c r="E103">
        <v>0</v>
      </c>
      <c r="F103">
        <v>724.63443363457304</v>
      </c>
      <c r="G103">
        <v>611.9241393927864</v>
      </c>
      <c r="H103">
        <v>0</v>
      </c>
      <c r="I103">
        <v>381.01761958433013</v>
      </c>
      <c r="J103">
        <v>0</v>
      </c>
      <c r="K103">
        <v>236.37248262431478</v>
      </c>
      <c r="L103">
        <v>0</v>
      </c>
      <c r="M103">
        <v>133.47158028166942</v>
      </c>
      <c r="N103">
        <v>855.52687865241683</v>
      </c>
      <c r="O103">
        <v>146.29192883358712</v>
      </c>
      <c r="P103">
        <v>125.75371404720906</v>
      </c>
      <c r="Q103">
        <v>241.9211543175264</v>
      </c>
      <c r="R103">
        <v>151.50345411253326</v>
      </c>
      <c r="S103">
        <v>107.15560702988303</v>
      </c>
      <c r="T103">
        <v>135.87406872673947</v>
      </c>
    </row>
    <row r="104" spans="1:20" x14ac:dyDescent="0.3">
      <c r="A104">
        <f t="shared" si="2"/>
        <v>98</v>
      </c>
      <c r="B104">
        <v>982.48732130242502</v>
      </c>
      <c r="C104">
        <v>0</v>
      </c>
      <c r="D104">
        <v>0</v>
      </c>
      <c r="E104">
        <v>0</v>
      </c>
      <c r="F104">
        <v>897.77049122902395</v>
      </c>
      <c r="G104">
        <v>812.11482427724991</v>
      </c>
      <c r="H104">
        <v>0</v>
      </c>
      <c r="I104">
        <v>707.9649167997261</v>
      </c>
      <c r="J104">
        <v>0</v>
      </c>
      <c r="K104">
        <v>609.6920365133069</v>
      </c>
      <c r="L104">
        <v>0</v>
      </c>
      <c r="M104">
        <v>481.83113187729776</v>
      </c>
      <c r="N104">
        <v>982.48732130242502</v>
      </c>
      <c r="O104">
        <v>102.40160185684468</v>
      </c>
      <c r="P104">
        <v>101.81553579389661</v>
      </c>
      <c r="Q104">
        <v>118.76797431451429</v>
      </c>
      <c r="R104">
        <v>111.01624878881411</v>
      </c>
      <c r="S104">
        <v>138.83536129324875</v>
      </c>
      <c r="T104">
        <v>490.50409225108911</v>
      </c>
    </row>
    <row r="105" spans="1:20" x14ac:dyDescent="0.3">
      <c r="A105">
        <f t="shared" si="2"/>
        <v>99</v>
      </c>
      <c r="B105">
        <v>3125.3078032568092</v>
      </c>
      <c r="C105">
        <v>0</v>
      </c>
      <c r="D105">
        <v>0</v>
      </c>
      <c r="E105">
        <v>0</v>
      </c>
      <c r="F105">
        <v>3015.9875435265863</v>
      </c>
      <c r="G105">
        <v>664.27531931006479</v>
      </c>
      <c r="H105">
        <v>0</v>
      </c>
      <c r="I105">
        <v>558.57866652846258</v>
      </c>
      <c r="J105">
        <v>0</v>
      </c>
      <c r="K105">
        <v>275.58582227677954</v>
      </c>
      <c r="L105">
        <v>0</v>
      </c>
      <c r="M105">
        <v>134.80205903780075</v>
      </c>
      <c r="N105">
        <v>3125.3078032568092</v>
      </c>
      <c r="O105">
        <v>165.57580018884659</v>
      </c>
      <c r="P105">
        <v>2406</v>
      </c>
      <c r="Q105">
        <v>117.65360852918336</v>
      </c>
      <c r="R105">
        <v>293.04726024919535</v>
      </c>
      <c r="S105">
        <v>145.74430803996083</v>
      </c>
      <c r="T105">
        <v>137.22849610048115</v>
      </c>
    </row>
    <row r="106" spans="1:20" x14ac:dyDescent="0.3">
      <c r="A106">
        <f t="shared" si="2"/>
        <v>100</v>
      </c>
      <c r="B106">
        <v>1953.1054596280744</v>
      </c>
      <c r="C106">
        <v>0</v>
      </c>
      <c r="D106">
        <v>0</v>
      </c>
      <c r="E106">
        <v>0</v>
      </c>
      <c r="F106">
        <v>1579.1726855248621</v>
      </c>
      <c r="G106">
        <v>631.61278892949849</v>
      </c>
      <c r="H106">
        <v>0</v>
      </c>
      <c r="I106">
        <v>492.03934440870489</v>
      </c>
      <c r="J106">
        <v>0</v>
      </c>
      <c r="K106">
        <v>384.9191539715257</v>
      </c>
      <c r="L106">
        <v>0</v>
      </c>
      <c r="M106">
        <v>98.267400252748885</v>
      </c>
      <c r="N106">
        <v>1953.1054596280744</v>
      </c>
      <c r="O106">
        <v>409.08867237651805</v>
      </c>
      <c r="P106">
        <v>975.98500493481095</v>
      </c>
      <c r="Q106">
        <v>150.94247472152455</v>
      </c>
      <c r="R106">
        <v>115.97689863653586</v>
      </c>
      <c r="S106">
        <v>293.58029849026428</v>
      </c>
      <c r="T106">
        <v>100.03621345729836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0022-E196-400A-8A2A-EA30996619A0}">
  <dimension ref="A6:T106"/>
  <sheetViews>
    <sheetView workbookViewId="0">
      <selection activeCell="A6" sqref="A6:T106"/>
    </sheetView>
  </sheetViews>
  <sheetFormatPr defaultRowHeight="14.4" x14ac:dyDescent="0.3"/>
  <sheetData>
    <row r="6" spans="1:20" x14ac:dyDescent="0.3">
      <c r="A6" s="76" t="s">
        <v>114</v>
      </c>
      <c r="B6" s="61">
        <f>B3</f>
        <v>0</v>
      </c>
      <c r="C6" s="61">
        <f t="shared" ref="C6:T6" si="0">C3</f>
        <v>0</v>
      </c>
      <c r="D6" s="61">
        <f t="shared" si="0"/>
        <v>0</v>
      </c>
      <c r="E6" s="61">
        <f t="shared" si="0"/>
        <v>0</v>
      </c>
      <c r="F6" s="61">
        <f t="shared" si="0"/>
        <v>0</v>
      </c>
      <c r="G6" s="61">
        <f t="shared" si="0"/>
        <v>0</v>
      </c>
      <c r="H6" s="61">
        <f t="shared" si="0"/>
        <v>0</v>
      </c>
      <c r="I6" s="61">
        <f t="shared" si="0"/>
        <v>0</v>
      </c>
      <c r="J6" s="61">
        <f t="shared" si="0"/>
        <v>0</v>
      </c>
      <c r="K6" s="61">
        <f t="shared" si="0"/>
        <v>0</v>
      </c>
      <c r="L6" s="61">
        <f t="shared" si="0"/>
        <v>0</v>
      </c>
      <c r="M6" s="61">
        <f t="shared" si="0"/>
        <v>0</v>
      </c>
      <c r="N6" s="61">
        <f t="shared" si="0"/>
        <v>0</v>
      </c>
      <c r="O6" s="61">
        <f t="shared" si="0"/>
        <v>0</v>
      </c>
      <c r="P6" s="61">
        <f t="shared" si="0"/>
        <v>0</v>
      </c>
      <c r="Q6" s="61">
        <f t="shared" si="0"/>
        <v>0</v>
      </c>
      <c r="R6" s="61">
        <f t="shared" si="0"/>
        <v>0</v>
      </c>
      <c r="S6" s="61">
        <f t="shared" si="0"/>
        <v>0</v>
      </c>
      <c r="T6" s="61">
        <f t="shared" si="0"/>
        <v>0</v>
      </c>
    </row>
    <row r="7" spans="1:20" x14ac:dyDescent="0.3">
      <c r="A7">
        <v>1</v>
      </c>
      <c r="B7">
        <v>105.76200717301118</v>
      </c>
      <c r="C7">
        <v>0</v>
      </c>
      <c r="D7">
        <v>0</v>
      </c>
      <c r="E7">
        <v>0</v>
      </c>
      <c r="F7">
        <v>624.62946428970656</v>
      </c>
      <c r="G7">
        <v>265.15104597602846</v>
      </c>
      <c r="H7">
        <v>223.3505653215102</v>
      </c>
      <c r="I7">
        <v>0</v>
      </c>
      <c r="J7">
        <v>96.651091923336594</v>
      </c>
      <c r="K7">
        <v>130.28448530584777</v>
      </c>
      <c r="L7">
        <v>0</v>
      </c>
      <c r="M7">
        <v>0</v>
      </c>
      <c r="N7">
        <v>105.76200717301118</v>
      </c>
      <c r="O7">
        <v>107.66572330212539</v>
      </c>
      <c r="P7">
        <v>147.37118334938259</v>
      </c>
      <c r="Q7">
        <v>173.27267288026039</v>
      </c>
      <c r="R7">
        <v>100.88334980191527</v>
      </c>
      <c r="S7">
        <v>132.62960604135301</v>
      </c>
      <c r="T7">
        <v>102.25685525489013</v>
      </c>
    </row>
    <row r="8" spans="1:20" x14ac:dyDescent="0.3">
      <c r="A8">
        <f>A7 + 1</f>
        <v>2</v>
      </c>
      <c r="B8">
        <v>161.41048242625229</v>
      </c>
      <c r="C8">
        <v>0</v>
      </c>
      <c r="D8">
        <v>0</v>
      </c>
      <c r="E8">
        <v>0</v>
      </c>
      <c r="F8">
        <v>604.59086771385398</v>
      </c>
      <c r="G8">
        <v>300.43505628835283</v>
      </c>
      <c r="H8">
        <v>209.81001473771289</v>
      </c>
      <c r="I8">
        <v>0</v>
      </c>
      <c r="J8">
        <v>95.037455050768841</v>
      </c>
      <c r="K8">
        <v>100.45317797631003</v>
      </c>
      <c r="L8">
        <v>0</v>
      </c>
      <c r="M8">
        <v>0</v>
      </c>
      <c r="N8">
        <v>161.41048242625229</v>
      </c>
      <c r="O8">
        <v>164.31587110992484</v>
      </c>
      <c r="P8">
        <v>105.22843230663759</v>
      </c>
      <c r="Q8">
        <v>210.8054322507744</v>
      </c>
      <c r="R8">
        <v>116.70018727722278</v>
      </c>
      <c r="S8">
        <v>102.26133517988362</v>
      </c>
      <c r="T8">
        <v>100.54962744371345</v>
      </c>
    </row>
    <row r="9" spans="1:20" x14ac:dyDescent="0.3">
      <c r="A9">
        <f t="shared" ref="A9:A72" si="1">A8 + 1</f>
        <v>3</v>
      </c>
      <c r="B9">
        <v>119.39923145717763</v>
      </c>
      <c r="C9">
        <v>0</v>
      </c>
      <c r="D9">
        <v>0</v>
      </c>
      <c r="E9">
        <v>0</v>
      </c>
      <c r="F9">
        <v>2860.862735834723</v>
      </c>
      <c r="G9">
        <v>2473.1195921222716</v>
      </c>
      <c r="H9">
        <v>234.94991052868642</v>
      </c>
      <c r="I9">
        <v>0</v>
      </c>
      <c r="J9">
        <v>111.63574478047259</v>
      </c>
      <c r="K9">
        <v>138.71684075695407</v>
      </c>
      <c r="L9">
        <v>0</v>
      </c>
      <c r="M9">
        <v>0</v>
      </c>
      <c r="N9">
        <v>119.39923145717763</v>
      </c>
      <c r="O9">
        <v>121.54841762340683</v>
      </c>
      <c r="P9">
        <v>204.28876242879016</v>
      </c>
      <c r="Q9">
        <v>2406</v>
      </c>
      <c r="R9">
        <v>104.45631664023634</v>
      </c>
      <c r="S9">
        <v>141.21374389057925</v>
      </c>
      <c r="T9">
        <v>118.11061797774002</v>
      </c>
    </row>
    <row r="10" spans="1:20" x14ac:dyDescent="0.3">
      <c r="A10">
        <f t="shared" si="1"/>
        <v>4</v>
      </c>
      <c r="B10">
        <v>131.04703038027486</v>
      </c>
      <c r="C10">
        <v>0</v>
      </c>
      <c r="D10">
        <v>0</v>
      </c>
      <c r="E10">
        <v>0</v>
      </c>
      <c r="F10">
        <v>660.08599559135359</v>
      </c>
      <c r="G10">
        <v>211.09675910813405</v>
      </c>
      <c r="H10">
        <v>354.66984464893017</v>
      </c>
      <c r="I10">
        <v>0</v>
      </c>
      <c r="J10">
        <v>113.09545997895545</v>
      </c>
      <c r="K10">
        <v>229.21892906917199</v>
      </c>
      <c r="L10">
        <v>0</v>
      </c>
      <c r="M10">
        <v>0</v>
      </c>
      <c r="N10">
        <v>131.04703038027486</v>
      </c>
      <c r="O10">
        <v>133.40587692711981</v>
      </c>
      <c r="P10">
        <v>106.20093975493361</v>
      </c>
      <c r="Q10">
        <v>101.80104079312504</v>
      </c>
      <c r="R10">
        <v>137.86436014247073</v>
      </c>
      <c r="S10">
        <v>233.34486979241709</v>
      </c>
      <c r="T10">
        <v>119.65499665773487</v>
      </c>
    </row>
    <row r="11" spans="1:20" x14ac:dyDescent="0.3">
      <c r="A11">
        <f t="shared" si="1"/>
        <v>5</v>
      </c>
      <c r="B11">
        <v>2363.4577603143416</v>
      </c>
      <c r="C11">
        <v>0</v>
      </c>
      <c r="D11">
        <v>0</v>
      </c>
      <c r="E11">
        <v>0</v>
      </c>
      <c r="F11">
        <v>3753.968363746309</v>
      </c>
      <c r="G11">
        <v>208.58804695480882</v>
      </c>
      <c r="H11">
        <v>2656.1363820059114</v>
      </c>
      <c r="I11">
        <v>0</v>
      </c>
      <c r="J11">
        <v>105.48226373425108</v>
      </c>
      <c r="K11">
        <v>357.58011567553791</v>
      </c>
      <c r="L11">
        <v>0</v>
      </c>
      <c r="M11">
        <v>0</v>
      </c>
      <c r="N11">
        <v>2363.4577603143416</v>
      </c>
      <c r="O11">
        <v>2406</v>
      </c>
      <c r="P11">
        <v>956.81536533302221</v>
      </c>
      <c r="Q11">
        <v>106.86036806574434</v>
      </c>
      <c r="R11">
        <v>2391.5210397005803</v>
      </c>
      <c r="S11">
        <v>364.01655775769757</v>
      </c>
      <c r="T11">
        <v>111.60023503083765</v>
      </c>
    </row>
    <row r="12" spans="1:20" x14ac:dyDescent="0.3">
      <c r="A12">
        <f t="shared" si="1"/>
        <v>6</v>
      </c>
      <c r="B12">
        <v>99.871140627729488</v>
      </c>
      <c r="C12">
        <v>0</v>
      </c>
      <c r="D12">
        <v>0</v>
      </c>
      <c r="E12">
        <v>0</v>
      </c>
      <c r="F12">
        <v>2772.7274264003377</v>
      </c>
      <c r="G12">
        <v>2479.1955632728623</v>
      </c>
      <c r="H12">
        <v>242.43386814497802</v>
      </c>
      <c r="I12">
        <v>0</v>
      </c>
      <c r="J12">
        <v>117.82108341177428</v>
      </c>
      <c r="K12">
        <v>132.55367800666977</v>
      </c>
      <c r="L12">
        <v>0</v>
      </c>
      <c r="M12">
        <v>0</v>
      </c>
      <c r="N12">
        <v>99.871140627729488</v>
      </c>
      <c r="O12">
        <v>101.66882115902862</v>
      </c>
      <c r="P12">
        <v>101.00708865770336</v>
      </c>
      <c r="Q12">
        <v>2406</v>
      </c>
      <c r="R12">
        <v>118.36537552338248</v>
      </c>
      <c r="S12">
        <v>134.93964421078982</v>
      </c>
      <c r="T12">
        <v>124.6547062496572</v>
      </c>
    </row>
    <row r="13" spans="1:20" x14ac:dyDescent="0.3">
      <c r="A13">
        <f t="shared" si="1"/>
        <v>7</v>
      </c>
      <c r="B13">
        <v>101.76868659360764</v>
      </c>
      <c r="C13">
        <v>0</v>
      </c>
      <c r="D13">
        <v>0</v>
      </c>
      <c r="E13">
        <v>0</v>
      </c>
      <c r="F13">
        <v>2822.6226316933758</v>
      </c>
      <c r="G13">
        <v>348.37998468682264</v>
      </c>
      <c r="H13">
        <v>2421.2046668593835</v>
      </c>
      <c r="I13">
        <v>0</v>
      </c>
      <c r="J13">
        <v>117.20306070144537</v>
      </c>
      <c r="K13">
        <v>99.946830199461772</v>
      </c>
      <c r="L13">
        <v>0</v>
      </c>
      <c r="M13">
        <v>0</v>
      </c>
      <c r="N13">
        <v>101.76868659360764</v>
      </c>
      <c r="O13">
        <v>103.60052295229258</v>
      </c>
      <c r="P13">
        <v>103.84518751765113</v>
      </c>
      <c r="Q13">
        <v>237.44776370974012</v>
      </c>
      <c r="R13">
        <v>2406</v>
      </c>
      <c r="S13">
        <v>101.74587314305208</v>
      </c>
      <c r="T13">
        <v>124.0008382221292</v>
      </c>
    </row>
    <row r="14" spans="1:20" x14ac:dyDescent="0.3">
      <c r="A14">
        <f t="shared" si="1"/>
        <v>8</v>
      </c>
      <c r="B14">
        <v>171.59628549102447</v>
      </c>
      <c r="C14">
        <v>0</v>
      </c>
      <c r="D14">
        <v>0</v>
      </c>
      <c r="E14">
        <v>0</v>
      </c>
      <c r="F14">
        <v>2505.4986800924125</v>
      </c>
      <c r="G14">
        <v>2125.2381094061811</v>
      </c>
      <c r="H14">
        <v>322.23151817123687</v>
      </c>
      <c r="I14">
        <v>0</v>
      </c>
      <c r="J14">
        <v>472.3079428389027</v>
      </c>
      <c r="K14">
        <v>113.10931324358782</v>
      </c>
      <c r="L14">
        <v>0</v>
      </c>
      <c r="M14">
        <v>0</v>
      </c>
      <c r="N14">
        <v>171.59628549102447</v>
      </c>
      <c r="O14">
        <v>174.68501862986292</v>
      </c>
      <c r="P14">
        <v>103.12802875665798</v>
      </c>
      <c r="Q14">
        <v>1691.1844525365898</v>
      </c>
      <c r="R14">
        <v>220.40030806364234</v>
      </c>
      <c r="S14">
        <v>115.1452808819724</v>
      </c>
      <c r="T14">
        <v>499.70180352355908</v>
      </c>
    </row>
    <row r="15" spans="1:20" x14ac:dyDescent="0.3">
      <c r="A15">
        <f t="shared" si="1"/>
        <v>9</v>
      </c>
      <c r="B15">
        <v>132.68743906311798</v>
      </c>
      <c r="C15">
        <v>0</v>
      </c>
      <c r="D15">
        <v>0</v>
      </c>
      <c r="E15">
        <v>0</v>
      </c>
      <c r="F15">
        <v>2699.3292032462296</v>
      </c>
      <c r="G15">
        <v>222.19763129904283</v>
      </c>
      <c r="H15">
        <v>2419.7492915606808</v>
      </c>
      <c r="I15">
        <v>0</v>
      </c>
      <c r="J15">
        <v>125.776637836802</v>
      </c>
      <c r="K15">
        <v>98.440516765304352</v>
      </c>
      <c r="L15">
        <v>0</v>
      </c>
      <c r="M15">
        <v>0</v>
      </c>
      <c r="N15">
        <v>132.68743906311798</v>
      </c>
      <c r="O15">
        <v>135.07581296625409</v>
      </c>
      <c r="P15">
        <v>105.97020604493818</v>
      </c>
      <c r="Q15">
        <v>100.42055082562364</v>
      </c>
      <c r="R15">
        <v>2406</v>
      </c>
      <c r="S15">
        <v>100.21244606707982</v>
      </c>
      <c r="T15">
        <v>133.07168283133652</v>
      </c>
    </row>
    <row r="16" spans="1:20" x14ac:dyDescent="0.3">
      <c r="A16">
        <f t="shared" si="1"/>
        <v>10</v>
      </c>
      <c r="B16">
        <v>125.60288277664735</v>
      </c>
      <c r="C16">
        <v>0</v>
      </c>
      <c r="D16">
        <v>0</v>
      </c>
      <c r="E16">
        <v>0</v>
      </c>
      <c r="F16">
        <v>2784.6631800886685</v>
      </c>
      <c r="G16">
        <v>2459.3794715390732</v>
      </c>
      <c r="H16">
        <v>216.96749361559858</v>
      </c>
      <c r="I16">
        <v>0</v>
      </c>
      <c r="J16">
        <v>97.648302026776932</v>
      </c>
      <c r="K16">
        <v>102.18165787274134</v>
      </c>
      <c r="L16">
        <v>0</v>
      </c>
      <c r="M16">
        <v>0</v>
      </c>
      <c r="N16">
        <v>125.60288277664735</v>
      </c>
      <c r="O16">
        <v>127.863734666627</v>
      </c>
      <c r="P16">
        <v>158.44015217559283</v>
      </c>
      <c r="Q16">
        <v>2406</v>
      </c>
      <c r="R16">
        <v>122.37969801940318</v>
      </c>
      <c r="S16">
        <v>104.02092771445068</v>
      </c>
      <c r="T16">
        <v>103.31190354432999</v>
      </c>
    </row>
    <row r="17" spans="1:20" x14ac:dyDescent="0.3">
      <c r="A17">
        <f t="shared" si="1"/>
        <v>11</v>
      </c>
      <c r="B17">
        <v>112.60834377743332</v>
      </c>
      <c r="C17">
        <v>0</v>
      </c>
      <c r="D17">
        <v>0</v>
      </c>
      <c r="E17">
        <v>0</v>
      </c>
      <c r="F17">
        <v>4257.1017454545763</v>
      </c>
      <c r="G17">
        <v>1783.878526529998</v>
      </c>
      <c r="H17">
        <v>2447.7773178622597</v>
      </c>
      <c r="I17">
        <v>0</v>
      </c>
      <c r="J17">
        <v>1666.2178883041406</v>
      </c>
      <c r="K17">
        <v>127.44952398743834</v>
      </c>
      <c r="L17">
        <v>0</v>
      </c>
      <c r="M17">
        <v>0</v>
      </c>
      <c r="N17">
        <v>112.60834377743332</v>
      </c>
      <c r="O17">
        <v>114.63529396542712</v>
      </c>
      <c r="P17">
        <v>102.07373248050058</v>
      </c>
      <c r="Q17">
        <v>149.77045170339778</v>
      </c>
      <c r="R17">
        <v>2406</v>
      </c>
      <c r="S17">
        <v>129.74361541921223</v>
      </c>
      <c r="T17">
        <v>1762.858525825781</v>
      </c>
    </row>
    <row r="18" spans="1:20" x14ac:dyDescent="0.3">
      <c r="A18">
        <f t="shared" si="1"/>
        <v>12</v>
      </c>
      <c r="B18">
        <v>113.5962077487</v>
      </c>
      <c r="C18">
        <v>0</v>
      </c>
      <c r="D18">
        <v>0</v>
      </c>
      <c r="E18">
        <v>0</v>
      </c>
      <c r="F18">
        <v>3325.3563276694281</v>
      </c>
      <c r="G18">
        <v>3058.1259200262975</v>
      </c>
      <c r="H18">
        <v>203.91330831940695</v>
      </c>
      <c r="I18">
        <v>0</v>
      </c>
      <c r="J18">
        <v>707.1721865867712</v>
      </c>
      <c r="K18">
        <v>108.94899979867849</v>
      </c>
      <c r="L18">
        <v>0</v>
      </c>
      <c r="M18">
        <v>0</v>
      </c>
      <c r="N18">
        <v>113.5962077487</v>
      </c>
      <c r="O18">
        <v>115.6409394881766</v>
      </c>
      <c r="P18">
        <v>123.17351322177329</v>
      </c>
      <c r="Q18">
        <v>2406</v>
      </c>
      <c r="R18">
        <v>102.1012743119077</v>
      </c>
      <c r="S18">
        <v>110.91008179505469</v>
      </c>
      <c r="T18">
        <v>748.188173408804</v>
      </c>
    </row>
    <row r="19" spans="1:20" x14ac:dyDescent="0.3">
      <c r="A19">
        <f t="shared" si="1"/>
        <v>13</v>
      </c>
      <c r="B19">
        <v>117.34568428294669</v>
      </c>
      <c r="C19">
        <v>0</v>
      </c>
      <c r="D19">
        <v>0</v>
      </c>
      <c r="E19">
        <v>0</v>
      </c>
      <c r="F19">
        <v>2850.2577198792683</v>
      </c>
      <c r="G19">
        <v>269.7044165662536</v>
      </c>
      <c r="H19">
        <v>225.85794227084162</v>
      </c>
      <c r="I19">
        <v>0</v>
      </c>
      <c r="J19">
        <v>120.15523524347481</v>
      </c>
      <c r="K19">
        <v>106.00958583514428</v>
      </c>
      <c r="L19">
        <v>0</v>
      </c>
      <c r="M19">
        <v>0</v>
      </c>
      <c r="N19">
        <v>117.34568428294669</v>
      </c>
      <c r="O19">
        <v>119.45790660003973</v>
      </c>
      <c r="P19">
        <v>2406</v>
      </c>
      <c r="Q19">
        <v>154.40386082097137</v>
      </c>
      <c r="R19">
        <v>127.75338441517677</v>
      </c>
      <c r="S19">
        <v>107.91775838017688</v>
      </c>
      <c r="T19">
        <v>127.12423888759635</v>
      </c>
    </row>
    <row r="20" spans="1:20" x14ac:dyDescent="0.3">
      <c r="A20">
        <f t="shared" si="1"/>
        <v>14</v>
      </c>
      <c r="B20">
        <v>394.72595646512082</v>
      </c>
      <c r="C20">
        <v>0</v>
      </c>
      <c r="D20">
        <v>0</v>
      </c>
      <c r="E20">
        <v>0</v>
      </c>
      <c r="F20">
        <v>3134.5785635541051</v>
      </c>
      <c r="G20">
        <v>2691.7844590539921</v>
      </c>
      <c r="H20">
        <v>342.41633712316764</v>
      </c>
      <c r="I20">
        <v>0</v>
      </c>
      <c r="J20">
        <v>2129.9668765396868</v>
      </c>
      <c r="K20">
        <v>148.07730654521745</v>
      </c>
      <c r="L20">
        <v>0</v>
      </c>
      <c r="M20">
        <v>0</v>
      </c>
      <c r="N20">
        <v>394.72595646512082</v>
      </c>
      <c r="O20">
        <v>401.83102368149298</v>
      </c>
      <c r="P20">
        <v>156.8001815209189</v>
      </c>
      <c r="Q20">
        <v>610.26970277727753</v>
      </c>
      <c r="R20">
        <v>206.32360237726101</v>
      </c>
      <c r="S20">
        <v>150.74269806303136</v>
      </c>
      <c r="T20">
        <v>2253.5049553789891</v>
      </c>
    </row>
    <row r="21" spans="1:20" x14ac:dyDescent="0.3">
      <c r="A21">
        <f t="shared" si="1"/>
        <v>15</v>
      </c>
      <c r="B21">
        <v>114.31148529473553</v>
      </c>
      <c r="C21">
        <v>0</v>
      </c>
      <c r="D21">
        <v>0</v>
      </c>
      <c r="E21">
        <v>0</v>
      </c>
      <c r="F21">
        <v>2740.4405227184852</v>
      </c>
      <c r="G21">
        <v>249.31866814439059</v>
      </c>
      <c r="H21">
        <v>2422.1973536049209</v>
      </c>
      <c r="I21">
        <v>0</v>
      </c>
      <c r="J21">
        <v>139.89299375746722</v>
      </c>
      <c r="K21">
        <v>100.97426098109304</v>
      </c>
      <c r="L21">
        <v>0</v>
      </c>
      <c r="M21">
        <v>0</v>
      </c>
      <c r="N21">
        <v>114.31148529473553</v>
      </c>
      <c r="O21">
        <v>116.36909203004078</v>
      </c>
      <c r="P21">
        <v>118.2524303781065</v>
      </c>
      <c r="Q21">
        <v>113.91341041352241</v>
      </c>
      <c r="R21">
        <v>2406</v>
      </c>
      <c r="S21">
        <v>102.79179767875272</v>
      </c>
      <c r="T21">
        <v>148.00678739540035</v>
      </c>
    </row>
    <row r="22" spans="1:20" x14ac:dyDescent="0.3">
      <c r="A22">
        <f t="shared" si="1"/>
        <v>16</v>
      </c>
      <c r="B22">
        <v>109.69406146990131</v>
      </c>
      <c r="C22">
        <v>0</v>
      </c>
      <c r="D22">
        <v>0</v>
      </c>
      <c r="E22">
        <v>0</v>
      </c>
      <c r="F22">
        <v>1381.2557194368833</v>
      </c>
      <c r="G22">
        <v>234.90992502444618</v>
      </c>
      <c r="H22">
        <v>380.30924616025976</v>
      </c>
      <c r="I22">
        <v>0</v>
      </c>
      <c r="J22">
        <v>121.66900349172532</v>
      </c>
      <c r="K22">
        <v>236.75155342489305</v>
      </c>
      <c r="L22">
        <v>0</v>
      </c>
      <c r="M22">
        <v>0</v>
      </c>
      <c r="N22">
        <v>109.69406146990131</v>
      </c>
      <c r="O22">
        <v>111.66855457635954</v>
      </c>
      <c r="P22">
        <v>790.89915120204103</v>
      </c>
      <c r="Q22">
        <v>117.46930018316091</v>
      </c>
      <c r="R22">
        <v>156.86851635097577</v>
      </c>
      <c r="S22">
        <v>241.01308138654113</v>
      </c>
      <c r="T22">
        <v>128.72580569424539</v>
      </c>
    </row>
    <row r="23" spans="1:20" x14ac:dyDescent="0.3">
      <c r="A23">
        <f t="shared" si="1"/>
        <v>17</v>
      </c>
      <c r="B23">
        <v>117.18174092211022</v>
      </c>
      <c r="C23">
        <v>0</v>
      </c>
      <c r="D23">
        <v>0</v>
      </c>
      <c r="E23">
        <v>0</v>
      </c>
      <c r="F23">
        <v>3028.3576315602727</v>
      </c>
      <c r="G23">
        <v>336.13418090994861</v>
      </c>
      <c r="H23">
        <v>340.73388801840889</v>
      </c>
      <c r="I23">
        <v>0</v>
      </c>
      <c r="J23">
        <v>241.07642314312892</v>
      </c>
      <c r="K23">
        <v>101.68703857827286</v>
      </c>
      <c r="L23">
        <v>0</v>
      </c>
      <c r="M23">
        <v>0</v>
      </c>
      <c r="N23">
        <v>117.18174092211022</v>
      </c>
      <c r="O23">
        <v>119.29101225870821</v>
      </c>
      <c r="P23">
        <v>2406</v>
      </c>
      <c r="Q23">
        <v>101.10817302319879</v>
      </c>
      <c r="R23">
        <v>250.9725355207803</v>
      </c>
      <c r="S23">
        <v>103.51740527268177</v>
      </c>
      <c r="T23">
        <v>255.05885568543042</v>
      </c>
    </row>
    <row r="24" spans="1:20" x14ac:dyDescent="0.3">
      <c r="A24">
        <f t="shared" si="1"/>
        <v>18</v>
      </c>
      <c r="B24">
        <v>124.62408154684269</v>
      </c>
      <c r="C24">
        <v>0</v>
      </c>
      <c r="D24">
        <v>0</v>
      </c>
      <c r="E24">
        <v>0</v>
      </c>
      <c r="F24">
        <v>4927.3228231160683</v>
      </c>
      <c r="G24">
        <v>2339.2377140517524</v>
      </c>
      <c r="H24">
        <v>2494.5093293993395</v>
      </c>
      <c r="I24">
        <v>0</v>
      </c>
      <c r="J24">
        <v>2274.1020793950852</v>
      </c>
      <c r="K24">
        <v>2363.4577603143416</v>
      </c>
      <c r="L24">
        <v>0</v>
      </c>
      <c r="M24">
        <v>0</v>
      </c>
      <c r="N24">
        <v>124.62408154684269</v>
      </c>
      <c r="O24">
        <v>126.86731501468586</v>
      </c>
      <c r="P24">
        <v>182.26759048106524</v>
      </c>
      <c r="Q24">
        <v>107.24191350959913</v>
      </c>
      <c r="R24">
        <v>218.3593956139747</v>
      </c>
      <c r="S24">
        <v>2406</v>
      </c>
      <c r="T24">
        <v>2406</v>
      </c>
    </row>
    <row r="25" spans="1:20" x14ac:dyDescent="0.3">
      <c r="A25">
        <f t="shared" si="1"/>
        <v>19</v>
      </c>
      <c r="B25">
        <v>546.82866043033948</v>
      </c>
      <c r="C25">
        <v>0</v>
      </c>
      <c r="D25">
        <v>0</v>
      </c>
      <c r="E25">
        <v>0</v>
      </c>
      <c r="F25">
        <v>4814.2133037821895</v>
      </c>
      <c r="G25">
        <v>2336.4870363848167</v>
      </c>
      <c r="H25">
        <v>2395.2292193744729</v>
      </c>
      <c r="I25">
        <v>0</v>
      </c>
      <c r="J25">
        <v>2274.1020793950852</v>
      </c>
      <c r="K25">
        <v>2363.4577603143416</v>
      </c>
      <c r="L25">
        <v>0</v>
      </c>
      <c r="M25">
        <v>0</v>
      </c>
      <c r="N25">
        <v>546.82866043033948</v>
      </c>
      <c r="O25">
        <v>556.67157631808561</v>
      </c>
      <c r="P25">
        <v>169.15288749098028</v>
      </c>
      <c r="Q25">
        <v>104.4417236446585</v>
      </c>
      <c r="R25">
        <v>115.60448173823747</v>
      </c>
      <c r="S25">
        <v>2406</v>
      </c>
      <c r="T25">
        <v>2406</v>
      </c>
    </row>
    <row r="26" spans="1:20" x14ac:dyDescent="0.3">
      <c r="A26">
        <f t="shared" si="1"/>
        <v>20</v>
      </c>
      <c r="B26">
        <v>1175.1932946492959</v>
      </c>
      <c r="C26">
        <v>0</v>
      </c>
      <c r="D26">
        <v>0</v>
      </c>
      <c r="E26">
        <v>0</v>
      </c>
      <c r="F26">
        <v>609.00628373065058</v>
      </c>
      <c r="G26">
        <v>236.43468931636446</v>
      </c>
      <c r="H26">
        <v>273.0069223557602</v>
      </c>
      <c r="I26">
        <v>0</v>
      </c>
      <c r="J26">
        <v>134.04019712867694</v>
      </c>
      <c r="K26">
        <v>180.3311745753544</v>
      </c>
      <c r="L26">
        <v>0</v>
      </c>
      <c r="M26">
        <v>0</v>
      </c>
      <c r="N26">
        <v>1175.1932946492959</v>
      </c>
      <c r="O26">
        <v>1196.3467739529833</v>
      </c>
      <c r="P26">
        <v>110.52678516567758</v>
      </c>
      <c r="Q26">
        <v>106.65031659538211</v>
      </c>
      <c r="R26">
        <v>102.23099006285737</v>
      </c>
      <c r="S26">
        <v>183.57713571771077</v>
      </c>
      <c r="T26">
        <v>141.81452856214023</v>
      </c>
    </row>
    <row r="27" spans="1:20" x14ac:dyDescent="0.3">
      <c r="A27">
        <f t="shared" si="1"/>
        <v>21</v>
      </c>
      <c r="B27">
        <v>98.955808738057755</v>
      </c>
      <c r="C27">
        <v>0</v>
      </c>
      <c r="D27">
        <v>0</v>
      </c>
      <c r="E27">
        <v>0</v>
      </c>
      <c r="F27">
        <v>576.8517649457807</v>
      </c>
      <c r="G27">
        <v>213.7775718785266</v>
      </c>
      <c r="H27">
        <v>224.15713387426075</v>
      </c>
      <c r="I27">
        <v>0</v>
      </c>
      <c r="J27">
        <v>114.57739504272111</v>
      </c>
      <c r="K27">
        <v>104.47798849582523</v>
      </c>
      <c r="L27">
        <v>0</v>
      </c>
      <c r="M27">
        <v>0</v>
      </c>
      <c r="N27">
        <v>98.955808738057755</v>
      </c>
      <c r="O27">
        <v>100.73701329534279</v>
      </c>
      <c r="P27">
        <v>149.30039096201745</v>
      </c>
      <c r="Q27">
        <v>103.04817312961899</v>
      </c>
      <c r="R27">
        <v>127.52464506403463</v>
      </c>
      <c r="S27">
        <v>106.35859228875009</v>
      </c>
      <c r="T27">
        <v>121.22288395519894</v>
      </c>
    </row>
    <row r="28" spans="1:20" x14ac:dyDescent="0.3">
      <c r="A28">
        <f t="shared" si="1"/>
        <v>22</v>
      </c>
      <c r="B28">
        <v>276.4555517874457</v>
      </c>
      <c r="C28">
        <v>0</v>
      </c>
      <c r="D28">
        <v>0</v>
      </c>
      <c r="E28">
        <v>0</v>
      </c>
      <c r="F28">
        <v>597.1966648813559</v>
      </c>
      <c r="G28">
        <v>239.9930798060887</v>
      </c>
      <c r="H28">
        <v>241.76135704828516</v>
      </c>
      <c r="I28">
        <v>0</v>
      </c>
      <c r="J28">
        <v>141.21510417175233</v>
      </c>
      <c r="K28">
        <v>105.64958780952988</v>
      </c>
      <c r="L28">
        <v>0</v>
      </c>
      <c r="M28">
        <v>0</v>
      </c>
      <c r="N28">
        <v>276.4555517874457</v>
      </c>
      <c r="O28">
        <v>281.43175171961974</v>
      </c>
      <c r="P28">
        <v>126.1917679948464</v>
      </c>
      <c r="Q28">
        <v>103.09785107084599</v>
      </c>
      <c r="R28">
        <v>144.57341673544525</v>
      </c>
      <c r="S28">
        <v>107.55128039010141</v>
      </c>
      <c r="T28">
        <v>149.40558021371399</v>
      </c>
    </row>
    <row r="29" spans="1:20" x14ac:dyDescent="0.3">
      <c r="A29">
        <f t="shared" si="1"/>
        <v>23</v>
      </c>
      <c r="B29">
        <v>165.36962218300411</v>
      </c>
      <c r="C29">
        <v>0</v>
      </c>
      <c r="D29">
        <v>0</v>
      </c>
      <c r="E29">
        <v>0</v>
      </c>
      <c r="F29">
        <v>4850.7363238205417</v>
      </c>
      <c r="G29">
        <v>2593.586478145714</v>
      </c>
      <c r="H29">
        <v>2039.6046865807871</v>
      </c>
      <c r="I29">
        <v>0</v>
      </c>
      <c r="J29">
        <v>1448.9342464383737</v>
      </c>
      <c r="K29">
        <v>106.56848956029577</v>
      </c>
      <c r="L29">
        <v>0</v>
      </c>
      <c r="M29">
        <v>0</v>
      </c>
      <c r="N29">
        <v>165.36962218300411</v>
      </c>
      <c r="O29">
        <v>168.34627538229819</v>
      </c>
      <c r="P29">
        <v>304.85841292281043</v>
      </c>
      <c r="Q29">
        <v>1191.3367883139636</v>
      </c>
      <c r="R29">
        <v>2004.4223610508186</v>
      </c>
      <c r="S29">
        <v>108.4867223723811</v>
      </c>
      <c r="T29">
        <v>1532.9724327317997</v>
      </c>
    </row>
    <row r="30" spans="1:20" x14ac:dyDescent="0.3">
      <c r="A30">
        <f t="shared" si="1"/>
        <v>24</v>
      </c>
      <c r="B30">
        <v>103.74693419376446</v>
      </c>
      <c r="C30">
        <v>0</v>
      </c>
      <c r="D30">
        <v>0</v>
      </c>
      <c r="E30">
        <v>0</v>
      </c>
      <c r="F30">
        <v>1289.529027303297</v>
      </c>
      <c r="G30">
        <v>413.91795216216639</v>
      </c>
      <c r="H30">
        <v>196.2106672058743</v>
      </c>
      <c r="I30">
        <v>0</v>
      </c>
      <c r="J30">
        <v>316.34536742701533</v>
      </c>
      <c r="K30">
        <v>99.759643642839592</v>
      </c>
      <c r="L30">
        <v>0</v>
      </c>
      <c r="M30">
        <v>0</v>
      </c>
      <c r="N30">
        <v>103.74693419376446</v>
      </c>
      <c r="O30">
        <v>105.61437900925222</v>
      </c>
      <c r="P30">
        <v>702.61193042671562</v>
      </c>
      <c r="Q30">
        <v>105.02310787407011</v>
      </c>
      <c r="R30">
        <v>103.31839691524027</v>
      </c>
      <c r="S30">
        <v>101.5553172284107</v>
      </c>
      <c r="T30">
        <v>334.69339873778222</v>
      </c>
    </row>
    <row r="31" spans="1:20" x14ac:dyDescent="0.3">
      <c r="A31">
        <f t="shared" si="1"/>
        <v>25</v>
      </c>
      <c r="B31">
        <v>98.842299538004525</v>
      </c>
      <c r="C31">
        <v>0</v>
      </c>
      <c r="D31">
        <v>0</v>
      </c>
      <c r="E31">
        <v>0</v>
      </c>
      <c r="F31">
        <v>4209.3706435665999</v>
      </c>
      <c r="G31">
        <v>221.13648158405255</v>
      </c>
      <c r="H31">
        <v>3949.2230066347302</v>
      </c>
      <c r="I31">
        <v>0</v>
      </c>
      <c r="J31">
        <v>96.173123902485671</v>
      </c>
      <c r="K31">
        <v>1681.4458118669454</v>
      </c>
      <c r="L31">
        <v>0</v>
      </c>
      <c r="M31">
        <v>0</v>
      </c>
      <c r="N31">
        <v>98.842299538004525</v>
      </c>
      <c r="O31">
        <v>100.62146092968861</v>
      </c>
      <c r="P31">
        <v>114.77982693201602</v>
      </c>
      <c r="Q31">
        <v>128.94381435007983</v>
      </c>
      <c r="R31">
        <v>2406</v>
      </c>
      <c r="S31">
        <v>1711.7118364805503</v>
      </c>
      <c r="T31">
        <v>101.75116508882985</v>
      </c>
    </row>
    <row r="32" spans="1:20" x14ac:dyDescent="0.3">
      <c r="A32">
        <f t="shared" si="1"/>
        <v>26</v>
      </c>
      <c r="B32">
        <v>161.01127408331422</v>
      </c>
      <c r="C32">
        <v>0</v>
      </c>
      <c r="D32">
        <v>0</v>
      </c>
      <c r="E32">
        <v>0</v>
      </c>
      <c r="F32">
        <v>2417.07947893563</v>
      </c>
      <c r="G32">
        <v>1889.0504034215157</v>
      </c>
      <c r="H32">
        <v>469.42052798550668</v>
      </c>
      <c r="I32">
        <v>0</v>
      </c>
      <c r="J32">
        <v>95.226736035470907</v>
      </c>
      <c r="K32">
        <v>137.16648826268462</v>
      </c>
      <c r="L32">
        <v>0</v>
      </c>
      <c r="M32">
        <v>0</v>
      </c>
      <c r="N32">
        <v>161.01127408331422</v>
      </c>
      <c r="O32">
        <v>163.90947701681387</v>
      </c>
      <c r="P32">
        <v>102.11597814944875</v>
      </c>
      <c r="Q32">
        <v>1827.8265746476322</v>
      </c>
      <c r="R32">
        <v>348.68375820231472</v>
      </c>
      <c r="S32">
        <v>139.63548505141296</v>
      </c>
      <c r="T32">
        <v>100.74988672552823</v>
      </c>
    </row>
    <row r="33" spans="1:20" x14ac:dyDescent="0.3">
      <c r="A33">
        <f t="shared" si="1"/>
        <v>27</v>
      </c>
      <c r="B33">
        <v>119.58185731597064</v>
      </c>
      <c r="C33">
        <v>0</v>
      </c>
      <c r="D33">
        <v>0</v>
      </c>
      <c r="E33">
        <v>0</v>
      </c>
      <c r="F33">
        <v>1335.2590449104575</v>
      </c>
      <c r="G33">
        <v>224.13564448803723</v>
      </c>
      <c r="H33">
        <v>970.47786534669717</v>
      </c>
      <c r="I33">
        <v>0</v>
      </c>
      <c r="J33">
        <v>123.30721568003011</v>
      </c>
      <c r="K33">
        <v>890.40534620637834</v>
      </c>
      <c r="L33">
        <v>0</v>
      </c>
      <c r="M33">
        <v>0</v>
      </c>
      <c r="N33">
        <v>119.58185731597064</v>
      </c>
      <c r="O33">
        <v>121.73433074765811</v>
      </c>
      <c r="P33">
        <v>164.68019788411141</v>
      </c>
      <c r="Q33">
        <v>104.86287040879182</v>
      </c>
      <c r="R33">
        <v>114.03924442745316</v>
      </c>
      <c r="S33">
        <v>906.43264243809313</v>
      </c>
      <c r="T33">
        <v>130.45903418947188</v>
      </c>
    </row>
    <row r="34" spans="1:20" x14ac:dyDescent="0.3">
      <c r="A34">
        <f t="shared" si="1"/>
        <v>28</v>
      </c>
      <c r="B34">
        <v>356.59469756349984</v>
      </c>
      <c r="C34">
        <v>0</v>
      </c>
      <c r="D34">
        <v>0</v>
      </c>
      <c r="E34">
        <v>0</v>
      </c>
      <c r="F34">
        <v>2881.4113882547122</v>
      </c>
      <c r="G34">
        <v>401.68068785168634</v>
      </c>
      <c r="H34">
        <v>2425.9372846256333</v>
      </c>
      <c r="I34">
        <v>0</v>
      </c>
      <c r="J34">
        <v>96.391785024837617</v>
      </c>
      <c r="K34">
        <v>104.84508958753047</v>
      </c>
      <c r="L34">
        <v>0</v>
      </c>
      <c r="M34">
        <v>0</v>
      </c>
      <c r="N34">
        <v>356.59469756349984</v>
      </c>
      <c r="O34">
        <v>363.01340211964282</v>
      </c>
      <c r="P34">
        <v>105.65882076597765</v>
      </c>
      <c r="Q34">
        <v>312.51915520817909</v>
      </c>
      <c r="R34">
        <v>2406</v>
      </c>
      <c r="S34">
        <v>106.73230120010602</v>
      </c>
      <c r="T34">
        <v>101.9825085562782</v>
      </c>
    </row>
    <row r="35" spans="1:20" x14ac:dyDescent="0.3">
      <c r="A35">
        <f t="shared" si="1"/>
        <v>29</v>
      </c>
      <c r="B35">
        <v>172.95434035498795</v>
      </c>
      <c r="C35">
        <v>0</v>
      </c>
      <c r="D35">
        <v>0</v>
      </c>
      <c r="E35">
        <v>0</v>
      </c>
      <c r="F35">
        <v>710.95111518291401</v>
      </c>
      <c r="G35">
        <v>239.19885968319403</v>
      </c>
      <c r="H35">
        <v>380.01477807078629</v>
      </c>
      <c r="I35">
        <v>0</v>
      </c>
      <c r="J35">
        <v>94.701058965799746</v>
      </c>
      <c r="K35">
        <v>276.96164179479581</v>
      </c>
      <c r="L35">
        <v>0</v>
      </c>
      <c r="M35">
        <v>0</v>
      </c>
      <c r="N35">
        <v>172.95434035498795</v>
      </c>
      <c r="O35">
        <v>176.06751848137773</v>
      </c>
      <c r="P35">
        <v>104.53459750222613</v>
      </c>
      <c r="Q35">
        <v>148.80338019169182</v>
      </c>
      <c r="R35">
        <v>116.35365350846797</v>
      </c>
      <c r="S35">
        <v>281.94695134710213</v>
      </c>
      <c r="T35">
        <v>100.19372038581614</v>
      </c>
    </row>
    <row r="36" spans="1:20" x14ac:dyDescent="0.3">
      <c r="A36">
        <f t="shared" si="1"/>
        <v>30</v>
      </c>
      <c r="B36">
        <v>132.67819261101874</v>
      </c>
      <c r="C36">
        <v>0</v>
      </c>
      <c r="D36">
        <v>0</v>
      </c>
      <c r="E36">
        <v>0</v>
      </c>
      <c r="F36">
        <v>532.88251548611368</v>
      </c>
      <c r="G36">
        <v>198.68192713009131</v>
      </c>
      <c r="H36">
        <v>204.30811945439621</v>
      </c>
      <c r="I36">
        <v>0</v>
      </c>
      <c r="J36">
        <v>97.21228879223618</v>
      </c>
      <c r="K36">
        <v>111.05631737167602</v>
      </c>
      <c r="L36">
        <v>0</v>
      </c>
      <c r="M36">
        <v>0</v>
      </c>
      <c r="N36">
        <v>132.67819261101874</v>
      </c>
      <c r="O36">
        <v>135.06640007801707</v>
      </c>
      <c r="P36">
        <v>139.48435418037622</v>
      </c>
      <c r="Q36">
        <v>105.04591302619681</v>
      </c>
      <c r="R36">
        <v>100.40258626362404</v>
      </c>
      <c r="S36">
        <v>113.05533108436619</v>
      </c>
      <c r="T36">
        <v>102.85060154218588</v>
      </c>
    </row>
    <row r="37" spans="1:20" x14ac:dyDescent="0.3">
      <c r="A37">
        <f t="shared" si="1"/>
        <v>31</v>
      </c>
      <c r="B37">
        <v>112.17601239633534</v>
      </c>
      <c r="C37">
        <v>0</v>
      </c>
      <c r="D37">
        <v>0</v>
      </c>
      <c r="E37">
        <v>0</v>
      </c>
      <c r="F37">
        <v>852.33365212401486</v>
      </c>
      <c r="G37">
        <v>521.2982683105306</v>
      </c>
      <c r="H37">
        <v>242.93672531567927</v>
      </c>
      <c r="I37">
        <v>0</v>
      </c>
      <c r="J37">
        <v>422.25541523102976</v>
      </c>
      <c r="K37">
        <v>121.51905191389707</v>
      </c>
      <c r="L37">
        <v>0</v>
      </c>
      <c r="M37">
        <v>0</v>
      </c>
      <c r="N37">
        <v>112.17601239633534</v>
      </c>
      <c r="O37">
        <v>114.19518061946937</v>
      </c>
      <c r="P37">
        <v>103.44066423603718</v>
      </c>
      <c r="Q37">
        <v>108.42622190909049</v>
      </c>
      <c r="R37">
        <v>129.92045878783097</v>
      </c>
      <c r="S37">
        <v>123.70639484834722</v>
      </c>
      <c r="T37">
        <v>446.74622931442951</v>
      </c>
    </row>
    <row r="38" spans="1:20" x14ac:dyDescent="0.3">
      <c r="A38">
        <f t="shared" si="1"/>
        <v>32</v>
      </c>
      <c r="B38">
        <v>117.72887607407563</v>
      </c>
      <c r="C38">
        <v>0</v>
      </c>
      <c r="D38">
        <v>0</v>
      </c>
      <c r="E38">
        <v>0</v>
      </c>
      <c r="F38">
        <v>606.46442496617169</v>
      </c>
      <c r="G38">
        <v>196.88971484421955</v>
      </c>
      <c r="H38">
        <v>197.49134503218181</v>
      </c>
      <c r="I38">
        <v>0</v>
      </c>
      <c r="J38">
        <v>98.019714604561202</v>
      </c>
      <c r="K38">
        <v>102.25619181789023</v>
      </c>
      <c r="L38">
        <v>0</v>
      </c>
      <c r="M38">
        <v>0</v>
      </c>
      <c r="N38">
        <v>117.72887607407563</v>
      </c>
      <c r="O38">
        <v>119.847995843409</v>
      </c>
      <c r="P38">
        <v>222.99972473916131</v>
      </c>
      <c r="Q38">
        <v>102.41401510685432</v>
      </c>
      <c r="R38">
        <v>102.14735029041792</v>
      </c>
      <c r="S38">
        <v>104.09680327061226</v>
      </c>
      <c r="T38">
        <v>103.70485805162576</v>
      </c>
    </row>
    <row r="39" spans="1:20" x14ac:dyDescent="0.3">
      <c r="A39">
        <f t="shared" si="1"/>
        <v>33</v>
      </c>
      <c r="B39">
        <v>498.28817126602337</v>
      </c>
      <c r="C39">
        <v>0</v>
      </c>
      <c r="D39">
        <v>0</v>
      </c>
      <c r="E39">
        <v>0</v>
      </c>
      <c r="F39">
        <v>502.88258658519919</v>
      </c>
      <c r="G39">
        <v>201.77292426480491</v>
      </c>
      <c r="H39">
        <v>208.70275942256404</v>
      </c>
      <c r="I39">
        <v>0</v>
      </c>
      <c r="J39">
        <v>99.730949895018085</v>
      </c>
      <c r="K39">
        <v>110.63344294001615</v>
      </c>
      <c r="L39">
        <v>0</v>
      </c>
      <c r="M39">
        <v>0</v>
      </c>
      <c r="N39">
        <v>498.28817126602337</v>
      </c>
      <c r="O39">
        <v>507.25735834881181</v>
      </c>
      <c r="P39">
        <v>101.45878945636385</v>
      </c>
      <c r="Q39">
        <v>105.67388700655334</v>
      </c>
      <c r="R39">
        <v>105.37391306233762</v>
      </c>
      <c r="S39">
        <v>112.62484491293644</v>
      </c>
      <c r="T39">
        <v>105.51534498892914</v>
      </c>
    </row>
    <row r="40" spans="1:20" x14ac:dyDescent="0.3">
      <c r="A40">
        <f t="shared" si="1"/>
        <v>34</v>
      </c>
      <c r="B40">
        <v>155.72335837486065</v>
      </c>
      <c r="C40">
        <v>0</v>
      </c>
      <c r="D40">
        <v>0</v>
      </c>
      <c r="E40">
        <v>0</v>
      </c>
      <c r="F40">
        <v>664.3299805033198</v>
      </c>
      <c r="G40">
        <v>283.32917870665983</v>
      </c>
      <c r="H40">
        <v>228.22906249678852</v>
      </c>
      <c r="I40">
        <v>0</v>
      </c>
      <c r="J40">
        <v>136.08067951052371</v>
      </c>
      <c r="K40">
        <v>121.41013662908288</v>
      </c>
      <c r="L40">
        <v>0</v>
      </c>
      <c r="M40">
        <v>0</v>
      </c>
      <c r="N40">
        <v>155.72335837486065</v>
      </c>
      <c r="O40">
        <v>158.52637882560813</v>
      </c>
      <c r="P40">
        <v>164.72967894893117</v>
      </c>
      <c r="Q40">
        <v>152.34842441285605</v>
      </c>
      <c r="R40">
        <v>114.80694305509319</v>
      </c>
      <c r="S40">
        <v>123.59551908840638</v>
      </c>
      <c r="T40">
        <v>143.97335892213411</v>
      </c>
    </row>
    <row r="41" spans="1:20" x14ac:dyDescent="0.3">
      <c r="A41">
        <f t="shared" si="1"/>
        <v>35</v>
      </c>
      <c r="B41">
        <v>169.5267884929851</v>
      </c>
      <c r="C41">
        <v>0</v>
      </c>
      <c r="D41">
        <v>0</v>
      </c>
      <c r="E41">
        <v>0</v>
      </c>
      <c r="F41">
        <v>4932.1887297074281</v>
      </c>
      <c r="G41">
        <v>2348.8952330064803</v>
      </c>
      <c r="H41">
        <v>2529.5549552198672</v>
      </c>
      <c r="I41">
        <v>0</v>
      </c>
      <c r="J41">
        <v>2274.1020793950852</v>
      </c>
      <c r="K41">
        <v>212.08937865256243</v>
      </c>
      <c r="L41">
        <v>0</v>
      </c>
      <c r="M41">
        <v>0</v>
      </c>
      <c r="N41">
        <v>169.5267884929851</v>
      </c>
      <c r="O41">
        <v>172.57827068585883</v>
      </c>
      <c r="P41">
        <v>142.51793861581447</v>
      </c>
      <c r="Q41">
        <v>117.07326780551205</v>
      </c>
      <c r="R41">
        <v>2406</v>
      </c>
      <c r="S41">
        <v>215.90698746830856</v>
      </c>
      <c r="T41">
        <v>2406</v>
      </c>
    </row>
    <row r="42" spans="1:20" x14ac:dyDescent="0.3">
      <c r="A42">
        <f t="shared" si="1"/>
        <v>36</v>
      </c>
      <c r="B42">
        <v>99.682076492427129</v>
      </c>
      <c r="C42">
        <v>0</v>
      </c>
      <c r="D42">
        <v>0</v>
      </c>
      <c r="E42">
        <v>0</v>
      </c>
      <c r="F42">
        <v>1124.7252275164601</v>
      </c>
      <c r="G42">
        <v>482.50372267605229</v>
      </c>
      <c r="H42">
        <v>202.22655149830007</v>
      </c>
      <c r="I42">
        <v>0</v>
      </c>
      <c r="J42">
        <v>184.07696435339088</v>
      </c>
      <c r="K42">
        <v>103.12568540376721</v>
      </c>
      <c r="L42">
        <v>0</v>
      </c>
      <c r="M42">
        <v>0</v>
      </c>
      <c r="N42">
        <v>99.682076492427129</v>
      </c>
      <c r="O42">
        <v>101.47635386929082</v>
      </c>
      <c r="P42">
        <v>460.24000743740413</v>
      </c>
      <c r="Q42">
        <v>307.11182533083041</v>
      </c>
      <c r="R42">
        <v>106.17879539697333</v>
      </c>
      <c r="S42">
        <v>104.98194774103501</v>
      </c>
      <c r="T42">
        <v>194.75342828588757</v>
      </c>
    </row>
    <row r="43" spans="1:20" x14ac:dyDescent="0.3">
      <c r="A43">
        <f t="shared" si="1"/>
        <v>37</v>
      </c>
      <c r="B43">
        <v>100.8852543342238</v>
      </c>
      <c r="C43">
        <v>0</v>
      </c>
      <c r="D43">
        <v>0</v>
      </c>
      <c r="E43">
        <v>0</v>
      </c>
      <c r="F43">
        <v>5676.597533630289</v>
      </c>
      <c r="G43">
        <v>2430.3986060664611</v>
      </c>
      <c r="H43">
        <v>1965.3944185472596</v>
      </c>
      <c r="I43">
        <v>0</v>
      </c>
      <c r="J43">
        <v>2274.1020793950852</v>
      </c>
      <c r="K43">
        <v>107.04355232463708</v>
      </c>
      <c r="L43">
        <v>0</v>
      </c>
      <c r="M43">
        <v>0</v>
      </c>
      <c r="N43">
        <v>100.8852543342238</v>
      </c>
      <c r="O43">
        <v>102.70118891223983</v>
      </c>
      <c r="P43">
        <v>1382.983264621914</v>
      </c>
      <c r="Q43">
        <v>200.0437015805727</v>
      </c>
      <c r="R43">
        <v>1927.1396708717766</v>
      </c>
      <c r="S43">
        <v>108.97033626648054</v>
      </c>
      <c r="T43">
        <v>2406</v>
      </c>
    </row>
    <row r="44" spans="1:20" x14ac:dyDescent="0.3">
      <c r="A44">
        <f t="shared" si="1"/>
        <v>38</v>
      </c>
      <c r="B44">
        <v>98.509153719750756</v>
      </c>
      <c r="C44">
        <v>0</v>
      </c>
      <c r="D44">
        <v>0</v>
      </c>
      <c r="E44">
        <v>0</v>
      </c>
      <c r="F44">
        <v>553.07876215046701</v>
      </c>
      <c r="G44">
        <v>243.20354887151819</v>
      </c>
      <c r="H44">
        <v>209.97259168937495</v>
      </c>
      <c r="I44">
        <v>0</v>
      </c>
      <c r="J44">
        <v>147.07945750505405</v>
      </c>
      <c r="K44">
        <v>115.23812696567079</v>
      </c>
      <c r="L44">
        <v>0</v>
      </c>
      <c r="M44">
        <v>0</v>
      </c>
      <c r="N44">
        <v>98.509153719750756</v>
      </c>
      <c r="O44">
        <v>100.28231848670627</v>
      </c>
      <c r="P44">
        <v>109.85803930828223</v>
      </c>
      <c r="Q44">
        <v>100.5017552461515</v>
      </c>
      <c r="R44">
        <v>102.08350543283228</v>
      </c>
      <c r="S44">
        <v>117.31241325105286</v>
      </c>
      <c r="T44">
        <v>155.61006604034719</v>
      </c>
    </row>
    <row r="45" spans="1:20" x14ac:dyDescent="0.3">
      <c r="A45">
        <f t="shared" si="1"/>
        <v>39</v>
      </c>
      <c r="B45">
        <v>2363.4577603143416</v>
      </c>
      <c r="C45">
        <v>0</v>
      </c>
      <c r="D45">
        <v>0</v>
      </c>
      <c r="E45">
        <v>0</v>
      </c>
      <c r="F45">
        <v>547.81598918425766</v>
      </c>
      <c r="G45">
        <v>236.77015856544375</v>
      </c>
      <c r="H45">
        <v>196.13202048956538</v>
      </c>
      <c r="I45">
        <v>0</v>
      </c>
      <c r="J45">
        <v>140.9984640209515</v>
      </c>
      <c r="K45">
        <v>101.29951985586743</v>
      </c>
      <c r="L45">
        <v>0</v>
      </c>
      <c r="M45">
        <v>0</v>
      </c>
      <c r="N45">
        <v>2363.4577603143416</v>
      </c>
      <c r="O45">
        <v>2406</v>
      </c>
      <c r="P45">
        <v>124.77449793456518</v>
      </c>
      <c r="Q45">
        <v>100.0335573986703</v>
      </c>
      <c r="R45">
        <v>101.69712135083272</v>
      </c>
      <c r="S45">
        <v>103.12291121327304</v>
      </c>
      <c r="T45">
        <v>149.17637493416669</v>
      </c>
    </row>
    <row r="46" spans="1:20" x14ac:dyDescent="0.3">
      <c r="A46">
        <f t="shared" si="1"/>
        <v>40</v>
      </c>
      <c r="B46">
        <v>401.19011585389649</v>
      </c>
      <c r="C46">
        <v>0</v>
      </c>
      <c r="D46">
        <v>0</v>
      </c>
      <c r="E46">
        <v>0</v>
      </c>
      <c r="F46">
        <v>2719.7135489868888</v>
      </c>
      <c r="G46">
        <v>239.13757342214501</v>
      </c>
      <c r="H46">
        <v>2426.4753906616229</v>
      </c>
      <c r="I46">
        <v>0</v>
      </c>
      <c r="J46">
        <v>126.00531481305805</v>
      </c>
      <c r="K46">
        <v>105.40202933477947</v>
      </c>
      <c r="L46">
        <v>0</v>
      </c>
      <c r="M46">
        <v>0</v>
      </c>
      <c r="N46">
        <v>401.19011585389649</v>
      </c>
      <c r="O46">
        <v>408.41153793926662</v>
      </c>
      <c r="P46">
        <v>103.05542878488481</v>
      </c>
      <c r="Q46">
        <v>117.43673493068562</v>
      </c>
      <c r="R46">
        <v>2406</v>
      </c>
      <c r="S46">
        <v>107.2992658628055</v>
      </c>
      <c r="T46">
        <v>133.31362307221542</v>
      </c>
    </row>
    <row r="47" spans="1:20" x14ac:dyDescent="0.3">
      <c r="A47">
        <f t="shared" si="1"/>
        <v>41</v>
      </c>
      <c r="B47">
        <v>99.047524301336225</v>
      </c>
      <c r="C47">
        <v>0</v>
      </c>
      <c r="D47">
        <v>0</v>
      </c>
      <c r="E47">
        <v>0</v>
      </c>
      <c r="F47">
        <v>2694.2575779997842</v>
      </c>
      <c r="G47">
        <v>2349.5021644537665</v>
      </c>
      <c r="H47">
        <v>276.73037818303777</v>
      </c>
      <c r="I47">
        <v>0</v>
      </c>
      <c r="J47">
        <v>2274.1020793950852</v>
      </c>
      <c r="K47">
        <v>164.9121106292103</v>
      </c>
      <c r="L47">
        <v>0</v>
      </c>
      <c r="M47">
        <v>0</v>
      </c>
      <c r="N47">
        <v>99.047524301336225</v>
      </c>
      <c r="O47">
        <v>100.83037973876027</v>
      </c>
      <c r="P47">
        <v>116.52167176697658</v>
      </c>
      <c r="Q47">
        <v>117.69112401884918</v>
      </c>
      <c r="R47">
        <v>121.50383079023376</v>
      </c>
      <c r="S47">
        <v>167.8805286205361</v>
      </c>
      <c r="T47">
        <v>2406</v>
      </c>
    </row>
    <row r="48" spans="1:20" x14ac:dyDescent="0.3">
      <c r="A48">
        <f t="shared" si="1"/>
        <v>42</v>
      </c>
      <c r="B48">
        <v>99.963095573999027</v>
      </c>
      <c r="C48">
        <v>0</v>
      </c>
      <c r="D48">
        <v>0</v>
      </c>
      <c r="E48">
        <v>0</v>
      </c>
      <c r="F48">
        <v>2750.9239349624604</v>
      </c>
      <c r="G48">
        <v>232.01665362888301</v>
      </c>
      <c r="H48">
        <v>2422.712546779379</v>
      </c>
      <c r="I48">
        <v>0</v>
      </c>
      <c r="J48">
        <v>110.06819716896526</v>
      </c>
      <c r="K48">
        <v>101.5074859166572</v>
      </c>
      <c r="L48">
        <v>0</v>
      </c>
      <c r="M48">
        <v>0</v>
      </c>
      <c r="N48">
        <v>99.963095573999027</v>
      </c>
      <c r="O48">
        <v>101.76243129433101</v>
      </c>
      <c r="P48">
        <v>145.71136538352209</v>
      </c>
      <c r="Q48">
        <v>126.12475622523766</v>
      </c>
      <c r="R48">
        <v>2406</v>
      </c>
      <c r="S48">
        <v>103.33462066315704</v>
      </c>
      <c r="T48">
        <v>116.45215260476525</v>
      </c>
    </row>
    <row r="49" spans="1:20" x14ac:dyDescent="0.3">
      <c r="A49">
        <f t="shared" si="1"/>
        <v>43</v>
      </c>
      <c r="B49">
        <v>100.40339101200853</v>
      </c>
      <c r="C49">
        <v>0</v>
      </c>
      <c r="D49">
        <v>0</v>
      </c>
      <c r="E49">
        <v>0</v>
      </c>
      <c r="F49">
        <v>512.57299545634658</v>
      </c>
      <c r="G49">
        <v>192.52989904010269</v>
      </c>
      <c r="H49">
        <v>216.53799019641215</v>
      </c>
      <c r="I49">
        <v>0</v>
      </c>
      <c r="J49">
        <v>95.736999993142319</v>
      </c>
      <c r="K49">
        <v>110.63583177411337</v>
      </c>
      <c r="L49">
        <v>0</v>
      </c>
      <c r="M49">
        <v>0</v>
      </c>
      <c r="N49">
        <v>100.40339101200853</v>
      </c>
      <c r="O49">
        <v>102.21065205022468</v>
      </c>
      <c r="P49">
        <v>112.73142013804602</v>
      </c>
      <c r="Q49">
        <v>100.25843722968223</v>
      </c>
      <c r="R49">
        <v>113.48098807917319</v>
      </c>
      <c r="S49">
        <v>112.62727674604741</v>
      </c>
      <c r="T49">
        <v>101.28974599274459</v>
      </c>
    </row>
    <row r="50" spans="1:20" x14ac:dyDescent="0.3">
      <c r="A50">
        <f t="shared" si="1"/>
        <v>44</v>
      </c>
      <c r="B50">
        <v>100.91804554224854</v>
      </c>
      <c r="C50">
        <v>0</v>
      </c>
      <c r="D50">
        <v>0</v>
      </c>
      <c r="E50">
        <v>0</v>
      </c>
      <c r="F50">
        <v>708.12021095035573</v>
      </c>
      <c r="G50">
        <v>225.69465964239313</v>
      </c>
      <c r="H50">
        <v>322.46701941297783</v>
      </c>
      <c r="I50">
        <v>0</v>
      </c>
      <c r="J50">
        <v>95.505766570640191</v>
      </c>
      <c r="K50">
        <v>98.6123819724437</v>
      </c>
      <c r="L50">
        <v>0</v>
      </c>
      <c r="M50">
        <v>0</v>
      </c>
      <c r="N50">
        <v>100.91804554224854</v>
      </c>
      <c r="O50">
        <v>102.73457036200901</v>
      </c>
      <c r="P50">
        <v>172.70469569209109</v>
      </c>
      <c r="Q50">
        <v>134.25139694531603</v>
      </c>
      <c r="R50">
        <v>235.14098311998833</v>
      </c>
      <c r="S50">
        <v>100.38740484794769</v>
      </c>
      <c r="T50">
        <v>101.04510103173733</v>
      </c>
    </row>
    <row r="51" spans="1:20" x14ac:dyDescent="0.3">
      <c r="A51">
        <f t="shared" si="1"/>
        <v>45</v>
      </c>
      <c r="B51">
        <v>115.12195728646817</v>
      </c>
      <c r="C51">
        <v>0</v>
      </c>
      <c r="D51">
        <v>0</v>
      </c>
      <c r="E51">
        <v>0</v>
      </c>
      <c r="F51">
        <v>2588.0603701869259</v>
      </c>
      <c r="G51">
        <v>2333.0603862068747</v>
      </c>
      <c r="H51">
        <v>201.11572371367834</v>
      </c>
      <c r="I51">
        <v>0</v>
      </c>
      <c r="J51">
        <v>2274.1020793950852</v>
      </c>
      <c r="K51">
        <v>98.298803571512053</v>
      </c>
      <c r="L51">
        <v>0</v>
      </c>
      <c r="M51">
        <v>0</v>
      </c>
      <c r="N51">
        <v>115.12195728646817</v>
      </c>
      <c r="O51">
        <v>117.1941525176246</v>
      </c>
      <c r="P51">
        <v>100.46934692973782</v>
      </c>
      <c r="Q51">
        <v>100.9533937635136</v>
      </c>
      <c r="R51">
        <v>109.85597047214499</v>
      </c>
      <c r="S51">
        <v>100.06818203579927</v>
      </c>
      <c r="T51">
        <v>2406</v>
      </c>
    </row>
    <row r="52" spans="1:20" x14ac:dyDescent="0.3">
      <c r="A52">
        <f t="shared" si="1"/>
        <v>46</v>
      </c>
      <c r="B52">
        <v>143.93735576180345</v>
      </c>
      <c r="C52">
        <v>0</v>
      </c>
      <c r="D52">
        <v>0</v>
      </c>
      <c r="E52">
        <v>0</v>
      </c>
      <c r="F52">
        <v>3060.5396836184364</v>
      </c>
      <c r="G52">
        <v>545.65075133001108</v>
      </c>
      <c r="H52">
        <v>2389.7931467390126</v>
      </c>
      <c r="I52">
        <v>0</v>
      </c>
      <c r="J52">
        <v>103.62197430342999</v>
      </c>
      <c r="K52">
        <v>2363.4577603143416</v>
      </c>
      <c r="L52">
        <v>0</v>
      </c>
      <c r="M52">
        <v>0</v>
      </c>
      <c r="N52">
        <v>143.93735576180345</v>
      </c>
      <c r="O52">
        <v>146.52822816551591</v>
      </c>
      <c r="P52">
        <v>180.18549985454456</v>
      </c>
      <c r="Q52">
        <v>451.85049055052133</v>
      </c>
      <c r="R52">
        <v>109.9781465605364</v>
      </c>
      <c r="S52">
        <v>2406</v>
      </c>
      <c r="T52">
        <v>109.63204881302894</v>
      </c>
    </row>
    <row r="53" spans="1:20" x14ac:dyDescent="0.3">
      <c r="A53">
        <f t="shared" si="1"/>
        <v>47</v>
      </c>
      <c r="B53">
        <v>114.96133940817246</v>
      </c>
      <c r="C53">
        <v>0</v>
      </c>
      <c r="D53">
        <v>0</v>
      </c>
      <c r="E53">
        <v>0</v>
      </c>
      <c r="F53">
        <v>1326.108400586375</v>
      </c>
      <c r="G53">
        <v>414.77871896743255</v>
      </c>
      <c r="H53">
        <v>776.66660012914485</v>
      </c>
      <c r="I53">
        <v>0</v>
      </c>
      <c r="J53">
        <v>294.31576513923881</v>
      </c>
      <c r="K53">
        <v>651.23479436274135</v>
      </c>
      <c r="L53">
        <v>0</v>
      </c>
      <c r="M53">
        <v>0</v>
      </c>
      <c r="N53">
        <v>114.96133940817246</v>
      </c>
      <c r="O53">
        <v>117.03064351751956</v>
      </c>
      <c r="P53">
        <v>158.53303270035246</v>
      </c>
      <c r="Q53">
        <v>127.92897076960762</v>
      </c>
      <c r="R53">
        <v>152.61513677092341</v>
      </c>
      <c r="S53">
        <v>662.95702066127069</v>
      </c>
      <c r="T53">
        <v>311.38607951731467</v>
      </c>
    </row>
    <row r="54" spans="1:20" x14ac:dyDescent="0.3">
      <c r="A54">
        <f t="shared" si="1"/>
        <v>48</v>
      </c>
      <c r="B54">
        <v>99.729335666368996</v>
      </c>
      <c r="C54">
        <v>0</v>
      </c>
      <c r="D54">
        <v>0</v>
      </c>
      <c r="E54">
        <v>0</v>
      </c>
      <c r="F54">
        <v>4755.3996974939309</v>
      </c>
      <c r="G54">
        <v>2332.9121361020143</v>
      </c>
      <c r="H54">
        <v>2397.8302635669047</v>
      </c>
      <c r="I54">
        <v>0</v>
      </c>
      <c r="J54">
        <v>2274.1020793950852</v>
      </c>
      <c r="K54">
        <v>2363.4577603143416</v>
      </c>
      <c r="L54">
        <v>0</v>
      </c>
      <c r="M54">
        <v>0</v>
      </c>
      <c r="N54">
        <v>99.729335666368996</v>
      </c>
      <c r="O54">
        <v>101.52446370836364</v>
      </c>
      <c r="P54">
        <v>110.25449237990316</v>
      </c>
      <c r="Q54">
        <v>100.80247515676554</v>
      </c>
      <c r="R54">
        <v>118.29656247740455</v>
      </c>
      <c r="S54">
        <v>2406</v>
      </c>
      <c r="T54">
        <v>2406</v>
      </c>
    </row>
    <row r="55" spans="1:20" x14ac:dyDescent="0.3">
      <c r="A55">
        <f t="shared" si="1"/>
        <v>49</v>
      </c>
      <c r="B55">
        <v>131.59494680045964</v>
      </c>
      <c r="C55">
        <v>0</v>
      </c>
      <c r="D55">
        <v>0</v>
      </c>
      <c r="E55">
        <v>0</v>
      </c>
      <c r="F55">
        <v>615.59109105161258</v>
      </c>
      <c r="G55">
        <v>241.43616957330343</v>
      </c>
      <c r="H55">
        <v>250.0131297600613</v>
      </c>
      <c r="I55">
        <v>0</v>
      </c>
      <c r="J55">
        <v>114.72295620640631</v>
      </c>
      <c r="K55">
        <v>158.57383662714224</v>
      </c>
      <c r="L55">
        <v>0</v>
      </c>
      <c r="M55">
        <v>0</v>
      </c>
      <c r="N55">
        <v>131.59494680045964</v>
      </c>
      <c r="O55">
        <v>133.96365584286792</v>
      </c>
      <c r="P55">
        <v>135.22243135717693</v>
      </c>
      <c r="Q55">
        <v>131.05906441921661</v>
      </c>
      <c r="R55">
        <v>100.18975267452117</v>
      </c>
      <c r="S55">
        <v>161.42816568643082</v>
      </c>
      <c r="T55">
        <v>121.37688766637788</v>
      </c>
    </row>
    <row r="56" spans="1:20" x14ac:dyDescent="0.3">
      <c r="A56">
        <f t="shared" si="1"/>
        <v>50</v>
      </c>
      <c r="B56">
        <v>109.79538194877965</v>
      </c>
      <c r="C56">
        <v>0</v>
      </c>
      <c r="D56">
        <v>0</v>
      </c>
      <c r="E56">
        <v>0</v>
      </c>
      <c r="F56">
        <v>633.6716653073629</v>
      </c>
      <c r="G56">
        <v>198.14874434236526</v>
      </c>
      <c r="H56">
        <v>283.70427899088736</v>
      </c>
      <c r="I56">
        <v>0</v>
      </c>
      <c r="J56">
        <v>100.59121616002713</v>
      </c>
      <c r="K56">
        <v>161.1123422957042</v>
      </c>
      <c r="L56">
        <v>0</v>
      </c>
      <c r="M56">
        <v>0</v>
      </c>
      <c r="N56">
        <v>109.79538194877965</v>
      </c>
      <c r="O56">
        <v>111.77169882385769</v>
      </c>
      <c r="P56">
        <v>163.22473194964283</v>
      </c>
      <c r="Q56">
        <v>101.12420558050074</v>
      </c>
      <c r="R56">
        <v>132.52158645986418</v>
      </c>
      <c r="S56">
        <v>164.01236445702688</v>
      </c>
      <c r="T56">
        <v>106.42550669730871</v>
      </c>
    </row>
    <row r="57" spans="1:20" x14ac:dyDescent="0.3">
      <c r="A57">
        <f t="shared" si="1"/>
        <v>51</v>
      </c>
      <c r="B57">
        <v>160.62338532501377</v>
      </c>
      <c r="C57">
        <v>0</v>
      </c>
      <c r="D57">
        <v>0</v>
      </c>
      <c r="E57">
        <v>0</v>
      </c>
      <c r="F57">
        <v>2752.0657206424162</v>
      </c>
      <c r="G57">
        <v>194.34912152753776</v>
      </c>
      <c r="H57">
        <v>2420.9793795288206</v>
      </c>
      <c r="I57">
        <v>0</v>
      </c>
      <c r="J57">
        <v>94.774825198766862</v>
      </c>
      <c r="K57">
        <v>99.713657812328847</v>
      </c>
      <c r="L57">
        <v>0</v>
      </c>
      <c r="M57">
        <v>0</v>
      </c>
      <c r="N57">
        <v>160.62338532501377</v>
      </c>
      <c r="O57">
        <v>163.51460626086401</v>
      </c>
      <c r="P57">
        <v>186.27440255762207</v>
      </c>
      <c r="Q57">
        <v>103.07258051626661</v>
      </c>
      <c r="R57">
        <v>2406</v>
      </c>
      <c r="S57">
        <v>101.50850365295076</v>
      </c>
      <c r="T57">
        <v>100.27176506029535</v>
      </c>
    </row>
    <row r="58" spans="1:20" x14ac:dyDescent="0.3">
      <c r="A58">
        <f t="shared" si="1"/>
        <v>52</v>
      </c>
      <c r="B58">
        <v>119.03162490221496</v>
      </c>
      <c r="C58">
        <v>0</v>
      </c>
      <c r="D58">
        <v>0</v>
      </c>
      <c r="E58">
        <v>0</v>
      </c>
      <c r="F58">
        <v>1359.5270256770282</v>
      </c>
      <c r="G58">
        <v>242.64722958522526</v>
      </c>
      <c r="H58">
        <v>202.49126437958799</v>
      </c>
      <c r="I58">
        <v>0</v>
      </c>
      <c r="J58">
        <v>95.033331956675994</v>
      </c>
      <c r="K58">
        <v>101.6997543654997</v>
      </c>
      <c r="L58">
        <v>0</v>
      </c>
      <c r="M58">
        <v>0</v>
      </c>
      <c r="N58">
        <v>119.03162490221496</v>
      </c>
      <c r="O58">
        <v>121.17419415045482</v>
      </c>
      <c r="P58">
        <v>938.86001817440172</v>
      </c>
      <c r="Q58">
        <v>151.98154776108333</v>
      </c>
      <c r="R58">
        <v>107.87870426737386</v>
      </c>
      <c r="S58">
        <v>103.53034994407869</v>
      </c>
      <c r="T58">
        <v>100.54526521016321</v>
      </c>
    </row>
    <row r="59" spans="1:20" x14ac:dyDescent="0.3">
      <c r="A59">
        <f t="shared" si="1"/>
        <v>53</v>
      </c>
      <c r="B59">
        <v>105.96835790389957</v>
      </c>
      <c r="C59">
        <v>0</v>
      </c>
      <c r="D59">
        <v>0</v>
      </c>
      <c r="E59">
        <v>0</v>
      </c>
      <c r="F59">
        <v>548.96970168915357</v>
      </c>
      <c r="G59">
        <v>234.44559528660682</v>
      </c>
      <c r="H59">
        <v>222.73414895346895</v>
      </c>
      <c r="I59">
        <v>0</v>
      </c>
      <c r="J59">
        <v>131.1375130059144</v>
      </c>
      <c r="K59">
        <v>98.71884590888142</v>
      </c>
      <c r="L59">
        <v>0</v>
      </c>
      <c r="M59">
        <v>0</v>
      </c>
      <c r="N59">
        <v>105.96835790389957</v>
      </c>
      <c r="O59">
        <v>107.87578834616977</v>
      </c>
      <c r="P59">
        <v>101.67141207948248</v>
      </c>
      <c r="Q59">
        <v>107.52810299585138</v>
      </c>
      <c r="R59">
        <v>131.81099825795894</v>
      </c>
      <c r="S59">
        <v>100.49578513524129</v>
      </c>
      <c r="T59">
        <v>138.74348876025746</v>
      </c>
    </row>
    <row r="60" spans="1:20" x14ac:dyDescent="0.3">
      <c r="A60">
        <f t="shared" si="1"/>
        <v>54</v>
      </c>
      <c r="B60">
        <v>117.70670738341174</v>
      </c>
      <c r="C60">
        <v>0</v>
      </c>
      <c r="D60">
        <v>0</v>
      </c>
      <c r="E60">
        <v>0</v>
      </c>
      <c r="F60">
        <v>767.43013149298554</v>
      </c>
      <c r="G60">
        <v>196.50581932342743</v>
      </c>
      <c r="H60">
        <v>479.67562634009028</v>
      </c>
      <c r="I60">
        <v>0</v>
      </c>
      <c r="J60">
        <v>98.762718247602038</v>
      </c>
      <c r="K60">
        <v>134.98653108155736</v>
      </c>
      <c r="L60">
        <v>0</v>
      </c>
      <c r="M60">
        <v>0</v>
      </c>
      <c r="N60">
        <v>117.70670738341174</v>
      </c>
      <c r="O60">
        <v>119.82542811631315</v>
      </c>
      <c r="P60">
        <v>105.06242819634153</v>
      </c>
      <c r="Q60">
        <v>101.28020582364709</v>
      </c>
      <c r="R60">
        <v>361.47774218043605</v>
      </c>
      <c r="S60">
        <v>137.4162886410254</v>
      </c>
      <c r="T60">
        <v>104.49095590596296</v>
      </c>
    </row>
    <row r="61" spans="1:20" x14ac:dyDescent="0.3">
      <c r="A61">
        <f t="shared" si="1"/>
        <v>55</v>
      </c>
      <c r="B61">
        <v>110.23837613887871</v>
      </c>
      <c r="C61">
        <v>0</v>
      </c>
      <c r="D61">
        <v>0</v>
      </c>
      <c r="E61">
        <v>0</v>
      </c>
      <c r="F61">
        <v>582.2561493282459</v>
      </c>
      <c r="G61">
        <v>240.53971330473703</v>
      </c>
      <c r="H61">
        <v>246.06121504286347</v>
      </c>
      <c r="I61">
        <v>0</v>
      </c>
      <c r="J61">
        <v>104.77420402726415</v>
      </c>
      <c r="K61">
        <v>123.04865734698393</v>
      </c>
      <c r="L61">
        <v>0</v>
      </c>
      <c r="M61">
        <v>0</v>
      </c>
      <c r="N61">
        <v>110.23837613887871</v>
      </c>
      <c r="O61">
        <v>112.22266690937852</v>
      </c>
      <c r="P61">
        <v>106.13583166855378</v>
      </c>
      <c r="Q61">
        <v>140.09522411695818</v>
      </c>
      <c r="R61">
        <v>131.62470022237972</v>
      </c>
      <c r="S61">
        <v>125.26353317922964</v>
      </c>
      <c r="T61">
        <v>110.85110786084549</v>
      </c>
    </row>
    <row r="62" spans="1:20" x14ac:dyDescent="0.3">
      <c r="A62">
        <f t="shared" si="1"/>
        <v>56</v>
      </c>
      <c r="B62">
        <v>101.8058410825379</v>
      </c>
      <c r="C62">
        <v>0</v>
      </c>
      <c r="D62">
        <v>0</v>
      </c>
      <c r="E62">
        <v>0</v>
      </c>
      <c r="F62">
        <v>541.53917900693671</v>
      </c>
      <c r="G62">
        <v>203.72030626771723</v>
      </c>
      <c r="H62">
        <v>226.20239078361038</v>
      </c>
      <c r="I62">
        <v>0</v>
      </c>
      <c r="J62">
        <v>96.117641362792739</v>
      </c>
      <c r="K62">
        <v>120.20956973863773</v>
      </c>
      <c r="L62">
        <v>0</v>
      </c>
      <c r="M62">
        <v>0</v>
      </c>
      <c r="N62">
        <v>101.8058410825379</v>
      </c>
      <c r="O62">
        <v>103.63834622202357</v>
      </c>
      <c r="P62">
        <v>121.36418717773401</v>
      </c>
      <c r="Q62">
        <v>111.26963041774343</v>
      </c>
      <c r="R62">
        <v>113.90990472239902</v>
      </c>
      <c r="S62">
        <v>122.37334199393321</v>
      </c>
      <c r="T62">
        <v>101.69246456183473</v>
      </c>
    </row>
    <row r="63" spans="1:20" x14ac:dyDescent="0.3">
      <c r="A63">
        <f t="shared" si="1"/>
        <v>57</v>
      </c>
      <c r="B63">
        <v>112.98891660874814</v>
      </c>
      <c r="C63">
        <v>0</v>
      </c>
      <c r="D63">
        <v>0</v>
      </c>
      <c r="E63">
        <v>0</v>
      </c>
      <c r="F63">
        <v>701.3087442709932</v>
      </c>
      <c r="G63">
        <v>289.00673126375648</v>
      </c>
      <c r="H63">
        <v>316.48127707436777</v>
      </c>
      <c r="I63">
        <v>0</v>
      </c>
      <c r="J63">
        <v>96.852119692984331</v>
      </c>
      <c r="K63">
        <v>221.94263206862377</v>
      </c>
      <c r="L63">
        <v>0</v>
      </c>
      <c r="M63">
        <v>0</v>
      </c>
      <c r="N63">
        <v>112.98891660874814</v>
      </c>
      <c r="O63">
        <v>115.0227171077056</v>
      </c>
      <c r="P63">
        <v>108.4442933297468</v>
      </c>
      <c r="Q63">
        <v>197.35673273351978</v>
      </c>
      <c r="R63">
        <v>105.61548970334688</v>
      </c>
      <c r="S63">
        <v>225.93759944585901</v>
      </c>
      <c r="T63">
        <v>102.46954263517743</v>
      </c>
    </row>
    <row r="64" spans="1:20" x14ac:dyDescent="0.3">
      <c r="A64">
        <f t="shared" si="1"/>
        <v>58</v>
      </c>
      <c r="B64">
        <v>102.166834826268</v>
      </c>
      <c r="C64">
        <v>0</v>
      </c>
      <c r="D64">
        <v>0</v>
      </c>
      <c r="E64">
        <v>0</v>
      </c>
      <c r="F64">
        <v>891.93818760011095</v>
      </c>
      <c r="G64">
        <v>325.65412301016465</v>
      </c>
      <c r="H64">
        <v>478.52096619758566</v>
      </c>
      <c r="I64">
        <v>0</v>
      </c>
      <c r="J64">
        <v>99.177581745361579</v>
      </c>
      <c r="K64">
        <v>141.82313738246702</v>
      </c>
      <c r="L64">
        <v>0</v>
      </c>
      <c r="M64">
        <v>0</v>
      </c>
      <c r="N64">
        <v>102.166834826268</v>
      </c>
      <c r="O64">
        <v>104.00583785314083</v>
      </c>
      <c r="P64">
        <v>103.81798576916266</v>
      </c>
      <c r="Q64">
        <v>232.33831547898609</v>
      </c>
      <c r="R64">
        <v>353.44606263203411</v>
      </c>
      <c r="S64">
        <v>144.37595385535144</v>
      </c>
      <c r="T64">
        <v>104.92988148659256</v>
      </c>
    </row>
    <row r="65" spans="1:20" x14ac:dyDescent="0.3">
      <c r="A65">
        <f t="shared" si="1"/>
        <v>59</v>
      </c>
      <c r="B65">
        <v>2363.4577603143416</v>
      </c>
      <c r="C65">
        <v>0</v>
      </c>
      <c r="D65">
        <v>0</v>
      </c>
      <c r="E65">
        <v>0</v>
      </c>
      <c r="F65">
        <v>4141.3172267321461</v>
      </c>
      <c r="G65">
        <v>245.3874564040589</v>
      </c>
      <c r="H65">
        <v>3811.1398777531836</v>
      </c>
      <c r="I65">
        <v>0</v>
      </c>
      <c r="J65">
        <v>143.59213921019452</v>
      </c>
      <c r="K65">
        <v>1538.5297734745448</v>
      </c>
      <c r="L65">
        <v>0</v>
      </c>
      <c r="M65">
        <v>0</v>
      </c>
      <c r="N65">
        <v>2363.4577603143416</v>
      </c>
      <c r="O65">
        <v>2406</v>
      </c>
      <c r="P65">
        <v>159.33360265608187</v>
      </c>
      <c r="Q65">
        <v>106.21229140913746</v>
      </c>
      <c r="R65">
        <v>2406</v>
      </c>
      <c r="S65">
        <v>1566.2233093970865</v>
      </c>
      <c r="T65">
        <v>151.92048328438582</v>
      </c>
    </row>
    <row r="66" spans="1:20" x14ac:dyDescent="0.3">
      <c r="A66">
        <f t="shared" si="1"/>
        <v>60</v>
      </c>
      <c r="B66">
        <v>245.83943291818704</v>
      </c>
      <c r="C66">
        <v>0</v>
      </c>
      <c r="D66">
        <v>0</v>
      </c>
      <c r="E66">
        <v>0</v>
      </c>
      <c r="F66">
        <v>490.50239663887862</v>
      </c>
      <c r="G66">
        <v>197.66212185820709</v>
      </c>
      <c r="H66">
        <v>199.99737112168111</v>
      </c>
      <c r="I66">
        <v>0</v>
      </c>
      <c r="J66">
        <v>98.93962336716892</v>
      </c>
      <c r="K66">
        <v>105.04073828059408</v>
      </c>
      <c r="L66">
        <v>0</v>
      </c>
      <c r="M66">
        <v>0</v>
      </c>
      <c r="N66">
        <v>245.83943291818704</v>
      </c>
      <c r="O66">
        <v>250.26454271071441</v>
      </c>
      <c r="P66">
        <v>101.67194679849021</v>
      </c>
      <c r="Q66">
        <v>102.28041668448591</v>
      </c>
      <c r="R66">
        <v>101.95654083034584</v>
      </c>
      <c r="S66">
        <v>106.93147156964478</v>
      </c>
      <c r="T66">
        <v>104.67812152246472</v>
      </c>
    </row>
    <row r="67" spans="1:20" x14ac:dyDescent="0.3">
      <c r="A67">
        <f t="shared" si="1"/>
        <v>61</v>
      </c>
      <c r="B67">
        <v>103.11771240431881</v>
      </c>
      <c r="C67">
        <v>0</v>
      </c>
      <c r="D67">
        <v>0</v>
      </c>
      <c r="E67">
        <v>0</v>
      </c>
      <c r="F67">
        <v>1826.5222313938191</v>
      </c>
      <c r="G67">
        <v>331.59904095238193</v>
      </c>
      <c r="H67">
        <v>214.44635410720483</v>
      </c>
      <c r="I67">
        <v>0</v>
      </c>
      <c r="J67">
        <v>94.811191688600104</v>
      </c>
      <c r="K67">
        <v>99.977360203412729</v>
      </c>
      <c r="L67">
        <v>0</v>
      </c>
      <c r="M67">
        <v>0</v>
      </c>
      <c r="N67">
        <v>103.11771240431881</v>
      </c>
      <c r="O67">
        <v>104.97383122759655</v>
      </c>
      <c r="P67">
        <v>1313.3542364993209</v>
      </c>
      <c r="Q67">
        <v>242.75663200092472</v>
      </c>
      <c r="R67">
        <v>121.97461629754426</v>
      </c>
      <c r="S67">
        <v>101.77695268707416</v>
      </c>
      <c r="T67">
        <v>100.31024080653891</v>
      </c>
    </row>
    <row r="68" spans="1:20" x14ac:dyDescent="0.3">
      <c r="A68">
        <f t="shared" si="1"/>
        <v>62</v>
      </c>
      <c r="B68">
        <v>107.59910240678924</v>
      </c>
      <c r="C68">
        <v>0</v>
      </c>
      <c r="D68">
        <v>0</v>
      </c>
      <c r="E68">
        <v>0</v>
      </c>
      <c r="F68">
        <v>1210.0003291585649</v>
      </c>
      <c r="G68">
        <v>272.60196462392963</v>
      </c>
      <c r="H68">
        <v>213.88163070647124</v>
      </c>
      <c r="I68">
        <v>0</v>
      </c>
      <c r="J68">
        <v>166.55441010510128</v>
      </c>
      <c r="K68">
        <v>107.89791188481161</v>
      </c>
      <c r="L68">
        <v>0</v>
      </c>
      <c r="M68">
        <v>0</v>
      </c>
      <c r="N68">
        <v>107.59910240678924</v>
      </c>
      <c r="O68">
        <v>109.53588625011145</v>
      </c>
      <c r="P68">
        <v>745.29673975301819</v>
      </c>
      <c r="Q68">
        <v>110.95438988205913</v>
      </c>
      <c r="R68">
        <v>113.4695758963861</v>
      </c>
      <c r="S68">
        <v>109.84007429873822</v>
      </c>
      <c r="T68">
        <v>176.21456589119717</v>
      </c>
    </row>
    <row r="69" spans="1:20" x14ac:dyDescent="0.3">
      <c r="A69">
        <f t="shared" si="1"/>
        <v>63</v>
      </c>
      <c r="B69">
        <v>106.57047138884992</v>
      </c>
      <c r="C69">
        <v>0</v>
      </c>
      <c r="D69">
        <v>0</v>
      </c>
      <c r="E69">
        <v>0</v>
      </c>
      <c r="F69">
        <v>651.99287360629864</v>
      </c>
      <c r="G69">
        <v>229.37154898043354</v>
      </c>
      <c r="H69">
        <v>296.13172489942286</v>
      </c>
      <c r="I69">
        <v>0</v>
      </c>
      <c r="J69">
        <v>114.15740434961742</v>
      </c>
      <c r="K69">
        <v>105.42523969092196</v>
      </c>
      <c r="L69">
        <v>0</v>
      </c>
      <c r="M69">
        <v>0</v>
      </c>
      <c r="N69">
        <v>106.57047138884992</v>
      </c>
      <c r="O69">
        <v>108.48873987384923</v>
      </c>
      <c r="P69">
        <v>138.22547145135556</v>
      </c>
      <c r="Q69">
        <v>119.34283251246394</v>
      </c>
      <c r="R69">
        <v>201.07109557998069</v>
      </c>
      <c r="S69">
        <v>107.32289400535855</v>
      </c>
      <c r="T69">
        <v>120.77853380189524</v>
      </c>
    </row>
    <row r="70" spans="1:20" x14ac:dyDescent="0.3">
      <c r="A70">
        <f t="shared" si="1"/>
        <v>64</v>
      </c>
      <c r="B70">
        <v>171.086776006099</v>
      </c>
      <c r="C70">
        <v>0</v>
      </c>
      <c r="D70">
        <v>0</v>
      </c>
      <c r="E70">
        <v>0</v>
      </c>
      <c r="F70">
        <v>1805.8612894994749</v>
      </c>
      <c r="G70">
        <v>200.5891915074929</v>
      </c>
      <c r="H70">
        <v>1494.9657948257195</v>
      </c>
      <c r="I70">
        <v>0</v>
      </c>
      <c r="J70">
        <v>98.188800591341419</v>
      </c>
      <c r="K70">
        <v>198.47946019355123</v>
      </c>
      <c r="L70">
        <v>0</v>
      </c>
      <c r="M70">
        <v>0</v>
      </c>
      <c r="N70">
        <v>171.086776006099</v>
      </c>
      <c r="O70">
        <v>174.16633797420877</v>
      </c>
      <c r="P70">
        <v>142.81180637725299</v>
      </c>
      <c r="Q70">
        <v>106.01099636328637</v>
      </c>
      <c r="R70">
        <v>1348.8101374510684</v>
      </c>
      <c r="S70">
        <v>202.05209047703516</v>
      </c>
      <c r="T70">
        <v>103.88375102563923</v>
      </c>
    </row>
    <row r="71" spans="1:20" x14ac:dyDescent="0.3">
      <c r="A71">
        <f t="shared" si="1"/>
        <v>65</v>
      </c>
      <c r="B71">
        <v>138.22446129614394</v>
      </c>
      <c r="C71">
        <v>0</v>
      </c>
      <c r="D71">
        <v>0</v>
      </c>
      <c r="E71">
        <v>0</v>
      </c>
      <c r="F71">
        <v>749.53849602393711</v>
      </c>
      <c r="G71">
        <v>228.44910142428387</v>
      </c>
      <c r="H71">
        <v>396.05311231287624</v>
      </c>
      <c r="I71">
        <v>0</v>
      </c>
      <c r="J71">
        <v>130.24036178688837</v>
      </c>
      <c r="K71">
        <v>101.56621650909108</v>
      </c>
      <c r="L71">
        <v>0</v>
      </c>
      <c r="M71">
        <v>0</v>
      </c>
      <c r="N71">
        <v>138.22446129614394</v>
      </c>
      <c r="O71">
        <v>140.71250159947454</v>
      </c>
      <c r="P71">
        <v>138.5279752152079</v>
      </c>
      <c r="Q71">
        <v>102.32082346303261</v>
      </c>
      <c r="R71">
        <v>308.34875473473585</v>
      </c>
      <c r="S71">
        <v>103.39440840625471</v>
      </c>
      <c r="T71">
        <v>137.79430277052791</v>
      </c>
    </row>
    <row r="72" spans="1:20" x14ac:dyDescent="0.3">
      <c r="A72">
        <f t="shared" si="1"/>
        <v>66</v>
      </c>
      <c r="B72">
        <v>103.83966336049691</v>
      </c>
      <c r="C72">
        <v>0</v>
      </c>
      <c r="D72">
        <v>0</v>
      </c>
      <c r="E72">
        <v>0</v>
      </c>
      <c r="F72">
        <v>765.50155702911445</v>
      </c>
      <c r="G72">
        <v>196.80393062469943</v>
      </c>
      <c r="H72">
        <v>251.47692597686222</v>
      </c>
      <c r="I72">
        <v>0</v>
      </c>
      <c r="J72">
        <v>97.042028342039018</v>
      </c>
      <c r="K72">
        <v>117.34410048892178</v>
      </c>
      <c r="L72">
        <v>0</v>
      </c>
      <c r="M72">
        <v>0</v>
      </c>
      <c r="N72">
        <v>103.83966336049691</v>
      </c>
      <c r="O72">
        <v>105.70877730098586</v>
      </c>
      <c r="P72">
        <v>330.99972845407694</v>
      </c>
      <c r="Q72">
        <v>103.30437303390502</v>
      </c>
      <c r="R72">
        <v>142.9345178971306</v>
      </c>
      <c r="S72">
        <v>119.45629429772238</v>
      </c>
      <c r="T72">
        <v>102.67046598587729</v>
      </c>
    </row>
    <row r="73" spans="1:20" x14ac:dyDescent="0.3">
      <c r="A73">
        <f t="shared" ref="A73:A106" si="2">A72 + 1</f>
        <v>67</v>
      </c>
      <c r="B73">
        <v>149.38968741197743</v>
      </c>
      <c r="C73">
        <v>0</v>
      </c>
      <c r="D73">
        <v>0</v>
      </c>
      <c r="E73">
        <v>0</v>
      </c>
      <c r="F73">
        <v>2756.9559419255384</v>
      </c>
      <c r="G73">
        <v>2361.5357429823234</v>
      </c>
      <c r="H73">
        <v>234.65502021845975</v>
      </c>
      <c r="I73">
        <v>0</v>
      </c>
      <c r="J73">
        <v>2274.1020793950852</v>
      </c>
      <c r="K73">
        <v>102.82256943242278</v>
      </c>
      <c r="L73">
        <v>0</v>
      </c>
      <c r="M73">
        <v>0</v>
      </c>
      <c r="N73">
        <v>149.38968741197743</v>
      </c>
      <c r="O73">
        <v>152.07870178539304</v>
      </c>
      <c r="P73">
        <v>210.39038567941478</v>
      </c>
      <c r="Q73">
        <v>129.94130696092029</v>
      </c>
      <c r="R73">
        <v>140.04537649368302</v>
      </c>
      <c r="S73">
        <v>104.6733756822064</v>
      </c>
      <c r="T73">
        <v>2406</v>
      </c>
    </row>
    <row r="74" spans="1:20" x14ac:dyDescent="0.3">
      <c r="A74">
        <f t="shared" si="2"/>
        <v>68</v>
      </c>
      <c r="B74">
        <v>2363.4577603143416</v>
      </c>
      <c r="C74">
        <v>0</v>
      </c>
      <c r="D74">
        <v>0</v>
      </c>
      <c r="E74">
        <v>0</v>
      </c>
      <c r="F74">
        <v>4248.554329900142</v>
      </c>
      <c r="G74">
        <v>2381.3848112221999</v>
      </c>
      <c r="H74">
        <v>1843.2906713517762</v>
      </c>
      <c r="I74">
        <v>0</v>
      </c>
      <c r="J74">
        <v>2274.1020793950852</v>
      </c>
      <c r="K74">
        <v>730.20300304400723</v>
      </c>
      <c r="L74">
        <v>0</v>
      </c>
      <c r="M74">
        <v>0</v>
      </c>
      <c r="N74">
        <v>2363.4577603143416</v>
      </c>
      <c r="O74">
        <v>2406</v>
      </c>
      <c r="P74">
        <v>100.35282526436839</v>
      </c>
      <c r="Q74">
        <v>150.14765842911456</v>
      </c>
      <c r="R74">
        <v>1177.602841805081</v>
      </c>
      <c r="S74">
        <v>743.34665709879937</v>
      </c>
      <c r="T74">
        <v>2406</v>
      </c>
    </row>
    <row r="75" spans="1:20" x14ac:dyDescent="0.3">
      <c r="A75">
        <f t="shared" si="2"/>
        <v>69</v>
      </c>
      <c r="B75">
        <v>98.437482415358687</v>
      </c>
      <c r="C75">
        <v>0</v>
      </c>
      <c r="D75">
        <v>0</v>
      </c>
      <c r="E75">
        <v>0</v>
      </c>
      <c r="F75">
        <v>3150.7763608626146</v>
      </c>
      <c r="G75">
        <v>488.58382824838543</v>
      </c>
      <c r="H75">
        <v>312.90650710975603</v>
      </c>
      <c r="I75">
        <v>0</v>
      </c>
      <c r="J75">
        <v>103.76424205948015</v>
      </c>
      <c r="K75">
        <v>220.7597757269495</v>
      </c>
      <c r="L75">
        <v>0</v>
      </c>
      <c r="M75">
        <v>0</v>
      </c>
      <c r="N75">
        <v>98.437482415358687</v>
      </c>
      <c r="O75">
        <v>100.20935709883514</v>
      </c>
      <c r="P75">
        <v>2406</v>
      </c>
      <c r="Q75">
        <v>393.61409509737626</v>
      </c>
      <c r="R75">
        <v>103.09845913164796</v>
      </c>
      <c r="S75">
        <v>224.7334516900346</v>
      </c>
      <c r="T75">
        <v>109.78256809893001</v>
      </c>
    </row>
    <row r="76" spans="1:20" x14ac:dyDescent="0.3">
      <c r="A76">
        <f t="shared" si="2"/>
        <v>70</v>
      </c>
      <c r="B76">
        <v>98.886355969409138</v>
      </c>
      <c r="C76">
        <v>0</v>
      </c>
      <c r="D76">
        <v>0</v>
      </c>
      <c r="E76">
        <v>0</v>
      </c>
      <c r="F76">
        <v>655.35612662148765</v>
      </c>
      <c r="G76">
        <v>306.48476480907766</v>
      </c>
      <c r="H76">
        <v>249.3729788246136</v>
      </c>
      <c r="I76">
        <v>0</v>
      </c>
      <c r="J76">
        <v>97.341887030088415</v>
      </c>
      <c r="K76">
        <v>139.15726470266694</v>
      </c>
      <c r="L76">
        <v>0</v>
      </c>
      <c r="M76">
        <v>0</v>
      </c>
      <c r="N76">
        <v>98.886355969409138</v>
      </c>
      <c r="O76">
        <v>100.6663103768585</v>
      </c>
      <c r="P76">
        <v>111.29479326698313</v>
      </c>
      <c r="Q76">
        <v>214.65960354555267</v>
      </c>
      <c r="R76">
        <v>118.94376838080811</v>
      </c>
      <c r="S76">
        <v>141.66209546731494</v>
      </c>
      <c r="T76">
        <v>102.98771647783356</v>
      </c>
    </row>
    <row r="77" spans="1:20" x14ac:dyDescent="0.3">
      <c r="A77">
        <f t="shared" si="2"/>
        <v>71</v>
      </c>
      <c r="B77">
        <v>100.84037810528602</v>
      </c>
      <c r="C77">
        <v>0</v>
      </c>
      <c r="D77">
        <v>0</v>
      </c>
      <c r="E77">
        <v>0</v>
      </c>
      <c r="F77">
        <v>1531.9663622751855</v>
      </c>
      <c r="G77">
        <v>369.88431598685298</v>
      </c>
      <c r="H77">
        <v>227.89648885723386</v>
      </c>
      <c r="I77">
        <v>0</v>
      </c>
      <c r="J77">
        <v>246.43109612633091</v>
      </c>
      <c r="K77">
        <v>108.33120617459757</v>
      </c>
      <c r="L77">
        <v>0</v>
      </c>
      <c r="M77">
        <v>0</v>
      </c>
      <c r="N77">
        <v>100.84037810528602</v>
      </c>
      <c r="O77">
        <v>102.65550491118117</v>
      </c>
      <c r="P77">
        <v>961.7609519520521</v>
      </c>
      <c r="Q77">
        <v>130.11113754828546</v>
      </c>
      <c r="R77">
        <v>127.54165979263948</v>
      </c>
      <c r="S77">
        <v>110.28116788574033</v>
      </c>
      <c r="T77">
        <v>260.72409970165813</v>
      </c>
    </row>
    <row r="78" spans="1:20" x14ac:dyDescent="0.3">
      <c r="A78">
        <f t="shared" si="2"/>
        <v>72</v>
      </c>
      <c r="B78">
        <v>109.58262019640348</v>
      </c>
      <c r="C78">
        <v>0</v>
      </c>
      <c r="D78">
        <v>0</v>
      </c>
      <c r="E78">
        <v>0</v>
      </c>
      <c r="F78">
        <v>620.82189611648062</v>
      </c>
      <c r="G78">
        <v>248.17051967263114</v>
      </c>
      <c r="H78">
        <v>281.07327821187704</v>
      </c>
      <c r="I78">
        <v>0</v>
      </c>
      <c r="J78">
        <v>150.05852821621352</v>
      </c>
      <c r="K78">
        <v>129.2554204111479</v>
      </c>
      <c r="L78">
        <v>0</v>
      </c>
      <c r="M78">
        <v>0</v>
      </c>
      <c r="N78">
        <v>109.58262019640348</v>
      </c>
      <c r="O78">
        <v>111.55510735993875</v>
      </c>
      <c r="P78">
        <v>102.75289236206908</v>
      </c>
      <c r="Q78">
        <v>102.57906081052499</v>
      </c>
      <c r="R78">
        <v>161.65542253814482</v>
      </c>
      <c r="S78">
        <v>131.58201797854855</v>
      </c>
      <c r="T78">
        <v>158.76192285275391</v>
      </c>
    </row>
    <row r="79" spans="1:20" x14ac:dyDescent="0.3">
      <c r="A79">
        <f t="shared" si="2"/>
        <v>73</v>
      </c>
      <c r="B79">
        <v>111.08782553505674</v>
      </c>
      <c r="C79">
        <v>0</v>
      </c>
      <c r="D79">
        <v>0</v>
      </c>
      <c r="E79">
        <v>0</v>
      </c>
      <c r="F79">
        <v>2682.7492397600131</v>
      </c>
      <c r="G79">
        <v>213.32584178637003</v>
      </c>
      <c r="H79">
        <v>2415.8003303042242</v>
      </c>
      <c r="I79">
        <v>0</v>
      </c>
      <c r="J79">
        <v>107.74973983899464</v>
      </c>
      <c r="K79">
        <v>2363.4577603143416</v>
      </c>
      <c r="L79">
        <v>0</v>
      </c>
      <c r="M79">
        <v>0</v>
      </c>
      <c r="N79">
        <v>111.08782553505674</v>
      </c>
      <c r="O79">
        <v>113.08740639468776</v>
      </c>
      <c r="P79">
        <v>101.91255398509965</v>
      </c>
      <c r="Q79">
        <v>109.41596709953008</v>
      </c>
      <c r="R79">
        <v>136.89558155053001</v>
      </c>
      <c r="S79">
        <v>2406</v>
      </c>
      <c r="T79">
        <v>113.99922474965635</v>
      </c>
    </row>
    <row r="80" spans="1:20" x14ac:dyDescent="0.3">
      <c r="A80">
        <f t="shared" si="2"/>
        <v>74</v>
      </c>
      <c r="B80">
        <v>181.23041636764685</v>
      </c>
      <c r="C80">
        <v>0</v>
      </c>
      <c r="D80">
        <v>0</v>
      </c>
      <c r="E80">
        <v>0</v>
      </c>
      <c r="F80">
        <v>821.78188331933302</v>
      </c>
      <c r="G80">
        <v>521.20608781066699</v>
      </c>
      <c r="H80">
        <v>210.30543247043173</v>
      </c>
      <c r="I80">
        <v>0</v>
      </c>
      <c r="J80">
        <v>199.70170190417338</v>
      </c>
      <c r="K80">
        <v>110.8483569679469</v>
      </c>
      <c r="L80">
        <v>0</v>
      </c>
      <c r="M80">
        <v>0</v>
      </c>
      <c r="N80">
        <v>181.23041636764685</v>
      </c>
      <c r="O80">
        <v>184.49256386226449</v>
      </c>
      <c r="P80">
        <v>105.06243693798241</v>
      </c>
      <c r="Q80">
        <v>330.88609548708564</v>
      </c>
      <c r="R80">
        <v>106.81776563894992</v>
      </c>
      <c r="S80">
        <v>112.84362739336994</v>
      </c>
      <c r="T80">
        <v>211.28440061461544</v>
      </c>
    </row>
    <row r="81" spans="1:20" x14ac:dyDescent="0.3">
      <c r="A81">
        <f t="shared" si="2"/>
        <v>75</v>
      </c>
      <c r="B81">
        <v>110.6837672283265</v>
      </c>
      <c r="C81">
        <v>0</v>
      </c>
      <c r="D81">
        <v>0</v>
      </c>
      <c r="E81">
        <v>0</v>
      </c>
      <c r="F81">
        <v>1616.3037957591487</v>
      </c>
      <c r="G81">
        <v>193.00227894704693</v>
      </c>
      <c r="H81">
        <v>284.37790005703096</v>
      </c>
      <c r="I81">
        <v>0</v>
      </c>
      <c r="J81">
        <v>94.705746684227364</v>
      </c>
      <c r="K81">
        <v>173.84943543548007</v>
      </c>
      <c r="L81">
        <v>0</v>
      </c>
      <c r="M81">
        <v>0</v>
      </c>
      <c r="N81">
        <v>110.6837672283265</v>
      </c>
      <c r="O81">
        <v>112.67607503843638</v>
      </c>
      <c r="P81">
        <v>1168.0170850787356</v>
      </c>
      <c r="Q81">
        <v>101.77057328386645</v>
      </c>
      <c r="R81">
        <v>120.48169112354692</v>
      </c>
      <c r="S81">
        <v>176.97872527331873</v>
      </c>
      <c r="T81">
        <v>100.19867999191257</v>
      </c>
    </row>
    <row r="82" spans="1:20" x14ac:dyDescent="0.3">
      <c r="A82">
        <f t="shared" si="2"/>
        <v>76</v>
      </c>
      <c r="B82">
        <v>804.60275627233102</v>
      </c>
      <c r="C82">
        <v>0</v>
      </c>
      <c r="D82">
        <v>0</v>
      </c>
      <c r="E82">
        <v>0</v>
      </c>
      <c r="F82">
        <v>3100.6862578428486</v>
      </c>
      <c r="G82">
        <v>360.01138284168701</v>
      </c>
      <c r="H82">
        <v>390.48722764233264</v>
      </c>
      <c r="I82">
        <v>0</v>
      </c>
      <c r="J82">
        <v>264.64082951843994</v>
      </c>
      <c r="K82">
        <v>115.95634274616933</v>
      </c>
      <c r="L82">
        <v>0</v>
      </c>
      <c r="M82">
        <v>0</v>
      </c>
      <c r="N82">
        <v>804.60275627233102</v>
      </c>
      <c r="O82">
        <v>819.08560588523301</v>
      </c>
      <c r="P82">
        <v>2406</v>
      </c>
      <c r="Q82">
        <v>101.85075821439749</v>
      </c>
      <c r="R82">
        <v>288.19793786364494</v>
      </c>
      <c r="S82">
        <v>118.04355691560038</v>
      </c>
      <c r="T82">
        <v>279.98999763050949</v>
      </c>
    </row>
    <row r="83" spans="1:20" x14ac:dyDescent="0.3">
      <c r="A83">
        <f t="shared" si="2"/>
        <v>77</v>
      </c>
      <c r="B83">
        <v>107.17947381330823</v>
      </c>
      <c r="C83">
        <v>0</v>
      </c>
      <c r="D83">
        <v>0</v>
      </c>
      <c r="E83">
        <v>0</v>
      </c>
      <c r="F83">
        <v>1188.3447505386255</v>
      </c>
      <c r="G83">
        <v>363.94338015173037</v>
      </c>
      <c r="H83">
        <v>615.73954649943084</v>
      </c>
      <c r="I83">
        <v>0</v>
      </c>
      <c r="J83">
        <v>261.96772706597864</v>
      </c>
      <c r="K83">
        <v>526.74781792998999</v>
      </c>
      <c r="L83">
        <v>0</v>
      </c>
      <c r="M83">
        <v>0</v>
      </c>
      <c r="N83">
        <v>107.17947381330823</v>
      </c>
      <c r="O83">
        <v>109.10870434194779</v>
      </c>
      <c r="P83">
        <v>230.05202939715957</v>
      </c>
      <c r="Q83">
        <v>108.52663392848291</v>
      </c>
      <c r="R83">
        <v>110.54261269692091</v>
      </c>
      <c r="S83">
        <v>536.22927865272982</v>
      </c>
      <c r="T83">
        <v>277.16185523580543</v>
      </c>
    </row>
    <row r="84" spans="1:20" x14ac:dyDescent="0.3">
      <c r="A84">
        <f t="shared" si="2"/>
        <v>78</v>
      </c>
      <c r="B84">
        <v>246.70220102825888</v>
      </c>
      <c r="C84">
        <v>0</v>
      </c>
      <c r="D84">
        <v>0</v>
      </c>
      <c r="E84">
        <v>0</v>
      </c>
      <c r="F84">
        <v>1476.8835007449759</v>
      </c>
      <c r="G84">
        <v>201.1602748940571</v>
      </c>
      <c r="H84">
        <v>1198.7289246609046</v>
      </c>
      <c r="I84">
        <v>0</v>
      </c>
      <c r="J84">
        <v>102.83222089955525</v>
      </c>
      <c r="K84">
        <v>1140.0822817002102</v>
      </c>
      <c r="L84">
        <v>0</v>
      </c>
      <c r="M84">
        <v>0</v>
      </c>
      <c r="N84">
        <v>246.70220102825888</v>
      </c>
      <c r="O84">
        <v>251.14284064676755</v>
      </c>
      <c r="P84">
        <v>103.57820420342381</v>
      </c>
      <c r="Q84">
        <v>101.94893894259489</v>
      </c>
      <c r="R84">
        <v>100.60215532382614</v>
      </c>
      <c r="S84">
        <v>1160.603762770814</v>
      </c>
      <c r="T84">
        <v>108.79648971172946</v>
      </c>
    </row>
    <row r="85" spans="1:20" x14ac:dyDescent="0.3">
      <c r="A85">
        <f t="shared" si="2"/>
        <v>79</v>
      </c>
      <c r="B85">
        <v>122.29613483165302</v>
      </c>
      <c r="C85">
        <v>0</v>
      </c>
      <c r="D85">
        <v>0</v>
      </c>
      <c r="E85">
        <v>0</v>
      </c>
      <c r="F85">
        <v>1207.4586542459185</v>
      </c>
      <c r="G85">
        <v>456.96865395647905</v>
      </c>
      <c r="H85">
        <v>196.12574107324008</v>
      </c>
      <c r="I85">
        <v>0</v>
      </c>
      <c r="J85">
        <v>261.85620665985107</v>
      </c>
      <c r="K85">
        <v>100.62964371358346</v>
      </c>
      <c r="L85">
        <v>0</v>
      </c>
      <c r="M85">
        <v>0</v>
      </c>
      <c r="N85">
        <v>122.29613483165302</v>
      </c>
      <c r="O85">
        <v>124.49746525862278</v>
      </c>
      <c r="P85">
        <v>576.09851499262595</v>
      </c>
      <c r="Q85">
        <v>203.3378830678447</v>
      </c>
      <c r="R85">
        <v>102.36049829722002</v>
      </c>
      <c r="S85">
        <v>102.44097730042796</v>
      </c>
      <c r="T85">
        <v>277.04386664612247</v>
      </c>
    </row>
    <row r="86" spans="1:20" x14ac:dyDescent="0.3">
      <c r="A86">
        <f t="shared" si="2"/>
        <v>80</v>
      </c>
      <c r="B86">
        <v>109.26867697980668</v>
      </c>
      <c r="C86">
        <v>0</v>
      </c>
      <c r="D86">
        <v>0</v>
      </c>
      <c r="E86">
        <v>0</v>
      </c>
      <c r="F86">
        <v>562.4967886945883</v>
      </c>
      <c r="G86">
        <v>249.24438257948475</v>
      </c>
      <c r="H86">
        <v>202.81634503795158</v>
      </c>
      <c r="I86">
        <v>0</v>
      </c>
      <c r="J86">
        <v>149.81138026381319</v>
      </c>
      <c r="K86">
        <v>108.04173419005484</v>
      </c>
      <c r="L86">
        <v>0</v>
      </c>
      <c r="M86">
        <v>0</v>
      </c>
      <c r="N86">
        <v>109.26867697980668</v>
      </c>
      <c r="O86">
        <v>111.23551316544321</v>
      </c>
      <c r="P86">
        <v>120.56100327365462</v>
      </c>
      <c r="Q86">
        <v>103.91940120210232</v>
      </c>
      <c r="R86">
        <v>101.87318292422502</v>
      </c>
      <c r="S86">
        <v>109.98648540547583</v>
      </c>
      <c r="T86">
        <v>158.50044031911438</v>
      </c>
    </row>
    <row r="87" spans="1:20" x14ac:dyDescent="0.3">
      <c r="A87">
        <f t="shared" si="2"/>
        <v>81</v>
      </c>
      <c r="B87">
        <v>102.03248289696711</v>
      </c>
      <c r="C87">
        <v>0</v>
      </c>
      <c r="D87">
        <v>0</v>
      </c>
      <c r="E87">
        <v>0</v>
      </c>
      <c r="F87">
        <v>5172.5428058133602</v>
      </c>
      <c r="G87">
        <v>2560.2023611929108</v>
      </c>
      <c r="H87">
        <v>2595.9396358376907</v>
      </c>
      <c r="I87">
        <v>0</v>
      </c>
      <c r="J87">
        <v>2274.1020793950852</v>
      </c>
      <c r="K87">
        <v>280.79752309200984</v>
      </c>
      <c r="L87">
        <v>0</v>
      </c>
      <c r="M87">
        <v>0</v>
      </c>
      <c r="N87">
        <v>102.03248289696711</v>
      </c>
      <c r="O87">
        <v>103.86906758911252</v>
      </c>
      <c r="P87">
        <v>109.50657928739906</v>
      </c>
      <c r="Q87">
        <v>332.18392429929827</v>
      </c>
      <c r="R87">
        <v>2406</v>
      </c>
      <c r="S87">
        <v>285.85187850766602</v>
      </c>
      <c r="T87">
        <v>2406</v>
      </c>
    </row>
    <row r="88" spans="1:20" x14ac:dyDescent="0.3">
      <c r="A88">
        <f t="shared" si="2"/>
        <v>82</v>
      </c>
      <c r="B88">
        <v>298.76928308857094</v>
      </c>
      <c r="C88">
        <v>0</v>
      </c>
      <c r="D88">
        <v>0</v>
      </c>
      <c r="E88">
        <v>0</v>
      </c>
      <c r="F88">
        <v>568.42725685168671</v>
      </c>
      <c r="G88">
        <v>200.10431364141169</v>
      </c>
      <c r="H88">
        <v>274.71119911598248</v>
      </c>
      <c r="I88">
        <v>0</v>
      </c>
      <c r="J88">
        <v>99.214098142000935</v>
      </c>
      <c r="K88">
        <v>102.14078956414758</v>
      </c>
      <c r="L88">
        <v>0</v>
      </c>
      <c r="M88">
        <v>0</v>
      </c>
      <c r="N88">
        <v>298.76928308857094</v>
      </c>
      <c r="O88">
        <v>304.14713018416523</v>
      </c>
      <c r="P88">
        <v>103.84343471762297</v>
      </c>
      <c r="Q88">
        <v>104.49209314495617</v>
      </c>
      <c r="R88">
        <v>182.18530152089426</v>
      </c>
      <c r="S88">
        <v>103.97932377630224</v>
      </c>
      <c r="T88">
        <v>104.968515834237</v>
      </c>
    </row>
    <row r="89" spans="1:20" x14ac:dyDescent="0.3">
      <c r="A89">
        <f t="shared" si="2"/>
        <v>83</v>
      </c>
      <c r="B89">
        <v>114.7013903345439</v>
      </c>
      <c r="C89">
        <v>0</v>
      </c>
      <c r="D89">
        <v>0</v>
      </c>
      <c r="E89">
        <v>0</v>
      </c>
      <c r="F89">
        <v>2828.5360888070736</v>
      </c>
      <c r="G89">
        <v>2456.8814777262824</v>
      </c>
      <c r="H89">
        <v>200.0477068048923</v>
      </c>
      <c r="I89">
        <v>0</v>
      </c>
      <c r="J89">
        <v>95.105344325355574</v>
      </c>
      <c r="K89">
        <v>103.72294929703605</v>
      </c>
      <c r="L89">
        <v>0</v>
      </c>
      <c r="M89">
        <v>0</v>
      </c>
      <c r="N89">
        <v>114.7013903345439</v>
      </c>
      <c r="O89">
        <v>116.76601536056569</v>
      </c>
      <c r="P89">
        <v>222.52055387442621</v>
      </c>
      <c r="Q89">
        <v>2406</v>
      </c>
      <c r="R89">
        <v>103.32642724602745</v>
      </c>
      <c r="S89">
        <v>105.5899623843827</v>
      </c>
      <c r="T89">
        <v>100.62145429622622</v>
      </c>
    </row>
    <row r="90" spans="1:20" x14ac:dyDescent="0.3">
      <c r="A90">
        <f t="shared" si="2"/>
        <v>84</v>
      </c>
      <c r="B90">
        <v>132.63224619031044</v>
      </c>
      <c r="C90">
        <v>0</v>
      </c>
      <c r="D90">
        <v>0</v>
      </c>
      <c r="E90">
        <v>0</v>
      </c>
      <c r="F90">
        <v>1277.1452729127864</v>
      </c>
      <c r="G90">
        <v>323.13001462222775</v>
      </c>
      <c r="H90">
        <v>867.70576763067652</v>
      </c>
      <c r="I90">
        <v>0</v>
      </c>
      <c r="J90">
        <v>105.75641683838974</v>
      </c>
      <c r="K90">
        <v>789.74535882423686</v>
      </c>
      <c r="L90">
        <v>0</v>
      </c>
      <c r="M90">
        <v>0</v>
      </c>
      <c r="N90">
        <v>132.63224619031044</v>
      </c>
      <c r="O90">
        <v>135.01962662173602</v>
      </c>
      <c r="P90">
        <v>109.29810557231221</v>
      </c>
      <c r="Q90">
        <v>223.18993804703817</v>
      </c>
      <c r="R90">
        <v>108.3301106735133</v>
      </c>
      <c r="S90">
        <v>803.96077528307308</v>
      </c>
      <c r="T90">
        <v>111.89028901501635</v>
      </c>
    </row>
    <row r="91" spans="1:20" x14ac:dyDescent="0.3">
      <c r="A91">
        <f t="shared" si="2"/>
        <v>85</v>
      </c>
      <c r="B91">
        <v>118.2385330058781</v>
      </c>
      <c r="C91">
        <v>0</v>
      </c>
      <c r="D91">
        <v>0</v>
      </c>
      <c r="E91">
        <v>0</v>
      </c>
      <c r="F91">
        <v>1811.2021368449546</v>
      </c>
      <c r="G91">
        <v>315.27784486406358</v>
      </c>
      <c r="H91">
        <v>555.38047108369528</v>
      </c>
      <c r="I91">
        <v>0</v>
      </c>
      <c r="J91">
        <v>191.67595587582116</v>
      </c>
      <c r="K91">
        <v>98.999697526649911</v>
      </c>
      <c r="L91">
        <v>0</v>
      </c>
      <c r="M91">
        <v>0</v>
      </c>
      <c r="N91">
        <v>118.2385330058781</v>
      </c>
      <c r="O91">
        <v>120.36682659998391</v>
      </c>
      <c r="P91">
        <v>973.14545936040452</v>
      </c>
      <c r="Q91">
        <v>129.2768901957956</v>
      </c>
      <c r="R91">
        <v>475.8190900449747</v>
      </c>
      <c r="S91">
        <v>100.78169208212961</v>
      </c>
      <c r="T91">
        <v>202.79316131661881</v>
      </c>
    </row>
    <row r="92" spans="1:20" x14ac:dyDescent="0.3">
      <c r="A92">
        <f t="shared" si="2"/>
        <v>86</v>
      </c>
      <c r="B92">
        <v>107.19003702024258</v>
      </c>
      <c r="C92">
        <v>0</v>
      </c>
      <c r="D92">
        <v>0</v>
      </c>
      <c r="E92">
        <v>0</v>
      </c>
      <c r="F92">
        <v>1810.217058635312</v>
      </c>
      <c r="G92">
        <v>295.45451160263133</v>
      </c>
      <c r="H92">
        <v>374.87679117788593</v>
      </c>
      <c r="I92">
        <v>0</v>
      </c>
      <c r="J92">
        <v>165.39120650124025</v>
      </c>
      <c r="K92">
        <v>138.01329799883894</v>
      </c>
      <c r="L92">
        <v>0</v>
      </c>
      <c r="M92">
        <v>0</v>
      </c>
      <c r="N92">
        <v>107.19003702024258</v>
      </c>
      <c r="O92">
        <v>109.11945768660695</v>
      </c>
      <c r="P92">
        <v>1172.4696629102302</v>
      </c>
      <c r="Q92">
        <v>135.38148631023844</v>
      </c>
      <c r="R92">
        <v>249.98418087027295</v>
      </c>
      <c r="S92">
        <v>140.49753736281804</v>
      </c>
      <c r="T92">
        <v>174.9838964783122</v>
      </c>
    </row>
    <row r="93" spans="1:20" x14ac:dyDescent="0.3">
      <c r="A93">
        <f t="shared" si="2"/>
        <v>87</v>
      </c>
      <c r="B93">
        <v>127.01332818190872</v>
      </c>
      <c r="C93">
        <v>0</v>
      </c>
      <c r="D93">
        <v>0</v>
      </c>
      <c r="E93">
        <v>0</v>
      </c>
      <c r="F93">
        <v>2722.8595502854382</v>
      </c>
      <c r="G93">
        <v>2471.4971157026866</v>
      </c>
      <c r="H93">
        <v>193.03560886680782</v>
      </c>
      <c r="I93">
        <v>0</v>
      </c>
      <c r="J93">
        <v>109.98406378533538</v>
      </c>
      <c r="K93">
        <v>99.483770639443335</v>
      </c>
      <c r="L93">
        <v>0</v>
      </c>
      <c r="M93">
        <v>0</v>
      </c>
      <c r="N93">
        <v>127.01332818190872</v>
      </c>
      <c r="O93">
        <v>129.29956808918308</v>
      </c>
      <c r="P93">
        <v>107.33829762108174</v>
      </c>
      <c r="Q93">
        <v>2406</v>
      </c>
      <c r="R93">
        <v>100.30808453770273</v>
      </c>
      <c r="S93">
        <v>101.27447851095332</v>
      </c>
      <c r="T93">
        <v>116.36313948488484</v>
      </c>
    </row>
    <row r="94" spans="1:20" x14ac:dyDescent="0.3">
      <c r="A94">
        <f t="shared" si="2"/>
        <v>88</v>
      </c>
      <c r="B94">
        <v>98.842013286352369</v>
      </c>
      <c r="C94">
        <v>0</v>
      </c>
      <c r="D94">
        <v>0</v>
      </c>
      <c r="E94">
        <v>0</v>
      </c>
      <c r="F94">
        <v>2710.0960802592476</v>
      </c>
      <c r="G94">
        <v>271.16412035852204</v>
      </c>
      <c r="H94">
        <v>2381.9680436458825</v>
      </c>
      <c r="I94">
        <v>0</v>
      </c>
      <c r="J94">
        <v>148.59250335291432</v>
      </c>
      <c r="K94">
        <v>2363.4577603143416</v>
      </c>
      <c r="L94">
        <v>0</v>
      </c>
      <c r="M94">
        <v>0</v>
      </c>
      <c r="N94">
        <v>98.842013286352369</v>
      </c>
      <c r="O94">
        <v>100.62116952550672</v>
      </c>
      <c r="P94">
        <v>105.74564569950935</v>
      </c>
      <c r="Q94">
        <v>127.45257117206114</v>
      </c>
      <c r="R94">
        <v>101.87916485914668</v>
      </c>
      <c r="S94">
        <v>2406</v>
      </c>
      <c r="T94">
        <v>157.21086854738337</v>
      </c>
    </row>
    <row r="95" spans="1:20" x14ac:dyDescent="0.3">
      <c r="A95">
        <f t="shared" si="2"/>
        <v>89</v>
      </c>
      <c r="B95">
        <v>590.62354064986107</v>
      </c>
      <c r="C95">
        <v>0</v>
      </c>
      <c r="D95">
        <v>0</v>
      </c>
      <c r="E95">
        <v>0</v>
      </c>
      <c r="F95">
        <v>3543.4503716505219</v>
      </c>
      <c r="G95">
        <v>222.55472580632144</v>
      </c>
      <c r="H95">
        <v>2020.4069120492477</v>
      </c>
      <c r="I95">
        <v>0</v>
      </c>
      <c r="J95">
        <v>126.13831374265526</v>
      </c>
      <c r="K95">
        <v>102.42842371561237</v>
      </c>
      <c r="L95">
        <v>0</v>
      </c>
      <c r="M95">
        <v>0</v>
      </c>
      <c r="N95">
        <v>590.62354064986107</v>
      </c>
      <c r="O95">
        <v>601.25476438155863</v>
      </c>
      <c r="P95">
        <v>1364.2708404846624</v>
      </c>
      <c r="Q95">
        <v>100.42239712817999</v>
      </c>
      <c r="R95">
        <v>1988.6927302553588</v>
      </c>
      <c r="S95">
        <v>104.27213534249339</v>
      </c>
      <c r="T95">
        <v>133.45433593972928</v>
      </c>
    </row>
    <row r="96" spans="1:20" x14ac:dyDescent="0.3">
      <c r="A96">
        <f t="shared" si="2"/>
        <v>90</v>
      </c>
      <c r="B96">
        <v>100.06881550646818</v>
      </c>
      <c r="C96">
        <v>0</v>
      </c>
      <c r="D96">
        <v>0</v>
      </c>
      <c r="E96">
        <v>0</v>
      </c>
      <c r="F96">
        <v>2401.570161392875</v>
      </c>
      <c r="G96">
        <v>1184.5416424387818</v>
      </c>
      <c r="H96">
        <v>230.71509220042594</v>
      </c>
      <c r="I96">
        <v>0</v>
      </c>
      <c r="J96">
        <v>1032.1191576652807</v>
      </c>
      <c r="K96">
        <v>121.00978005269107</v>
      </c>
      <c r="L96">
        <v>0</v>
      </c>
      <c r="M96">
        <v>0</v>
      </c>
      <c r="N96">
        <v>100.06881550646818</v>
      </c>
      <c r="O96">
        <v>101.87005418558461</v>
      </c>
      <c r="P96">
        <v>1029.541689658739</v>
      </c>
      <c r="Q96">
        <v>173.74423433739935</v>
      </c>
      <c r="R96">
        <v>117.78034037474976</v>
      </c>
      <c r="S96">
        <v>123.18795609363951</v>
      </c>
      <c r="T96">
        <v>1091.9820688098671</v>
      </c>
    </row>
    <row r="97" spans="1:20" x14ac:dyDescent="0.3">
      <c r="A97">
        <f t="shared" si="2"/>
        <v>91</v>
      </c>
      <c r="B97">
        <v>324.38356425940702</v>
      </c>
      <c r="C97">
        <v>0</v>
      </c>
      <c r="D97">
        <v>0</v>
      </c>
      <c r="E97">
        <v>0</v>
      </c>
      <c r="F97">
        <v>2821.8808738160787</v>
      </c>
      <c r="G97">
        <v>376.66795668652679</v>
      </c>
      <c r="H97">
        <v>2388.3139438996654</v>
      </c>
      <c r="I97">
        <v>0</v>
      </c>
      <c r="J97">
        <v>125.20066763507822</v>
      </c>
      <c r="K97">
        <v>2363.4577603143416</v>
      </c>
      <c r="L97">
        <v>0</v>
      </c>
      <c r="M97">
        <v>0</v>
      </c>
      <c r="N97">
        <v>324.38356425940702</v>
      </c>
      <c r="O97">
        <v>330.22246841607637</v>
      </c>
      <c r="P97">
        <v>107.6928289585763</v>
      </c>
      <c r="Q97">
        <v>258.24731227180609</v>
      </c>
      <c r="R97">
        <v>108.44717162181186</v>
      </c>
      <c r="S97">
        <v>2406</v>
      </c>
      <c r="T97">
        <v>132.46230635791278</v>
      </c>
    </row>
    <row r="98" spans="1:20" x14ac:dyDescent="0.3">
      <c r="A98">
        <f t="shared" si="2"/>
        <v>92</v>
      </c>
      <c r="B98">
        <v>2363.4577603143416</v>
      </c>
      <c r="C98">
        <v>0</v>
      </c>
      <c r="D98">
        <v>0</v>
      </c>
      <c r="E98">
        <v>0</v>
      </c>
      <c r="F98">
        <v>2847.1522809280509</v>
      </c>
      <c r="G98">
        <v>365.79770144728758</v>
      </c>
      <c r="H98">
        <v>2422.1700232885637</v>
      </c>
      <c r="I98">
        <v>0</v>
      </c>
      <c r="J98">
        <v>256.45140227712812</v>
      </c>
      <c r="K98">
        <v>100.94597410366342</v>
      </c>
      <c r="L98">
        <v>0</v>
      </c>
      <c r="M98">
        <v>0</v>
      </c>
      <c r="N98">
        <v>2363.4577603143416</v>
      </c>
      <c r="O98">
        <v>2406</v>
      </c>
      <c r="P98">
        <v>110.4332972489044</v>
      </c>
      <c r="Q98">
        <v>115.93065779621068</v>
      </c>
      <c r="R98">
        <v>2406</v>
      </c>
      <c r="S98">
        <v>102.76300163752936</v>
      </c>
      <c r="T98">
        <v>271.3255836092016</v>
      </c>
    </row>
    <row r="99" spans="1:20" x14ac:dyDescent="0.3">
      <c r="A99">
        <f t="shared" si="2"/>
        <v>93</v>
      </c>
      <c r="B99">
        <v>902.74968092775384</v>
      </c>
      <c r="C99">
        <v>0</v>
      </c>
      <c r="D99">
        <v>0</v>
      </c>
      <c r="E99">
        <v>0</v>
      </c>
      <c r="F99">
        <v>744.91444512786211</v>
      </c>
      <c r="G99">
        <v>270.8337112010762</v>
      </c>
      <c r="H99">
        <v>373.62412537413769</v>
      </c>
      <c r="I99">
        <v>0</v>
      </c>
      <c r="J99">
        <v>174.28232628009658</v>
      </c>
      <c r="K99">
        <v>285.66663899242508</v>
      </c>
      <c r="L99">
        <v>0</v>
      </c>
      <c r="M99">
        <v>0</v>
      </c>
      <c r="N99">
        <v>902.74968092775384</v>
      </c>
      <c r="O99">
        <v>918.99917518445341</v>
      </c>
      <c r="P99">
        <v>113.86506856494978</v>
      </c>
      <c r="Q99">
        <v>101.42639172259904</v>
      </c>
      <c r="R99">
        <v>101.03433076980737</v>
      </c>
      <c r="S99">
        <v>290.80863849428874</v>
      </c>
      <c r="T99">
        <v>184.39070120434221</v>
      </c>
    </row>
    <row r="100" spans="1:20" x14ac:dyDescent="0.3">
      <c r="A100">
        <f t="shared" si="2"/>
        <v>94</v>
      </c>
      <c r="B100">
        <v>262.40571998166541</v>
      </c>
      <c r="C100">
        <v>0</v>
      </c>
      <c r="D100">
        <v>0</v>
      </c>
      <c r="E100">
        <v>0</v>
      </c>
      <c r="F100">
        <v>2701.5078147890122</v>
      </c>
      <c r="G100">
        <v>196.22674814111065</v>
      </c>
      <c r="H100">
        <v>2411.6202186628348</v>
      </c>
      <c r="I100">
        <v>0</v>
      </c>
      <c r="J100">
        <v>98.650336628083835</v>
      </c>
      <c r="K100">
        <v>98.539912261035695</v>
      </c>
      <c r="L100">
        <v>0</v>
      </c>
      <c r="M100">
        <v>0</v>
      </c>
      <c r="N100">
        <v>262.40571998166541</v>
      </c>
      <c r="O100">
        <v>267.12902294133539</v>
      </c>
      <c r="P100">
        <v>142.28798865126942</v>
      </c>
      <c r="Q100">
        <v>101.10849297956683</v>
      </c>
      <c r="R100">
        <v>2397.4870140549979</v>
      </c>
      <c r="S100">
        <v>100.31363068173434</v>
      </c>
      <c r="T100">
        <v>104.37205615251271</v>
      </c>
    </row>
    <row r="101" spans="1:20" x14ac:dyDescent="0.3">
      <c r="A101">
        <f t="shared" si="2"/>
        <v>95</v>
      </c>
      <c r="B101">
        <v>136.08600529477246</v>
      </c>
      <c r="C101">
        <v>0</v>
      </c>
      <c r="D101">
        <v>0</v>
      </c>
      <c r="E101">
        <v>0</v>
      </c>
      <c r="F101">
        <v>775.04991331507927</v>
      </c>
      <c r="G101">
        <v>198.55412794934887</v>
      </c>
      <c r="H101">
        <v>476.92159819563744</v>
      </c>
      <c r="I101">
        <v>0</v>
      </c>
      <c r="J101">
        <v>98.897322756252592</v>
      </c>
      <c r="K101">
        <v>393.04264977541573</v>
      </c>
      <c r="L101">
        <v>0</v>
      </c>
      <c r="M101">
        <v>0</v>
      </c>
      <c r="N101">
        <v>136.08600529477246</v>
      </c>
      <c r="O101">
        <v>138.53555339007838</v>
      </c>
      <c r="P101">
        <v>113.52508560976436</v>
      </c>
      <c r="Q101">
        <v>103.23077949618458</v>
      </c>
      <c r="R101">
        <v>100.57120435706899</v>
      </c>
      <c r="S101">
        <v>400.11741747137319</v>
      </c>
      <c r="T101">
        <v>104.63336747611525</v>
      </c>
    </row>
    <row r="102" spans="1:20" x14ac:dyDescent="0.3">
      <c r="A102">
        <f t="shared" si="2"/>
        <v>96</v>
      </c>
      <c r="B102">
        <v>100.16765420459825</v>
      </c>
      <c r="C102">
        <v>0</v>
      </c>
      <c r="D102">
        <v>0</v>
      </c>
      <c r="E102">
        <v>0</v>
      </c>
      <c r="F102">
        <v>2810.3799235613014</v>
      </c>
      <c r="G102">
        <v>246.53937107742945</v>
      </c>
      <c r="H102">
        <v>208.42739110797567</v>
      </c>
      <c r="I102">
        <v>0</v>
      </c>
      <c r="J102">
        <v>146.70754565735453</v>
      </c>
      <c r="K102">
        <v>108.70550674837298</v>
      </c>
      <c r="L102">
        <v>0</v>
      </c>
      <c r="M102">
        <v>0</v>
      </c>
      <c r="N102">
        <v>100.16765420459825</v>
      </c>
      <c r="O102">
        <v>101.97067198028103</v>
      </c>
      <c r="P102">
        <v>2406</v>
      </c>
      <c r="Q102">
        <v>104.26953409946864</v>
      </c>
      <c r="R102">
        <v>107.01684304838182</v>
      </c>
      <c r="S102">
        <v>110.6622058698437</v>
      </c>
      <c r="T102">
        <v>155.21658330548109</v>
      </c>
    </row>
    <row r="103" spans="1:20" x14ac:dyDescent="0.3">
      <c r="A103">
        <f t="shared" si="2"/>
        <v>97</v>
      </c>
      <c r="B103">
        <v>719.93584229047497</v>
      </c>
      <c r="C103">
        <v>0</v>
      </c>
      <c r="D103">
        <v>0</v>
      </c>
      <c r="E103">
        <v>0</v>
      </c>
      <c r="F103">
        <v>669.99153254558973</v>
      </c>
      <c r="G103">
        <v>208.77358413845303</v>
      </c>
      <c r="H103">
        <v>370.87203789021811</v>
      </c>
      <c r="I103">
        <v>0</v>
      </c>
      <c r="J103">
        <v>96.423147487669084</v>
      </c>
      <c r="K103">
        <v>103.75749334567392</v>
      </c>
      <c r="L103">
        <v>0</v>
      </c>
      <c r="M103">
        <v>0</v>
      </c>
      <c r="N103">
        <v>719.93584229047497</v>
      </c>
      <c r="O103">
        <v>732.89468745170348</v>
      </c>
      <c r="P103">
        <v>102.4057581027392</v>
      </c>
      <c r="Q103">
        <v>116.10836116527612</v>
      </c>
      <c r="R103">
        <v>280.09506587070177</v>
      </c>
      <c r="S103">
        <v>105.62512822589605</v>
      </c>
      <c r="T103">
        <v>102.0156900419539</v>
      </c>
    </row>
    <row r="104" spans="1:20" x14ac:dyDescent="0.3">
      <c r="A104">
        <f t="shared" si="2"/>
        <v>98</v>
      </c>
      <c r="B104">
        <v>162.81370714376374</v>
      </c>
      <c r="C104">
        <v>0</v>
      </c>
      <c r="D104">
        <v>0</v>
      </c>
      <c r="E104">
        <v>0</v>
      </c>
      <c r="F104">
        <v>625.27358839657575</v>
      </c>
      <c r="G104">
        <v>295.96651701256371</v>
      </c>
      <c r="H104">
        <v>227.55100362418113</v>
      </c>
      <c r="I104">
        <v>0</v>
      </c>
      <c r="J104">
        <v>95.514913004737593</v>
      </c>
      <c r="K104">
        <v>135.40718956776536</v>
      </c>
      <c r="L104">
        <v>0</v>
      </c>
      <c r="M104">
        <v>0</v>
      </c>
      <c r="N104">
        <v>162.81370714376374</v>
      </c>
      <c r="O104">
        <v>165.7443538723515</v>
      </c>
      <c r="P104">
        <v>113.01099235096936</v>
      </c>
      <c r="Q104">
        <v>205.77900131405232</v>
      </c>
      <c r="R104">
        <v>100.10809918326207</v>
      </c>
      <c r="S104">
        <v>137.84451897998514</v>
      </c>
      <c r="T104">
        <v>101.05477795901237</v>
      </c>
    </row>
    <row r="105" spans="1:20" x14ac:dyDescent="0.3">
      <c r="A105">
        <f t="shared" si="2"/>
        <v>99</v>
      </c>
      <c r="B105">
        <v>800.98328235685119</v>
      </c>
      <c r="C105">
        <v>0</v>
      </c>
      <c r="D105">
        <v>0</v>
      </c>
      <c r="E105">
        <v>0</v>
      </c>
      <c r="F105">
        <v>867.53183695692564</v>
      </c>
      <c r="G105">
        <v>191.69062812458378</v>
      </c>
      <c r="H105">
        <v>585.86520712357731</v>
      </c>
      <c r="I105">
        <v>0</v>
      </c>
      <c r="J105">
        <v>94.97348779348772</v>
      </c>
      <c r="K105">
        <v>464.08075920050248</v>
      </c>
      <c r="L105">
        <v>0</v>
      </c>
      <c r="M105">
        <v>0</v>
      </c>
      <c r="N105">
        <v>800.98328235685119</v>
      </c>
      <c r="O105">
        <v>815.40098143927446</v>
      </c>
      <c r="P105">
        <v>105.59157477398936</v>
      </c>
      <c r="Q105">
        <v>100.1675716373386</v>
      </c>
      <c r="R105">
        <v>142.28973017239997</v>
      </c>
      <c r="S105">
        <v>472.43421286611152</v>
      </c>
      <c r="T105">
        <v>100.48195008551002</v>
      </c>
    </row>
    <row r="106" spans="1:20" x14ac:dyDescent="0.3">
      <c r="A106">
        <f t="shared" si="2"/>
        <v>100</v>
      </c>
      <c r="B106">
        <v>110.25606531752041</v>
      </c>
      <c r="C106">
        <v>0</v>
      </c>
      <c r="D106">
        <v>0</v>
      </c>
      <c r="E106">
        <v>0</v>
      </c>
      <c r="F106">
        <v>593.26573329998007</v>
      </c>
      <c r="G106">
        <v>251.44972078491412</v>
      </c>
      <c r="H106">
        <v>251.14849286755145</v>
      </c>
      <c r="I106">
        <v>0</v>
      </c>
      <c r="J106">
        <v>97.046816159255116</v>
      </c>
      <c r="K106">
        <v>151.40620499890059</v>
      </c>
      <c r="L106">
        <v>0</v>
      </c>
      <c r="M106">
        <v>0</v>
      </c>
      <c r="N106">
        <v>110.25606531752041</v>
      </c>
      <c r="O106">
        <v>112.24067449323577</v>
      </c>
      <c r="P106">
        <v>101.34630284691411</v>
      </c>
      <c r="Q106">
        <v>158.92899959978752</v>
      </c>
      <c r="R106">
        <v>108.53248511901515</v>
      </c>
      <c r="S106">
        <v>154.13151668888079</v>
      </c>
      <c r="T106">
        <v>102.67553149649191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2AE5F-46CD-4D6B-8E40-CBAC9E735AAA}">
  <sheetPr codeName="Sheet12"/>
  <dimension ref="B2:T28"/>
  <sheetViews>
    <sheetView tabSelected="1" zoomScale="60" zoomScaleNormal="60" workbookViewId="0">
      <selection activeCell="Q6" sqref="Q6"/>
    </sheetView>
  </sheetViews>
  <sheetFormatPr defaultRowHeight="14.4" x14ac:dyDescent="0.3"/>
  <cols>
    <col min="2" max="2" width="20.5546875" customWidth="1"/>
    <col min="3" max="3" width="13" customWidth="1"/>
    <col min="5" max="5" width="28.33203125" customWidth="1"/>
    <col min="6" max="6" width="4.21875" customWidth="1"/>
    <col min="13" max="14" width="10.88671875" customWidth="1"/>
    <col min="15" max="15" width="9" customWidth="1"/>
    <col min="20" max="20" width="38.33203125" customWidth="1"/>
  </cols>
  <sheetData>
    <row r="2" spans="2:20" ht="43.2" x14ac:dyDescent="0.3">
      <c r="G2" s="162" t="s">
        <v>115</v>
      </c>
      <c r="H2" s="162" t="s">
        <v>116</v>
      </c>
      <c r="I2" s="162" t="s">
        <v>117</v>
      </c>
      <c r="J2" s="162" t="s">
        <v>118</v>
      </c>
      <c r="K2" s="162" t="s">
        <v>119</v>
      </c>
      <c r="L2" s="162" t="s">
        <v>120</v>
      </c>
      <c r="M2" s="162" t="s">
        <v>121</v>
      </c>
      <c r="N2" s="162" t="s">
        <v>140</v>
      </c>
      <c r="O2" s="170" t="s">
        <v>139</v>
      </c>
      <c r="P2" s="162" t="s">
        <v>145</v>
      </c>
    </row>
    <row r="3" spans="2:20" x14ac:dyDescent="0.3">
      <c r="B3" s="33" t="str">
        <f>'[1]simulation-live'!F2&amp;" grid"</f>
        <v>mu grid</v>
      </c>
      <c r="C3" s="33" t="s">
        <v>108</v>
      </c>
      <c r="G3">
        <f>1</f>
        <v>1</v>
      </c>
      <c r="H3">
        <f ca="1">min_mu</f>
        <v>588.67300772050908</v>
      </c>
      <c r="I3">
        <f t="shared" ref="I3:I23" ca="1" si="0">H3 + width_mu</f>
        <v>906.81834494658176</v>
      </c>
      <c r="J3">
        <f ca="1">((H3 + I3)/2)</f>
        <v>747.74567633354536</v>
      </c>
      <c r="K3">
        <f t="shared" ref="K3:K22" ca="1" si="1">COUNTIFS( INDIRECT(C$3), "&gt;="&amp;H3, INDIRECT(C$3), "&lt;"&amp;I3 )</f>
        <v>24</v>
      </c>
      <c r="L3" s="106">
        <f t="shared" ref="L3:L23" ca="1" si="2">K3 / count_wait</f>
        <v>0.24</v>
      </c>
      <c r="M3" s="106">
        <f ca="1">L3</f>
        <v>0.24</v>
      </c>
      <c r="N3">
        <f t="shared" ref="N3:N23" ca="1" si="3">(1/mu_sigma)*(1+mu_xi*((J3)-100)/mu_sigma)^(-(1+mu_xi)/mu_xi)</f>
        <v>7.9087588513588635E-5</v>
      </c>
      <c r="O3" s="106">
        <f t="shared" ref="O3:O23" ca="1" si="4">N3 / sum_pmf</f>
        <v>0.28872296140697457</v>
      </c>
      <c r="P3" s="171">
        <f ca="1">O3</f>
        <v>0.28872296140697457</v>
      </c>
      <c r="S3" s="5" t="s">
        <v>39</v>
      </c>
      <c r="T3" s="5" t="str">
        <f>C3</f>
        <v>capital_yr1</v>
      </c>
    </row>
    <row r="4" spans="2:20" x14ac:dyDescent="0.3">
      <c r="B4" s="85" t="str">
        <f>"max_"&amp;$C$3</f>
        <v>max_capital_yr1</v>
      </c>
      <c r="C4" s="20">
        <f ca="1">MAX( INDIRECT(C$3) )</f>
        <v>7269.7250894680355</v>
      </c>
      <c r="E4" s="163" t="str">
        <f ca="1">_xlfn.FORMULATEXT(max_mu)</f>
        <v>=MAX( INDIRECT(C$3) )</v>
      </c>
      <c r="G4">
        <f t="shared" ref="G4:G23" si="5">G3+1</f>
        <v>2</v>
      </c>
      <c r="H4">
        <f t="shared" ref="H4:H23" ca="1" si="6">I3</f>
        <v>906.81834494658176</v>
      </c>
      <c r="I4">
        <f t="shared" ca="1" si="0"/>
        <v>1224.9636821726544</v>
      </c>
      <c r="J4">
        <f t="shared" ref="J4:J23" ca="1" si="7">((H4 + I4)/2)</f>
        <v>1065.8910135596182</v>
      </c>
      <c r="K4">
        <f t="shared" ca="1" si="1"/>
        <v>13</v>
      </c>
      <c r="L4" s="106">
        <f t="shared" ca="1" si="2"/>
        <v>0.13</v>
      </c>
      <c r="M4" s="106">
        <f t="shared" ref="M4:M23" ca="1" si="8">M3 + L4</f>
        <v>0.37</v>
      </c>
      <c r="N4">
        <f t="shared" ca="1" si="3"/>
        <v>4.3859263826223314E-5</v>
      </c>
      <c r="O4" s="106">
        <f t="shared" ca="1" si="4"/>
        <v>0.16011585098287873</v>
      </c>
      <c r="P4" s="171">
        <f ca="1">P3 + O4</f>
        <v>0.44883881238985329</v>
      </c>
      <c r="S4" s="5" t="s">
        <v>40</v>
      </c>
      <c r="T4" s="5" t="s">
        <v>138</v>
      </c>
    </row>
    <row r="5" spans="2:20" x14ac:dyDescent="0.3">
      <c r="B5" s="85" t="str">
        <f>"min_"&amp;$C$3</f>
        <v>min_capital_yr1</v>
      </c>
      <c r="C5" s="20">
        <f ca="1">MIN( INDIRECT(C$3) )</f>
        <v>588.67300772050908</v>
      </c>
      <c r="E5" s="163" t="str">
        <f ca="1">_xlfn.FORMULATEXT(C5)</f>
        <v>=MIN( INDIRECT(C$3) )</v>
      </c>
      <c r="G5">
        <f t="shared" si="5"/>
        <v>3</v>
      </c>
      <c r="H5">
        <f t="shared" ca="1" si="6"/>
        <v>1224.9636821726544</v>
      </c>
      <c r="I5">
        <f t="shared" ca="1" si="0"/>
        <v>1543.109019398727</v>
      </c>
      <c r="J5">
        <f t="shared" ca="1" si="7"/>
        <v>1384.0363507856907</v>
      </c>
      <c r="K5">
        <f t="shared" ca="1" si="1"/>
        <v>10</v>
      </c>
      <c r="L5" s="106">
        <f t="shared" ca="1" si="2"/>
        <v>0.1</v>
      </c>
      <c r="M5" s="106">
        <f t="shared" ca="1" si="8"/>
        <v>0.47</v>
      </c>
      <c r="N5">
        <f t="shared" ca="1" si="3"/>
        <v>2.8784835654829095E-5</v>
      </c>
      <c r="O5" s="106">
        <f t="shared" ca="1" si="4"/>
        <v>0.1050840359413333</v>
      </c>
      <c r="P5" s="171">
        <f t="shared" ref="P5:P23" ca="1" si="9">P4 + O5</f>
        <v>0.55392284833118655</v>
      </c>
      <c r="S5" s="5" t="s">
        <v>122</v>
      </c>
      <c r="T5" s="5" t="str">
        <f>L2</f>
        <v>relative frequency</v>
      </c>
    </row>
    <row r="6" spans="2:20" x14ac:dyDescent="0.3">
      <c r="B6" s="85" t="str">
        <f>"intervals_"&amp;$C$3</f>
        <v>intervals_capital_yr1</v>
      </c>
      <c r="C6" s="20">
        <f>21</f>
        <v>21</v>
      </c>
      <c r="E6" s="163" t="str">
        <f t="shared" ref="E6:E8" ca="1" si="10">_xlfn.FORMULATEXT(C6)</f>
        <v>=21</v>
      </c>
      <c r="G6">
        <f t="shared" si="5"/>
        <v>4</v>
      </c>
      <c r="H6">
        <f t="shared" ca="1" si="6"/>
        <v>1543.109019398727</v>
      </c>
      <c r="I6">
        <f t="shared" ca="1" si="0"/>
        <v>1861.2543566247996</v>
      </c>
      <c r="J6">
        <f t="shared" ca="1" si="7"/>
        <v>1702.1816880117633</v>
      </c>
      <c r="K6">
        <f t="shared" ca="1" si="1"/>
        <v>6</v>
      </c>
      <c r="L6" s="106">
        <f t="shared" ca="1" si="2"/>
        <v>0.06</v>
      </c>
      <c r="M6" s="106">
        <f t="shared" ca="1" si="8"/>
        <v>0.53</v>
      </c>
      <c r="N6">
        <f t="shared" ca="1" si="3"/>
        <v>2.0738453446720168E-5</v>
      </c>
      <c r="O6" s="106">
        <f t="shared" ca="1" si="4"/>
        <v>7.5709321862923409E-2</v>
      </c>
      <c r="P6" s="171">
        <f t="shared" ca="1" si="9"/>
        <v>0.62963217019411</v>
      </c>
      <c r="S6" s="5" t="s">
        <v>123</v>
      </c>
      <c r="T6" s="5" t="str">
        <f>M2</f>
        <v>cumulative relative prequency</v>
      </c>
    </row>
    <row r="7" spans="2:20" x14ac:dyDescent="0.3">
      <c r="B7" s="85" t="str">
        <f>"width_"&amp;$C$3</f>
        <v>width_capital_yr1</v>
      </c>
      <c r="C7" s="20">
        <f ca="1">(C4 - C5) / C6</f>
        <v>318.14533722607268</v>
      </c>
      <c r="E7" s="163" t="str">
        <f t="shared" ca="1" si="10"/>
        <v>=(C4 - C5) / C6</v>
      </c>
      <c r="G7">
        <f t="shared" si="5"/>
        <v>5</v>
      </c>
      <c r="H7">
        <f t="shared" ca="1" si="6"/>
        <v>1861.2543566247996</v>
      </c>
      <c r="I7">
        <f t="shared" ca="1" si="0"/>
        <v>2179.3996938508722</v>
      </c>
      <c r="J7">
        <f t="shared" ca="1" si="7"/>
        <v>2020.3270252378359</v>
      </c>
      <c r="K7">
        <f t="shared" ca="1" si="1"/>
        <v>3</v>
      </c>
      <c r="L7" s="106">
        <f t="shared" ca="1" si="2"/>
        <v>0.03</v>
      </c>
      <c r="M7" s="106">
        <f t="shared" ca="1" si="8"/>
        <v>0.56000000000000005</v>
      </c>
      <c r="N7">
        <f t="shared" ca="1" si="3"/>
        <v>1.5855068288856805E-5</v>
      </c>
      <c r="O7" s="106">
        <f t="shared" ca="1" si="4"/>
        <v>5.7881677210097467E-2</v>
      </c>
      <c r="P7" s="171">
        <f t="shared" ca="1" si="9"/>
        <v>0.68751384740420751</v>
      </c>
    </row>
    <row r="8" spans="2:20" x14ac:dyDescent="0.3">
      <c r="B8" s="85" t="str">
        <f>"count_"&amp;$C$3</f>
        <v>count_capital_yr1</v>
      </c>
      <c r="C8" s="20">
        <f ca="1">SUM(K3:K23)</f>
        <v>100</v>
      </c>
      <c r="E8" s="163" t="str">
        <f t="shared" ca="1" si="10"/>
        <v>=SUM(K3:K23)</v>
      </c>
      <c r="G8">
        <f t="shared" si="5"/>
        <v>6</v>
      </c>
      <c r="H8">
        <f t="shared" ca="1" si="6"/>
        <v>2179.3996938508722</v>
      </c>
      <c r="I8">
        <f t="shared" ca="1" si="0"/>
        <v>2497.5450310769447</v>
      </c>
      <c r="J8">
        <f t="shared" ca="1" si="7"/>
        <v>2338.4723624639082</v>
      </c>
      <c r="K8">
        <f t="shared" ca="1" si="1"/>
        <v>1</v>
      </c>
      <c r="L8" s="106">
        <f t="shared" ca="1" si="2"/>
        <v>0.01</v>
      </c>
      <c r="M8" s="106">
        <f t="shared" ca="1" si="8"/>
        <v>0.57000000000000006</v>
      </c>
      <c r="N8">
        <f t="shared" ca="1" si="3"/>
        <v>1.2630484482989589E-5</v>
      </c>
      <c r="O8" s="106">
        <f t="shared" ca="1" si="4"/>
        <v>4.6109774649495422E-2</v>
      </c>
      <c r="P8" s="171">
        <f t="shared" ca="1" si="9"/>
        <v>0.73362362205370291</v>
      </c>
    </row>
    <row r="9" spans="2:20" x14ac:dyDescent="0.3">
      <c r="C9" s="19"/>
      <c r="G9">
        <f t="shared" si="5"/>
        <v>7</v>
      </c>
      <c r="H9">
        <f t="shared" ca="1" si="6"/>
        <v>2497.5450310769447</v>
      </c>
      <c r="I9">
        <f t="shared" ca="1" si="0"/>
        <v>2815.6903683030173</v>
      </c>
      <c r="J9">
        <f t="shared" ca="1" si="7"/>
        <v>2656.6176996899812</v>
      </c>
      <c r="K9">
        <f t="shared" ca="1" si="1"/>
        <v>7</v>
      </c>
      <c r="L9" s="106">
        <f t="shared" ca="1" si="2"/>
        <v>7.0000000000000007E-2</v>
      </c>
      <c r="M9" s="106">
        <f t="shared" ca="1" si="8"/>
        <v>0.64000000000000012</v>
      </c>
      <c r="N9">
        <f t="shared" ca="1" si="3"/>
        <v>1.0370047034468057E-5</v>
      </c>
      <c r="O9" s="106">
        <f t="shared" ca="1" si="4"/>
        <v>3.7857655619462943E-2</v>
      </c>
      <c r="P9" s="171">
        <f t="shared" ca="1" si="9"/>
        <v>0.77148127767316588</v>
      </c>
    </row>
    <row r="10" spans="2:20" x14ac:dyDescent="0.3">
      <c r="C10" s="42" t="str">
        <f>C3</f>
        <v>capital_yr1</v>
      </c>
      <c r="E10" s="163" t="str">
        <f ca="1">_xlfn.FORMULATEXT(max_mu)</f>
        <v>=MAX( INDIRECT(C$3) )</v>
      </c>
      <c r="G10">
        <f t="shared" si="5"/>
        <v>8</v>
      </c>
      <c r="H10">
        <f t="shared" ca="1" si="6"/>
        <v>2815.6903683030173</v>
      </c>
      <c r="I10">
        <f t="shared" ca="1" si="0"/>
        <v>3133.8357055290899</v>
      </c>
      <c r="J10">
        <f t="shared" ca="1" si="7"/>
        <v>2974.7630369160534</v>
      </c>
      <c r="K10">
        <f t="shared" ca="1" si="1"/>
        <v>16</v>
      </c>
      <c r="L10" s="106">
        <f t="shared" ca="1" si="2"/>
        <v>0.16</v>
      </c>
      <c r="M10" s="106">
        <f t="shared" ca="1" si="8"/>
        <v>0.80000000000000016</v>
      </c>
      <c r="N10">
        <f t="shared" ca="1" si="3"/>
        <v>8.7131310321384793E-6</v>
      </c>
      <c r="O10" s="106">
        <f t="shared" ca="1" si="4"/>
        <v>3.1808796323253584E-2</v>
      </c>
      <c r="P10" s="171">
        <f t="shared" ca="1" si="9"/>
        <v>0.8032900739964195</v>
      </c>
    </row>
    <row r="11" spans="2:20" x14ac:dyDescent="0.3">
      <c r="B11" s="85" t="s">
        <v>0</v>
      </c>
      <c r="C11" s="20">
        <f ca="1">MIN( INDIRECT(C$10))</f>
        <v>588.67300772050908</v>
      </c>
      <c r="E11" s="163" t="str">
        <f ca="1">_xlfn.FORMULATEXT(C11)</f>
        <v>=MIN( INDIRECT(C$10))</v>
      </c>
      <c r="G11">
        <f t="shared" si="5"/>
        <v>9</v>
      </c>
      <c r="H11">
        <f t="shared" ca="1" si="6"/>
        <v>3133.8357055290899</v>
      </c>
      <c r="I11">
        <f t="shared" ca="1" si="0"/>
        <v>3451.9810427551624</v>
      </c>
      <c r="J11">
        <f t="shared" ca="1" si="7"/>
        <v>3292.9083741421264</v>
      </c>
      <c r="K11">
        <f t="shared" ca="1" si="1"/>
        <v>4</v>
      </c>
      <c r="L11" s="106">
        <f t="shared" ca="1" si="2"/>
        <v>0.04</v>
      </c>
      <c r="M11" s="106">
        <f t="shared" ca="1" si="8"/>
        <v>0.84000000000000019</v>
      </c>
      <c r="N11">
        <f t="shared" ca="1" si="3"/>
        <v>7.4558031522510557E-6</v>
      </c>
      <c r="O11" s="106">
        <f t="shared" ca="1" si="4"/>
        <v>2.7218702785652846E-2</v>
      </c>
      <c r="P11" s="171">
        <f t="shared" ca="1" si="9"/>
        <v>0.83050877678207236</v>
      </c>
    </row>
    <row r="12" spans="2:20" x14ac:dyDescent="0.3">
      <c r="B12" s="32">
        <v>0.25</v>
      </c>
      <c r="C12" s="21">
        <f ca="1">PERCENTILE( INDIRECT(C$3), $B12 )</f>
        <v>948.02286481921101</v>
      </c>
      <c r="E12" s="163" t="str">
        <f t="shared" ref="E12:E21" ca="1" si="11">_xlfn.FORMULATEXT(C12)</f>
        <v>=PERCENTILE( INDIRECT(C$3), $B12 )</v>
      </c>
      <c r="G12">
        <f t="shared" si="5"/>
        <v>10</v>
      </c>
      <c r="H12">
        <f t="shared" ca="1" si="6"/>
        <v>3451.9810427551624</v>
      </c>
      <c r="I12">
        <f t="shared" ca="1" si="0"/>
        <v>3770.126379981235</v>
      </c>
      <c r="J12">
        <f t="shared" ca="1" si="7"/>
        <v>3611.0537113681985</v>
      </c>
      <c r="K12">
        <f t="shared" ca="1" si="1"/>
        <v>3</v>
      </c>
      <c r="L12" s="106">
        <f t="shared" ca="1" si="2"/>
        <v>0.03</v>
      </c>
      <c r="M12" s="106">
        <f t="shared" ca="1" si="8"/>
        <v>0.87000000000000022</v>
      </c>
      <c r="N12">
        <f t="shared" ca="1" si="3"/>
        <v>6.4749407908312802E-6</v>
      </c>
      <c r="O12" s="106">
        <f t="shared" ca="1" si="4"/>
        <v>2.3637894582440307E-2</v>
      </c>
      <c r="P12" s="171">
        <f t="shared" ca="1" si="9"/>
        <v>0.85414667136451261</v>
      </c>
    </row>
    <row r="13" spans="2:20" x14ac:dyDescent="0.3">
      <c r="B13" s="164">
        <v>0.5</v>
      </c>
      <c r="C13" s="22">
        <f ca="1">PERCENTILE( INDIRECT(C$3), $B13 )</f>
        <v>1695.3257501039732</v>
      </c>
      <c r="E13" s="163" t="str">
        <f t="shared" ca="1" si="11"/>
        <v>=PERCENTILE( INDIRECT(C$3), $B13 )</v>
      </c>
      <c r="G13">
        <f t="shared" si="5"/>
        <v>11</v>
      </c>
      <c r="H13">
        <f t="shared" ca="1" si="6"/>
        <v>3770.126379981235</v>
      </c>
      <c r="I13">
        <f t="shared" ca="1" si="0"/>
        <v>4088.2717172073076</v>
      </c>
      <c r="J13">
        <f t="shared" ca="1" si="7"/>
        <v>3929.1990485942715</v>
      </c>
      <c r="K13">
        <f t="shared" ca="1" si="1"/>
        <v>4</v>
      </c>
      <c r="L13" s="106">
        <f t="shared" ca="1" si="2"/>
        <v>0.04</v>
      </c>
      <c r="M13" s="106">
        <f t="shared" ca="1" si="8"/>
        <v>0.91000000000000025</v>
      </c>
      <c r="N13">
        <f t="shared" ca="1" si="3"/>
        <v>5.6922610271457692E-6</v>
      </c>
      <c r="O13" s="106">
        <f t="shared" ca="1" si="4"/>
        <v>2.0780586331528537E-2</v>
      </c>
      <c r="P13" s="171">
        <f t="shared" ca="1" si="9"/>
        <v>0.87492725769604118</v>
      </c>
    </row>
    <row r="14" spans="2:20" x14ac:dyDescent="0.3">
      <c r="B14" s="165">
        <v>0.75</v>
      </c>
      <c r="C14" s="23">
        <f ca="1">PERCENTILE( INDIRECT(C$3), $B14 )</f>
        <v>2970.9092507172327</v>
      </c>
      <c r="E14" s="163" t="str">
        <f t="shared" ca="1" si="11"/>
        <v>=PERCENTILE( INDIRECT(C$3), $B14 )</v>
      </c>
      <c r="G14">
        <f t="shared" si="5"/>
        <v>12</v>
      </c>
      <c r="H14">
        <f t="shared" ca="1" si="6"/>
        <v>4088.2717172073076</v>
      </c>
      <c r="I14">
        <f t="shared" ca="1" si="0"/>
        <v>4406.4170544333801</v>
      </c>
      <c r="J14">
        <f t="shared" ca="1" si="7"/>
        <v>4247.3443858203436</v>
      </c>
      <c r="K14">
        <f t="shared" ca="1" si="1"/>
        <v>0</v>
      </c>
      <c r="L14" s="106">
        <f t="shared" ca="1" si="2"/>
        <v>0</v>
      </c>
      <c r="M14" s="106">
        <f t="shared" ca="1" si="8"/>
        <v>0.91000000000000025</v>
      </c>
      <c r="N14">
        <f t="shared" ca="1" si="3"/>
        <v>5.0558548529796811E-6</v>
      </c>
      <c r="O14" s="106">
        <f t="shared" ca="1" si="4"/>
        <v>1.8457275193633049E-2</v>
      </c>
      <c r="P14" s="171">
        <f t="shared" ca="1" si="9"/>
        <v>0.89338453288967423</v>
      </c>
    </row>
    <row r="15" spans="2:20" x14ac:dyDescent="0.3">
      <c r="B15" s="85" t="s">
        <v>1</v>
      </c>
      <c r="C15" s="20">
        <f ca="1">MAX( INDIRECT(C$10))</f>
        <v>7269.7250894680355</v>
      </c>
      <c r="E15" s="163" t="str">
        <f t="shared" ca="1" si="11"/>
        <v>=MAX( INDIRECT(C$10))</v>
      </c>
      <c r="G15">
        <f t="shared" si="5"/>
        <v>13</v>
      </c>
      <c r="H15">
        <f t="shared" ca="1" si="6"/>
        <v>4406.4170544333801</v>
      </c>
      <c r="I15">
        <f t="shared" ca="1" si="0"/>
        <v>4724.5623916594532</v>
      </c>
      <c r="J15">
        <f t="shared" ca="1" si="7"/>
        <v>4565.4897230464167</v>
      </c>
      <c r="K15">
        <f t="shared" ca="1" si="1"/>
        <v>2</v>
      </c>
      <c r="L15" s="106">
        <f t="shared" ca="1" si="2"/>
        <v>0.02</v>
      </c>
      <c r="M15" s="106">
        <f t="shared" ca="1" si="8"/>
        <v>0.93000000000000027</v>
      </c>
      <c r="N15">
        <f t="shared" ca="1" si="3"/>
        <v>4.5300824651846704E-6</v>
      </c>
      <c r="O15" s="106">
        <f t="shared" ca="1" si="4"/>
        <v>1.6537851884827655E-2</v>
      </c>
      <c r="P15" s="171">
        <f t="shared" ca="1" si="9"/>
        <v>0.90992238477450194</v>
      </c>
    </row>
    <row r="16" spans="2:20" x14ac:dyDescent="0.3">
      <c r="B16" s="166" t="s">
        <v>2</v>
      </c>
      <c r="C16" s="20">
        <f ca="1">C14 - C12</f>
        <v>2022.8863858980217</v>
      </c>
      <c r="E16" s="163" t="str">
        <f t="shared" ca="1" si="11"/>
        <v>=C14 - C12</v>
      </c>
      <c r="G16">
        <f t="shared" si="5"/>
        <v>14</v>
      </c>
      <c r="H16">
        <f t="shared" ca="1" si="6"/>
        <v>4724.5623916594532</v>
      </c>
      <c r="I16">
        <f t="shared" ca="1" si="0"/>
        <v>5042.7077288855262</v>
      </c>
      <c r="J16">
        <f t="shared" ca="1" si="7"/>
        <v>4883.6350602724897</v>
      </c>
      <c r="K16">
        <f t="shared" ca="1" si="1"/>
        <v>3</v>
      </c>
      <c r="L16" s="106">
        <f t="shared" ca="1" si="2"/>
        <v>0.03</v>
      </c>
      <c r="M16" s="106">
        <f t="shared" ca="1" si="8"/>
        <v>0.9600000000000003</v>
      </c>
      <c r="N16">
        <f t="shared" ca="1" si="3"/>
        <v>4.089746047713188E-6</v>
      </c>
      <c r="O16" s="106">
        <f t="shared" ca="1" si="4"/>
        <v>1.4930327406497402E-2</v>
      </c>
      <c r="P16" s="171">
        <f t="shared" ca="1" si="9"/>
        <v>0.92485271218099929</v>
      </c>
    </row>
    <row r="17" spans="2:16" x14ac:dyDescent="0.3">
      <c r="B17" s="166" t="str">
        <f>"mu_"&amp;C$10</f>
        <v>mu_capital_yr1</v>
      </c>
      <c r="C17" s="30">
        <f ca="1">AVERAGE( INDIRECT(C$10) )</f>
        <v>2178.0633808178532</v>
      </c>
      <c r="E17" s="163" t="str">
        <f t="shared" ca="1" si="11"/>
        <v>=AVERAGE( INDIRECT(C$10) )</v>
      </c>
      <c r="G17">
        <f t="shared" si="5"/>
        <v>15</v>
      </c>
      <c r="H17">
        <f t="shared" ca="1" si="6"/>
        <v>5042.7077288855262</v>
      </c>
      <c r="I17">
        <f t="shared" ca="1" si="0"/>
        <v>5360.8530661115992</v>
      </c>
      <c r="J17">
        <f t="shared" ca="1" si="7"/>
        <v>5201.7803974985627</v>
      </c>
      <c r="K17">
        <f t="shared" ca="1" si="1"/>
        <v>1</v>
      </c>
      <c r="L17" s="106">
        <f t="shared" ca="1" si="2"/>
        <v>0.01</v>
      </c>
      <c r="M17" s="106">
        <f t="shared" ca="1" si="8"/>
        <v>0.97000000000000031</v>
      </c>
      <c r="N17">
        <f t="shared" ca="1" si="3"/>
        <v>3.7165785121814519E-6</v>
      </c>
      <c r="O17" s="106">
        <f t="shared" ca="1" si="4"/>
        <v>1.3568014583656012E-2</v>
      </c>
      <c r="P17" s="171">
        <f t="shared" ca="1" si="9"/>
        <v>0.93842072676465527</v>
      </c>
    </row>
    <row r="18" spans="2:16" x14ac:dyDescent="0.3">
      <c r="B18" s="167" t="str">
        <f>"sig_"&amp;C$10</f>
        <v>sig_capital_yr1</v>
      </c>
      <c r="C18" s="169">
        <f ca="1">_xlfn.STDEV.S( INDIRECT(C$10) )</f>
        <v>1437.9314394248504</v>
      </c>
      <c r="E18" s="163" t="str">
        <f t="shared" ca="1" si="11"/>
        <v>=STDEV.S( INDIRECT(C$10) )</v>
      </c>
      <c r="G18">
        <f t="shared" si="5"/>
        <v>16</v>
      </c>
      <c r="H18">
        <f t="shared" ca="1" si="6"/>
        <v>5360.8530661115992</v>
      </c>
      <c r="I18">
        <f t="shared" ca="1" si="0"/>
        <v>5678.9984033376722</v>
      </c>
      <c r="J18">
        <f t="shared" ca="1" si="7"/>
        <v>5519.9257347246357</v>
      </c>
      <c r="K18">
        <f t="shared" ca="1" si="1"/>
        <v>1</v>
      </c>
      <c r="L18" s="106">
        <f t="shared" ca="1" si="2"/>
        <v>0.01</v>
      </c>
      <c r="M18" s="106">
        <f t="shared" ca="1" si="8"/>
        <v>0.98000000000000032</v>
      </c>
      <c r="N18">
        <f t="shared" ca="1" si="3"/>
        <v>3.397047327443933E-6</v>
      </c>
      <c r="O18" s="106">
        <f t="shared" ca="1" si="4"/>
        <v>1.2401510563831911E-2</v>
      </c>
      <c r="P18" s="171">
        <f t="shared" ca="1" si="9"/>
        <v>0.95082223732848714</v>
      </c>
    </row>
    <row r="19" spans="2:16" x14ac:dyDescent="0.3">
      <c r="B19" s="167" t="s">
        <v>124</v>
      </c>
      <c r="C19" s="169">
        <f ca="1">AVEDEV(  INDIRECT(C$10) )</f>
        <v>1209.6695056647443</v>
      </c>
      <c r="E19" s="163" t="str">
        <f t="shared" ca="1" si="11"/>
        <v>=AVEDEV(  INDIRECT(C$10) )</v>
      </c>
      <c r="G19">
        <f t="shared" si="5"/>
        <v>17</v>
      </c>
      <c r="H19">
        <f t="shared" ca="1" si="6"/>
        <v>5678.9984033376722</v>
      </c>
      <c r="I19">
        <f t="shared" ca="1" si="0"/>
        <v>5997.1437405637453</v>
      </c>
      <c r="J19">
        <f t="shared" ca="1" si="7"/>
        <v>5838.0710719507088</v>
      </c>
      <c r="K19">
        <f t="shared" ca="1" si="1"/>
        <v>1</v>
      </c>
      <c r="L19" s="106">
        <f t="shared" ca="1" si="2"/>
        <v>0.01</v>
      </c>
      <c r="M19" s="106">
        <f t="shared" ca="1" si="8"/>
        <v>0.99000000000000032</v>
      </c>
      <c r="N19">
        <f t="shared" ca="1" si="3"/>
        <v>3.1209360631553532E-6</v>
      </c>
      <c r="O19" s="106">
        <f t="shared" ca="1" si="4"/>
        <v>1.1393518495777827E-2</v>
      </c>
      <c r="P19" s="171">
        <f t="shared" ca="1" si="9"/>
        <v>0.962215755824265</v>
      </c>
    </row>
    <row r="20" spans="2:16" x14ac:dyDescent="0.3">
      <c r="B20" s="167" t="s">
        <v>125</v>
      </c>
      <c r="C20" s="169">
        <f ca="1">SKEW(  INDIRECT(C$10) )</f>
        <v>1.016008512072635</v>
      </c>
      <c r="E20" s="163" t="str">
        <f t="shared" ca="1" si="11"/>
        <v>=SKEW(  INDIRECT(C$10) )</v>
      </c>
      <c r="G20">
        <f t="shared" si="5"/>
        <v>18</v>
      </c>
      <c r="H20">
        <f t="shared" ca="1" si="6"/>
        <v>5997.1437405637453</v>
      </c>
      <c r="I20">
        <f t="shared" ca="1" si="0"/>
        <v>6315.2890777898183</v>
      </c>
      <c r="J20">
        <f t="shared" ca="1" si="7"/>
        <v>6156.2164091767818</v>
      </c>
      <c r="K20">
        <f t="shared" ca="1" si="1"/>
        <v>0</v>
      </c>
      <c r="L20" s="106">
        <f t="shared" ca="1" si="2"/>
        <v>0</v>
      </c>
      <c r="M20" s="106">
        <f t="shared" ca="1" si="8"/>
        <v>0.99000000000000032</v>
      </c>
      <c r="N20">
        <f t="shared" ca="1" si="3"/>
        <v>2.880402275499175E-6</v>
      </c>
      <c r="O20" s="106">
        <f t="shared" ca="1" si="4"/>
        <v>1.0515408177891528E-2</v>
      </c>
      <c r="P20" s="171">
        <f t="shared" ca="1" si="9"/>
        <v>0.97273116400215653</v>
      </c>
    </row>
    <row r="21" spans="2:16" x14ac:dyDescent="0.3">
      <c r="B21" s="168" t="s">
        <v>126</v>
      </c>
      <c r="C21" s="31">
        <f ca="1">KURT(  INDIRECT(C$10) ) + 3</f>
        <v>3.765472037711334</v>
      </c>
      <c r="E21" s="163" t="str">
        <f t="shared" ca="1" si="11"/>
        <v>=KURT(  INDIRECT(C$10) ) + 3</v>
      </c>
      <c r="G21">
        <f t="shared" si="5"/>
        <v>19</v>
      </c>
      <c r="H21">
        <f t="shared" ca="1" si="6"/>
        <v>6315.2890777898183</v>
      </c>
      <c r="I21">
        <f t="shared" ca="1" si="0"/>
        <v>6633.4344150158913</v>
      </c>
      <c r="J21">
        <f t="shared" ca="1" si="7"/>
        <v>6474.3617464028548</v>
      </c>
      <c r="K21">
        <f t="shared" ca="1" si="1"/>
        <v>0</v>
      </c>
      <c r="L21" s="106">
        <f t="shared" ca="1" si="2"/>
        <v>0</v>
      </c>
      <c r="M21" s="106">
        <f t="shared" ca="1" si="8"/>
        <v>0.99000000000000032</v>
      </c>
      <c r="N21">
        <f t="shared" ca="1" si="3"/>
        <v>2.6693362182581573E-6</v>
      </c>
      <c r="O21" s="106">
        <f t="shared" ca="1" si="4"/>
        <v>9.7448749217327549E-3</v>
      </c>
      <c r="P21" s="171">
        <f t="shared" ca="1" si="9"/>
        <v>0.98247603892388924</v>
      </c>
    </row>
    <row r="22" spans="2:16" x14ac:dyDescent="0.3">
      <c r="G22">
        <f t="shared" si="5"/>
        <v>20</v>
      </c>
      <c r="H22">
        <f t="shared" ca="1" si="6"/>
        <v>6633.4344150158913</v>
      </c>
      <c r="I22">
        <f t="shared" ca="1" si="0"/>
        <v>6951.5797522419643</v>
      </c>
      <c r="J22">
        <f t="shared" ca="1" si="7"/>
        <v>6792.5070836289278</v>
      </c>
      <c r="K22">
        <f t="shared" ca="1" si="1"/>
        <v>0</v>
      </c>
      <c r="L22" s="106">
        <f t="shared" ca="1" si="2"/>
        <v>0</v>
      </c>
      <c r="M22" s="106">
        <f t="shared" ca="1" si="8"/>
        <v>0.99000000000000032</v>
      </c>
      <c r="N22">
        <f t="shared" ca="1" si="3"/>
        <v>2.4829147272373155E-6</v>
      </c>
      <c r="O22" s="106">
        <f t="shared" ca="1" si="4"/>
        <v>9.064310929720364E-3</v>
      </c>
      <c r="P22" s="171">
        <f t="shared" ca="1" si="9"/>
        <v>0.99154034985360961</v>
      </c>
    </row>
    <row r="23" spans="2:16" x14ac:dyDescent="0.3">
      <c r="G23" s="103">
        <f t="shared" si="5"/>
        <v>21</v>
      </c>
      <c r="H23" s="103">
        <f t="shared" ca="1" si="6"/>
        <v>6951.5797522419643</v>
      </c>
      <c r="I23" s="103">
        <f t="shared" ca="1" si="0"/>
        <v>7269.7250894680374</v>
      </c>
      <c r="J23" s="103">
        <f t="shared" ca="1" si="7"/>
        <v>7110.6524208550009</v>
      </c>
      <c r="K23" s="103">
        <f ca="1">COUNTIFS( INDIRECT(C$3), "&gt;="&amp;H23, INDIRECT(C$3), "&lt;="&amp;I23 )</f>
        <v>1</v>
      </c>
      <c r="L23" s="40">
        <f t="shared" ca="1" si="2"/>
        <v>0.01</v>
      </c>
      <c r="M23" s="40">
        <f t="shared" ca="1" si="8"/>
        <v>1.0000000000000002</v>
      </c>
      <c r="N23" s="103">
        <f t="shared" ca="1" si="3"/>
        <v>2.3172847995404001E-6</v>
      </c>
      <c r="O23" s="40">
        <f t="shared" ca="1" si="4"/>
        <v>8.4596501463907528E-3</v>
      </c>
      <c r="P23" s="172">
        <f t="shared" ca="1" si="9"/>
        <v>1.0000000000000004</v>
      </c>
    </row>
    <row r="24" spans="2:16" x14ac:dyDescent="0.3">
      <c r="M24" t="s">
        <v>141</v>
      </c>
      <c r="N24" s="77">
        <f ca="1">SUM(N3:N23)</f>
        <v>2.7392206053923547E-4</v>
      </c>
    </row>
    <row r="25" spans="2:16" x14ac:dyDescent="0.3">
      <c r="G25" s="97" t="s">
        <v>127</v>
      </c>
      <c r="H25" s="97" t="s">
        <v>128</v>
      </c>
      <c r="I25" s="97" t="s">
        <v>129</v>
      </c>
      <c r="J25" s="97" t="s">
        <v>130</v>
      </c>
      <c r="K25" s="97" t="s">
        <v>131</v>
      </c>
      <c r="L25" s="97" t="s">
        <v>132</v>
      </c>
      <c r="M25" s="97" t="s">
        <v>133</v>
      </c>
      <c r="N25" s="97" t="s">
        <v>142</v>
      </c>
      <c r="O25" s="97" t="s">
        <v>143</v>
      </c>
      <c r="P25" s="97" t="s">
        <v>134</v>
      </c>
    </row>
    <row r="26" spans="2:16" ht="96" x14ac:dyDescent="0.3">
      <c r="G26" s="126" t="str">
        <f t="shared" ref="G26:P26" ca="1" si="12">_xlfn.FORMULATEXT(G3)</f>
        <v>=1</v>
      </c>
      <c r="H26" s="126" t="str">
        <f t="shared" ca="1" si="12"/>
        <v>=min_mu</v>
      </c>
      <c r="I26" s="126" t="str">
        <f t="shared" ca="1" si="12"/>
        <v>=H3 + width_mu</v>
      </c>
      <c r="J26" s="126" t="str">
        <f t="shared" ca="1" si="12"/>
        <v>=((H3 + I3)/2)</v>
      </c>
      <c r="K26" s="126" t="str">
        <f t="shared" ca="1" si="12"/>
        <v>=COUNTIFS( INDIRECT(C$3), "&gt;="&amp;H3, INDIRECT(C$3), "&lt;"&amp;I3 )</v>
      </c>
      <c r="L26" s="126" t="str">
        <f t="shared" ca="1" si="12"/>
        <v>=K3 / count_wait</v>
      </c>
      <c r="M26" s="126" t="str">
        <f t="shared" ca="1" si="12"/>
        <v>=L3</v>
      </c>
      <c r="N26" s="126" t="str">
        <f t="shared" ca="1" si="12"/>
        <v>=(1/mu_sigma)*(1+mu_xi*((J3)-100)/mu_sigma)^(-(1+mu_xi)/mu_xi)</v>
      </c>
      <c r="O26" s="126" t="str">
        <f t="shared" ca="1" si="12"/>
        <v>=N3 / sum_pmf</v>
      </c>
      <c r="P26" s="126" t="str">
        <f t="shared" ca="1" si="12"/>
        <v>=O3</v>
      </c>
    </row>
    <row r="27" spans="2:16" x14ac:dyDescent="0.3">
      <c r="G27" s="2" t="s">
        <v>27</v>
      </c>
      <c r="H27" s="2" t="s">
        <v>88</v>
      </c>
      <c r="I27" s="5" t="s">
        <v>89</v>
      </c>
      <c r="K27" s="5" t="s">
        <v>135</v>
      </c>
      <c r="P27" s="5" t="s">
        <v>144</v>
      </c>
    </row>
    <row r="28" spans="2:16" ht="96" x14ac:dyDescent="0.3">
      <c r="G28" s="126" t="str">
        <f ca="1">_xlfn.FORMULATEXT(G4)</f>
        <v>=G3+1</v>
      </c>
      <c r="H28" s="126" t="str">
        <f ca="1">_xlfn.FORMULATEXT(H4)</f>
        <v>=I3</v>
      </c>
      <c r="I28" s="126" t="str">
        <f ca="1">_xlfn.FORMULATEXT(I4)</f>
        <v>=H4 + width_mu</v>
      </c>
      <c r="J28" s="125"/>
      <c r="K28" s="126" t="str">
        <f ca="1">_xlfn.FORMULATEXT(K23)</f>
        <v>=COUNTIFS( INDIRECT(C$3), "&gt;="&amp;H23, INDIRECT(C$3), "&lt;="&amp;I23 )</v>
      </c>
      <c r="P28" s="126" t="str">
        <f ca="1">_xlfn.FORMULATEXT(P4)</f>
        <v>=P3 + O4</v>
      </c>
    </row>
  </sheetData>
  <dataValidations count="1">
    <dataValidation type="list" allowBlank="1" showInputMessage="1" showErrorMessage="1" sqref="C3" xr:uid="{EBD9349F-8D98-46D6-87AD-0A22BED45A21}">
      <formula1>sim_list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5F670-A293-4979-B1C7-E0825B7911AB}">
  <sheetPr codeName="Sheet13"/>
  <dimension ref="B2:B20"/>
  <sheetViews>
    <sheetView workbookViewId="0">
      <selection activeCell="B2" sqref="B2:B20"/>
    </sheetView>
  </sheetViews>
  <sheetFormatPr defaultRowHeight="14.4" x14ac:dyDescent="0.3"/>
  <sheetData>
    <row r="2" spans="2:2" x14ac:dyDescent="0.3">
      <c r="B2" t="s">
        <v>136</v>
      </c>
    </row>
    <row r="3" spans="2:2" x14ac:dyDescent="0.3">
      <c r="B3" t="str">
        <f t="array" ref="B3:B20">TRANSPOSE('fund-simulation-short-term'!B6:T6)</f>
        <v>A_1_2_</v>
      </c>
    </row>
    <row r="4" spans="2:2" x14ac:dyDescent="0.3">
      <c r="B4" t="str">
        <v>B_8_8_</v>
      </c>
    </row>
    <row r="5" spans="2:2" x14ac:dyDescent="0.3">
      <c r="B5" t="str">
        <v>C_8_8_</v>
      </c>
    </row>
    <row r="6" spans="2:2" x14ac:dyDescent="0.3">
      <c r="B6" t="str">
        <v>D_8_8_</v>
      </c>
    </row>
    <row r="7" spans="2:2" x14ac:dyDescent="0.3">
      <c r="B7" t="str">
        <v>A_2_3_</v>
      </c>
    </row>
    <row r="8" spans="2:2" x14ac:dyDescent="0.3">
      <c r="B8" t="str">
        <v>A_3_4_</v>
      </c>
    </row>
    <row r="9" spans="2:2" x14ac:dyDescent="0.3">
      <c r="B9" t="str">
        <v>B_8_8_</v>
      </c>
    </row>
    <row r="10" spans="2:2" x14ac:dyDescent="0.3">
      <c r="B10" t="str">
        <v>A_4_5_</v>
      </c>
    </row>
    <row r="11" spans="2:2" x14ac:dyDescent="0.3">
      <c r="B11" t="str">
        <v>C_8_8_</v>
      </c>
    </row>
    <row r="12" spans="2:2" x14ac:dyDescent="0.3">
      <c r="B12" t="str">
        <v>A_5_6_</v>
      </c>
    </row>
    <row r="13" spans="2:2" x14ac:dyDescent="0.3">
      <c r="B13" t="str">
        <v>B_8_8_</v>
      </c>
    </row>
    <row r="14" spans="2:2" x14ac:dyDescent="0.3">
      <c r="B14" t="str">
        <v>A_6_7_</v>
      </c>
    </row>
    <row r="15" spans="2:2" x14ac:dyDescent="0.3">
      <c r="B15" t="str">
        <v>capital_yr1</v>
      </c>
    </row>
    <row r="16" spans="2:2" x14ac:dyDescent="0.3">
      <c r="B16" t="str">
        <v>claims_yr2</v>
      </c>
    </row>
    <row r="17" spans="2:2" x14ac:dyDescent="0.3">
      <c r="B17" t="str">
        <v>claims_yr3</v>
      </c>
    </row>
    <row r="18" spans="2:2" x14ac:dyDescent="0.3">
      <c r="B18" t="str">
        <v>claims_yr4</v>
      </c>
    </row>
    <row r="19" spans="2:2" x14ac:dyDescent="0.3">
      <c r="B19" t="str">
        <v>claims_yr5</v>
      </c>
    </row>
    <row r="20" spans="2:2" x14ac:dyDescent="0.3">
      <c r="B20" t="str">
        <v>claims_yr6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69</vt:i4>
      </vt:variant>
    </vt:vector>
  </HeadingPairs>
  <TitlesOfParts>
    <vt:vector size="82" baseType="lpstr">
      <vt:lpstr>data</vt:lpstr>
      <vt:lpstr>mean-excess-over-threshold</vt:lpstr>
      <vt:lpstr>eda</vt:lpstr>
      <vt:lpstr>grid-setup</vt:lpstr>
      <vt:lpstr>grid-approx</vt:lpstr>
      <vt:lpstr>xi-sigma-grid</vt:lpstr>
      <vt:lpstr>xi-sigma-sim</vt:lpstr>
      <vt:lpstr>fund-claims</vt:lpstr>
      <vt:lpstr>fund-allocation</vt:lpstr>
      <vt:lpstr>fund-simulation-short-term</vt:lpstr>
      <vt:lpstr>fund-simulation-all</vt:lpstr>
      <vt:lpstr>eda-sim-short-term</vt:lpstr>
      <vt:lpstr>control</vt:lpstr>
      <vt:lpstr>A_1_2</vt:lpstr>
      <vt:lpstr>A_1_2_</vt:lpstr>
      <vt:lpstr>A_2_3</vt:lpstr>
      <vt:lpstr>A_2_3_</vt:lpstr>
      <vt:lpstr>A_3_4</vt:lpstr>
      <vt:lpstr>A_3_4_</vt:lpstr>
      <vt:lpstr>A_4_5</vt:lpstr>
      <vt:lpstr>A_4_5_</vt:lpstr>
      <vt:lpstr>A_5_6</vt:lpstr>
      <vt:lpstr>A_5_6_</vt:lpstr>
      <vt:lpstr>A_6_7</vt:lpstr>
      <vt:lpstr>A_6_7_</vt:lpstr>
      <vt:lpstr>B_1_3</vt:lpstr>
      <vt:lpstr>B_1_3_</vt:lpstr>
      <vt:lpstr>B_3_5</vt:lpstr>
      <vt:lpstr>B_3_5_</vt:lpstr>
      <vt:lpstr>B_5_7</vt:lpstr>
      <vt:lpstr>B_5_7_</vt:lpstr>
      <vt:lpstr>C_1_4</vt:lpstr>
      <vt:lpstr>C_1_4_</vt:lpstr>
      <vt:lpstr>C_4_7</vt:lpstr>
      <vt:lpstr>C_4_7_</vt:lpstr>
      <vt:lpstr>calculation_claims</vt:lpstr>
      <vt:lpstr>capital_yr1</vt:lpstr>
      <vt:lpstr>claims</vt:lpstr>
      <vt:lpstr>claims_yr2</vt:lpstr>
      <vt:lpstr>claims_yr3</vt:lpstr>
      <vt:lpstr>claims_yr4</vt:lpstr>
      <vt:lpstr>claims_yr5</vt:lpstr>
      <vt:lpstr>claims_yr6</vt:lpstr>
      <vt:lpstr>claims_yr7</vt:lpstr>
      <vt:lpstr>count_wait</vt:lpstr>
      <vt:lpstr>cov_xi__sigma</vt:lpstr>
      <vt:lpstr>D_1_7</vt:lpstr>
      <vt:lpstr>D_1_7_</vt:lpstr>
      <vt:lpstr>gpa</vt:lpstr>
      <vt:lpstr>interface</vt:lpstr>
      <vt:lpstr>interval_mu_h</vt:lpstr>
      <vt:lpstr>interval_sigma_h</vt:lpstr>
      <vt:lpstr>key</vt:lpstr>
      <vt:lpstr>max_mu</vt:lpstr>
      <vt:lpstr>max_mu_h</vt:lpstr>
      <vt:lpstr>max_sigma_h</vt:lpstr>
      <vt:lpstr>min_mu</vt:lpstr>
      <vt:lpstr>min_mu_h</vt:lpstr>
      <vt:lpstr>min_sigma_h</vt:lpstr>
      <vt:lpstr>'grid-approx'!mu_h</vt:lpstr>
      <vt:lpstr>'grid-setup'!mu_h</vt:lpstr>
      <vt:lpstr>mu_sigma</vt:lpstr>
      <vt:lpstr>mu_thres</vt:lpstr>
      <vt:lpstr>mu_wait</vt:lpstr>
      <vt:lpstr>mu_xi</vt:lpstr>
      <vt:lpstr>Pr_h___d</vt:lpstr>
      <vt:lpstr>rho</vt:lpstr>
      <vt:lpstr>sig_sigma</vt:lpstr>
      <vt:lpstr>sig_wait</vt:lpstr>
      <vt:lpstr>sig_xi</vt:lpstr>
      <vt:lpstr>'grid-approx'!sigma_h</vt:lpstr>
      <vt:lpstr>'grid-setup'!sigma_h</vt:lpstr>
      <vt:lpstr>sim_list</vt:lpstr>
      <vt:lpstr>simulation</vt:lpstr>
      <vt:lpstr>sum</vt:lpstr>
      <vt:lpstr>sum_pmf</vt:lpstr>
      <vt:lpstr>sum_pr_xi_sigma</vt:lpstr>
      <vt:lpstr>u</vt:lpstr>
      <vt:lpstr>wages</vt:lpstr>
      <vt:lpstr>width_mu</vt:lpstr>
      <vt:lpstr>width_mu_h</vt:lpstr>
      <vt:lpstr>width_sigma_h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Foote</dc:creator>
  <cp:lastModifiedBy>Bill Foote</cp:lastModifiedBy>
  <dcterms:created xsi:type="dcterms:W3CDTF">2021-02-27T21:28:33Z</dcterms:created>
  <dcterms:modified xsi:type="dcterms:W3CDTF">2021-05-05T20:50:34Z</dcterms:modified>
</cp:coreProperties>
</file>